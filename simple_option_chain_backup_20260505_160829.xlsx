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twitter\nsebse\"/>
    </mc:Choice>
  </mc:AlternateContent>
  <xr:revisionPtr revIDLastSave="0" documentId="13_ncr:1_{3D908FC3-B0F5-4979-B878-FB57ABADA341}" xr6:coauthVersionLast="47" xr6:coauthVersionMax="47" xr10:uidLastSave="{00000000-0000-0000-0000-000000000000}"/>
  <bookViews>
    <workbookView minimized="1" xWindow="1230" yWindow="4230" windowWidth="21600" windowHeight="11385" activeTab="4" xr2:uid="{00000000-000D-0000-FFFF-FFFF00000000}"/>
  </bookViews>
  <sheets>
    <sheet name="Summary" sheetId="1" r:id="rId1"/>
    <sheet name="NIFTY" sheetId="2" r:id="rId2"/>
    <sheet name="BANKNIFTY" sheetId="3" r:id="rId3"/>
    <sheet name="SENSEX" sheetId="4" r:id="rId4"/>
    <sheet name="RawData" sheetId="5" r:id="rId5"/>
    <sheet name="Meta" sheetId="6" state="hidden" r:id="rId6"/>
  </sheets>
  <definedNames>
    <definedName name="_xlnm._FilterDatabase" localSheetId="4" hidden="1">RawData!$A$1:$P$1114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  <c r="C8" i="4"/>
  <c r="D8" i="4"/>
  <c r="A9" i="4"/>
  <c r="C9" i="4"/>
  <c r="D9" i="4"/>
  <c r="A10" i="4"/>
  <c r="C10" i="4"/>
  <c r="D10" i="4"/>
  <c r="A11" i="4"/>
  <c r="C11" i="4"/>
  <c r="D11" i="4"/>
  <c r="A12" i="4"/>
  <c r="C12" i="4"/>
  <c r="D12" i="4"/>
  <c r="A13" i="4"/>
  <c r="C13" i="4"/>
  <c r="D13" i="4"/>
  <c r="A14" i="4"/>
  <c r="C14" i="4"/>
  <c r="D14" i="4"/>
  <c r="A15" i="4"/>
  <c r="C15" i="4"/>
  <c r="D15" i="4"/>
  <c r="A16" i="4"/>
  <c r="C16" i="4"/>
  <c r="D16" i="4"/>
  <c r="A17" i="4"/>
  <c r="C17" i="4"/>
  <c r="D17" i="4"/>
  <c r="A18" i="4"/>
  <c r="C18" i="4"/>
  <c r="D18" i="4"/>
  <c r="A19" i="4"/>
  <c r="C19" i="4"/>
  <c r="D19" i="4"/>
  <c r="A20" i="4"/>
  <c r="C20" i="4"/>
  <c r="D20" i="4"/>
  <c r="A21" i="4"/>
  <c r="C21" i="4"/>
  <c r="D21" i="4"/>
  <c r="A22" i="4"/>
  <c r="C22" i="4"/>
  <c r="D22" i="4"/>
  <c r="A23" i="4"/>
  <c r="C23" i="4"/>
  <c r="D23" i="4"/>
  <c r="A24" i="4"/>
  <c r="C24" i="4"/>
  <c r="D24" i="4"/>
  <c r="A25" i="4"/>
  <c r="C25" i="4"/>
  <c r="D25" i="4"/>
  <c r="A26" i="4"/>
  <c r="C26" i="4"/>
  <c r="D26" i="4"/>
  <c r="A27" i="4"/>
  <c r="C27" i="4"/>
  <c r="D27" i="4"/>
  <c r="A28" i="4"/>
  <c r="C28" i="4"/>
  <c r="D28" i="4"/>
  <c r="A29" i="4"/>
  <c r="C29" i="4"/>
  <c r="D29" i="4"/>
  <c r="A30" i="4"/>
  <c r="C30" i="4"/>
  <c r="D30" i="4"/>
  <c r="A31" i="4"/>
  <c r="C31" i="4"/>
  <c r="D31" i="4"/>
  <c r="A32" i="4"/>
  <c r="C32" i="4"/>
  <c r="D32" i="4"/>
  <c r="A33" i="4"/>
  <c r="C33" i="4"/>
  <c r="D33" i="4"/>
  <c r="A34" i="4"/>
  <c r="C34" i="4"/>
  <c r="D34" i="4"/>
  <c r="A35" i="4"/>
  <c r="C35" i="4"/>
  <c r="D35" i="4"/>
  <c r="A36" i="4"/>
  <c r="C36" i="4"/>
  <c r="D36" i="4"/>
  <c r="A37" i="4"/>
  <c r="C37" i="4"/>
  <c r="D37" i="4"/>
  <c r="A38" i="4"/>
  <c r="C38" i="4"/>
  <c r="D38" i="4"/>
  <c r="A39" i="4"/>
  <c r="C39" i="4"/>
  <c r="D39" i="4"/>
  <c r="A40" i="4"/>
  <c r="C40" i="4"/>
  <c r="D40" i="4"/>
  <c r="A41" i="4"/>
  <c r="C41" i="4"/>
  <c r="D41" i="4"/>
  <c r="A42" i="4"/>
  <c r="C42" i="4"/>
  <c r="D42" i="4"/>
  <c r="A43" i="4"/>
  <c r="C43" i="4"/>
  <c r="D43" i="4"/>
  <c r="A44" i="4"/>
  <c r="C44" i="4"/>
  <c r="D44" i="4"/>
  <c r="A45" i="4"/>
  <c r="C45" i="4"/>
  <c r="D45" i="4"/>
  <c r="A46" i="4"/>
  <c r="C46" i="4"/>
  <c r="D46" i="4"/>
  <c r="A47" i="4"/>
  <c r="C47" i="4"/>
  <c r="D47" i="4"/>
  <c r="A48" i="4"/>
  <c r="C48" i="4"/>
  <c r="D48" i="4"/>
  <c r="A49" i="4"/>
  <c r="C49" i="4"/>
  <c r="D49" i="4"/>
  <c r="A50" i="4"/>
  <c r="C50" i="4"/>
  <c r="D50" i="4"/>
  <c r="A51" i="4"/>
  <c r="C51" i="4"/>
  <c r="D51" i="4"/>
  <c r="A52" i="4"/>
  <c r="C52" i="4"/>
  <c r="D52" i="4"/>
  <c r="A53" i="4"/>
  <c r="C53" i="4"/>
  <c r="D53" i="4"/>
  <c r="A54" i="4"/>
  <c r="C54" i="4"/>
  <c r="D54" i="4"/>
  <c r="A55" i="4"/>
  <c r="C55" i="4"/>
  <c r="D55" i="4"/>
  <c r="A56" i="4"/>
  <c r="C56" i="4"/>
  <c r="D56" i="4"/>
  <c r="A57" i="4"/>
  <c r="C57" i="4"/>
  <c r="D57" i="4"/>
  <c r="A58" i="4"/>
  <c r="C58" i="4"/>
  <c r="D58" i="4"/>
  <c r="A59" i="4"/>
  <c r="C59" i="4"/>
  <c r="D59" i="4"/>
  <c r="A60" i="4"/>
  <c r="C60" i="4"/>
  <c r="D60" i="4"/>
  <c r="A61" i="4"/>
  <c r="C61" i="4"/>
  <c r="D61" i="4"/>
  <c r="A62" i="4"/>
  <c r="C62" i="4"/>
  <c r="D62" i="4"/>
  <c r="A63" i="4"/>
  <c r="C63" i="4"/>
  <c r="D63" i="4"/>
  <c r="A64" i="4"/>
  <c r="C64" i="4"/>
  <c r="D64" i="4"/>
  <c r="A65" i="4"/>
  <c r="C65" i="4"/>
  <c r="D65" i="4"/>
  <c r="A66" i="4"/>
  <c r="C66" i="4"/>
  <c r="D66" i="4"/>
  <c r="A67" i="4"/>
  <c r="C67" i="4"/>
  <c r="D67" i="4"/>
  <c r="A68" i="4"/>
  <c r="C68" i="4"/>
  <c r="D68" i="4"/>
  <c r="A69" i="4"/>
  <c r="C69" i="4"/>
  <c r="D69" i="4"/>
  <c r="A70" i="4"/>
  <c r="C70" i="4"/>
  <c r="D70" i="4"/>
  <c r="A71" i="4"/>
  <c r="C71" i="4"/>
  <c r="D71" i="4"/>
  <c r="A72" i="4"/>
  <c r="C72" i="4"/>
  <c r="D72" i="4"/>
  <c r="A73" i="4"/>
  <c r="C73" i="4"/>
  <c r="D73" i="4"/>
  <c r="A74" i="4"/>
  <c r="C74" i="4"/>
  <c r="D74" i="4"/>
  <c r="A75" i="4"/>
  <c r="C75" i="4"/>
  <c r="D75" i="4"/>
  <c r="A76" i="4"/>
  <c r="C76" i="4"/>
  <c r="D76" i="4"/>
  <c r="A77" i="4"/>
  <c r="C77" i="4"/>
  <c r="D77" i="4"/>
  <c r="A78" i="4"/>
  <c r="C78" i="4"/>
  <c r="D78" i="4"/>
  <c r="A79" i="4"/>
  <c r="C79" i="4"/>
  <c r="D79" i="4"/>
  <c r="A80" i="4"/>
  <c r="C80" i="4"/>
  <c r="D80" i="4"/>
  <c r="A81" i="4"/>
  <c r="C81" i="4"/>
  <c r="D81" i="4"/>
  <c r="A82" i="4"/>
  <c r="C82" i="4"/>
  <c r="D82" i="4"/>
  <c r="A83" i="4"/>
  <c r="C83" i="4"/>
  <c r="D83" i="4"/>
  <c r="A84" i="4"/>
  <c r="C84" i="4"/>
  <c r="D84" i="4"/>
  <c r="A85" i="4"/>
  <c r="C85" i="4"/>
  <c r="D85" i="4"/>
  <c r="A86" i="4"/>
  <c r="C86" i="4"/>
  <c r="D86" i="4"/>
  <c r="A87" i="4"/>
  <c r="C87" i="4"/>
  <c r="D87" i="4"/>
  <c r="A88" i="4"/>
  <c r="C88" i="4"/>
  <c r="D88" i="4"/>
  <c r="A89" i="4"/>
  <c r="C89" i="4"/>
  <c r="D89" i="4"/>
  <c r="A90" i="4"/>
  <c r="C90" i="4"/>
  <c r="D90" i="4"/>
  <c r="A91" i="4"/>
  <c r="C91" i="4"/>
  <c r="D91" i="4"/>
  <c r="A92" i="4"/>
  <c r="C92" i="4"/>
  <c r="D92" i="4"/>
  <c r="A93" i="4"/>
  <c r="C93" i="4"/>
  <c r="D93" i="4"/>
  <c r="A94" i="4"/>
  <c r="C94" i="4"/>
  <c r="D94" i="4"/>
  <c r="A95" i="4"/>
  <c r="C95" i="4"/>
  <c r="D95" i="4"/>
  <c r="A96" i="4"/>
  <c r="C96" i="4"/>
  <c r="D96" i="4"/>
  <c r="A97" i="4"/>
  <c r="C97" i="4"/>
  <c r="D97" i="4"/>
  <c r="A98" i="4"/>
  <c r="C98" i="4"/>
  <c r="D98" i="4"/>
  <c r="A99" i="4"/>
  <c r="C99" i="4"/>
  <c r="D99" i="4"/>
  <c r="A100" i="4"/>
  <c r="C100" i="4"/>
  <c r="D100" i="4"/>
  <c r="A101" i="4"/>
  <c r="C101" i="4"/>
  <c r="D101" i="4"/>
  <c r="A102" i="4"/>
  <c r="C102" i="4"/>
  <c r="D102" i="4"/>
  <c r="A103" i="4"/>
  <c r="C103" i="4"/>
  <c r="D103" i="4"/>
  <c r="A104" i="4"/>
  <c r="C104" i="4"/>
  <c r="D104" i="4"/>
  <c r="A105" i="4"/>
  <c r="C105" i="4"/>
  <c r="D105" i="4"/>
  <c r="A106" i="4"/>
  <c r="C106" i="4"/>
  <c r="D106" i="4"/>
  <c r="A107" i="4"/>
  <c r="C107" i="4"/>
  <c r="D107" i="4"/>
  <c r="A108" i="4"/>
  <c r="C108" i="4"/>
  <c r="D108" i="4"/>
  <c r="A109" i="4"/>
  <c r="C109" i="4"/>
  <c r="D109" i="4"/>
  <c r="A110" i="4"/>
  <c r="C110" i="4"/>
  <c r="D110" i="4"/>
  <c r="A111" i="4"/>
  <c r="C111" i="4"/>
  <c r="D111" i="4"/>
  <c r="A112" i="4"/>
  <c r="C112" i="4"/>
  <c r="D112" i="4"/>
  <c r="A113" i="4"/>
  <c r="C113" i="4"/>
  <c r="D113" i="4"/>
  <c r="A114" i="4"/>
  <c r="C114" i="4"/>
  <c r="D114" i="4"/>
  <c r="A115" i="4"/>
  <c r="C115" i="4"/>
  <c r="D115" i="4"/>
  <c r="A116" i="4"/>
  <c r="C116" i="4"/>
  <c r="D116" i="4"/>
  <c r="A117" i="4"/>
  <c r="C117" i="4"/>
  <c r="D117" i="4"/>
  <c r="A118" i="4"/>
  <c r="C118" i="4"/>
  <c r="D118" i="4"/>
  <c r="A119" i="4"/>
  <c r="C119" i="4"/>
  <c r="D119" i="4"/>
  <c r="A120" i="4"/>
  <c r="C120" i="4"/>
  <c r="D120" i="4"/>
  <c r="A121" i="4"/>
  <c r="C121" i="4"/>
  <c r="D121" i="4"/>
  <c r="A122" i="4"/>
  <c r="C122" i="4"/>
  <c r="D122" i="4"/>
  <c r="A123" i="4"/>
  <c r="C123" i="4"/>
  <c r="D123" i="4"/>
  <c r="A124" i="4"/>
  <c r="C124" i="4"/>
  <c r="D124" i="4"/>
  <c r="A125" i="4"/>
  <c r="C125" i="4"/>
  <c r="D125" i="4"/>
  <c r="A126" i="4"/>
  <c r="C126" i="4"/>
  <c r="D126" i="4"/>
  <c r="A127" i="4"/>
  <c r="C127" i="4"/>
  <c r="D127" i="4"/>
  <c r="A128" i="4"/>
  <c r="C128" i="4"/>
  <c r="D128" i="4"/>
  <c r="A129" i="4"/>
  <c r="C129" i="4"/>
  <c r="D129" i="4"/>
  <c r="A130" i="4"/>
  <c r="C130" i="4"/>
  <c r="D130" i="4"/>
  <c r="A131" i="4"/>
  <c r="C131" i="4"/>
  <c r="D131" i="4"/>
  <c r="A132" i="4"/>
  <c r="C132" i="4"/>
  <c r="D132" i="4"/>
  <c r="A133" i="4"/>
  <c r="C133" i="4"/>
  <c r="D133" i="4"/>
  <c r="A134" i="4"/>
  <c r="C134" i="4"/>
  <c r="D134" i="4"/>
  <c r="A135" i="4"/>
  <c r="C135" i="4"/>
  <c r="D135" i="4"/>
  <c r="A136" i="4"/>
  <c r="C136" i="4"/>
  <c r="D136" i="4"/>
  <c r="A137" i="4"/>
  <c r="C137" i="4"/>
  <c r="D137" i="4"/>
  <c r="A138" i="4"/>
  <c r="C138" i="4"/>
  <c r="D138" i="4"/>
  <c r="A139" i="4"/>
  <c r="C139" i="4"/>
  <c r="D139" i="4"/>
  <c r="A140" i="4"/>
  <c r="C140" i="4"/>
  <c r="D140" i="4"/>
  <c r="A141" i="4"/>
  <c r="C141" i="4"/>
  <c r="D141" i="4"/>
  <c r="A142" i="4"/>
  <c r="C142" i="4"/>
  <c r="D142" i="4"/>
  <c r="A143" i="4"/>
  <c r="C143" i="4"/>
  <c r="D143" i="4"/>
  <c r="A144" i="4"/>
  <c r="C144" i="4"/>
  <c r="D144" i="4"/>
  <c r="A145" i="4"/>
  <c r="C145" i="4"/>
  <c r="D145" i="4"/>
  <c r="A146" i="4"/>
  <c r="C146" i="4"/>
  <c r="D146" i="4"/>
  <c r="A147" i="4"/>
  <c r="C147" i="4"/>
  <c r="D147" i="4"/>
  <c r="A148" i="4"/>
  <c r="C148" i="4"/>
  <c r="D148" i="4"/>
  <c r="A149" i="4"/>
  <c r="C149" i="4"/>
  <c r="D149" i="4"/>
  <c r="A150" i="4"/>
  <c r="C150" i="4"/>
  <c r="D150" i="4"/>
  <c r="A151" i="4"/>
  <c r="C151" i="4"/>
  <c r="D151" i="4"/>
  <c r="A152" i="4"/>
  <c r="C152" i="4"/>
  <c r="D152" i="4"/>
  <c r="A153" i="4"/>
  <c r="C153" i="4"/>
  <c r="D153" i="4"/>
  <c r="A154" i="4"/>
  <c r="C154" i="4"/>
  <c r="D154" i="4"/>
  <c r="A155" i="4"/>
  <c r="C155" i="4"/>
  <c r="D155" i="4"/>
  <c r="A156" i="4"/>
  <c r="C156" i="4"/>
  <c r="D156" i="4"/>
  <c r="A157" i="4"/>
  <c r="C157" i="4"/>
  <c r="D157" i="4"/>
  <c r="A158" i="4"/>
  <c r="C158" i="4"/>
  <c r="D158" i="4"/>
  <c r="A159" i="4"/>
  <c r="C159" i="4"/>
  <c r="D159" i="4"/>
  <c r="A160" i="4"/>
  <c r="C160" i="4"/>
  <c r="D160" i="4"/>
  <c r="A161" i="4"/>
  <c r="C161" i="4"/>
  <c r="D161" i="4"/>
  <c r="A162" i="4"/>
  <c r="C162" i="4"/>
  <c r="D162" i="4"/>
  <c r="A163" i="4"/>
  <c r="C163" i="4"/>
  <c r="D163" i="4"/>
  <c r="A164" i="4"/>
  <c r="C164" i="4"/>
  <c r="D164" i="4"/>
  <c r="A165" i="4"/>
  <c r="C165" i="4"/>
  <c r="D165" i="4"/>
  <c r="A166" i="4"/>
  <c r="C166" i="4"/>
  <c r="D166" i="4"/>
  <c r="A167" i="4"/>
  <c r="C167" i="4"/>
  <c r="D167" i="4"/>
  <c r="A168" i="4"/>
  <c r="C168" i="4"/>
  <c r="D168" i="4"/>
  <c r="A169" i="4"/>
  <c r="C169" i="4"/>
  <c r="D169" i="4"/>
  <c r="A170" i="4"/>
  <c r="C170" i="4"/>
  <c r="D170" i="4"/>
  <c r="A171" i="4"/>
  <c r="C171" i="4"/>
  <c r="D171" i="4"/>
  <c r="A172" i="4"/>
  <c r="C172" i="4"/>
  <c r="D172" i="4"/>
  <c r="A173" i="4"/>
  <c r="C173" i="4"/>
  <c r="D173" i="4"/>
  <c r="A174" i="4"/>
  <c r="C174" i="4"/>
  <c r="D174" i="4"/>
  <c r="A175" i="4"/>
  <c r="C175" i="4"/>
  <c r="D175" i="4"/>
  <c r="A176" i="4"/>
  <c r="C176" i="4"/>
  <c r="D176" i="4"/>
  <c r="A177" i="4"/>
  <c r="C177" i="4"/>
  <c r="D177" i="4"/>
  <c r="A178" i="4"/>
  <c r="C178" i="4"/>
  <c r="D178" i="4"/>
  <c r="A179" i="4"/>
  <c r="C179" i="4"/>
  <c r="D179" i="4"/>
  <c r="A180" i="4"/>
  <c r="C180" i="4"/>
  <c r="D180" i="4"/>
  <c r="A181" i="4"/>
  <c r="C181" i="4"/>
  <c r="D181" i="4"/>
  <c r="A182" i="4"/>
  <c r="C182" i="4"/>
  <c r="D182" i="4"/>
  <c r="A183" i="4"/>
  <c r="C183" i="4"/>
  <c r="D183" i="4"/>
  <c r="A184" i="4"/>
  <c r="C184" i="4"/>
  <c r="D184" i="4"/>
  <c r="A185" i="4"/>
  <c r="C185" i="4"/>
  <c r="D185" i="4"/>
  <c r="A186" i="4"/>
  <c r="C186" i="4"/>
  <c r="D186" i="4"/>
  <c r="A187" i="4"/>
  <c r="C187" i="4"/>
  <c r="D187" i="4"/>
  <c r="A188" i="4"/>
  <c r="C188" i="4"/>
  <c r="D188" i="4"/>
  <c r="A189" i="4"/>
  <c r="C189" i="4"/>
  <c r="D189" i="4"/>
  <c r="A190" i="4"/>
  <c r="C190" i="4"/>
  <c r="D190" i="4"/>
  <c r="A191" i="4"/>
  <c r="C191" i="4"/>
  <c r="D191" i="4"/>
  <c r="A192" i="4"/>
  <c r="C192" i="4"/>
  <c r="D192" i="4"/>
  <c r="A193" i="4"/>
  <c r="C193" i="4"/>
  <c r="D193" i="4"/>
  <c r="A194" i="4"/>
  <c r="C194" i="4"/>
  <c r="D194" i="4"/>
  <c r="A195" i="4"/>
  <c r="C195" i="4"/>
  <c r="D195" i="4"/>
  <c r="A196" i="4"/>
  <c r="C196" i="4"/>
  <c r="D196" i="4"/>
  <c r="A197" i="4"/>
  <c r="C197" i="4"/>
  <c r="D197" i="4"/>
  <c r="A198" i="4"/>
  <c r="C198" i="4"/>
  <c r="D198" i="4"/>
  <c r="A199" i="4"/>
  <c r="C199" i="4"/>
  <c r="D199" i="4"/>
  <c r="A200" i="4"/>
  <c r="C200" i="4"/>
  <c r="D200" i="4"/>
  <c r="A201" i="4"/>
  <c r="C201" i="4"/>
  <c r="D201" i="4"/>
  <c r="A202" i="4"/>
  <c r="C202" i="4"/>
  <c r="D202" i="4"/>
  <c r="A203" i="4"/>
  <c r="C203" i="4"/>
  <c r="D203" i="4"/>
  <c r="A204" i="4"/>
  <c r="C204" i="4"/>
  <c r="D204" i="4"/>
  <c r="A205" i="4"/>
  <c r="C205" i="4"/>
  <c r="D205" i="4"/>
  <c r="A206" i="4"/>
  <c r="C206" i="4"/>
  <c r="D206" i="4"/>
  <c r="A207" i="4"/>
  <c r="C207" i="4"/>
  <c r="D207" i="4"/>
  <c r="A208" i="4"/>
  <c r="C208" i="4"/>
  <c r="D208" i="4"/>
  <c r="A209" i="4"/>
  <c r="C209" i="4"/>
  <c r="D209" i="4"/>
  <c r="A210" i="4"/>
  <c r="C210" i="4"/>
  <c r="D210" i="4"/>
  <c r="A211" i="4"/>
  <c r="C211" i="4"/>
  <c r="D211" i="4"/>
  <c r="A212" i="4"/>
  <c r="C212" i="4"/>
  <c r="D212" i="4"/>
  <c r="A8" i="3"/>
  <c r="C8" i="3"/>
  <c r="D8" i="3"/>
  <c r="A9" i="3"/>
  <c r="C9" i="3"/>
  <c r="D9" i="3"/>
  <c r="A10" i="3"/>
  <c r="C10" i="3"/>
  <c r="D10" i="3"/>
  <c r="A11" i="3"/>
  <c r="C11" i="3"/>
  <c r="D11" i="3"/>
  <c r="A12" i="3"/>
  <c r="C12" i="3"/>
  <c r="D12" i="3"/>
  <c r="A13" i="3"/>
  <c r="C13" i="3"/>
  <c r="D13" i="3"/>
  <c r="A14" i="3"/>
  <c r="C14" i="3"/>
  <c r="D14" i="3"/>
  <c r="A15" i="3"/>
  <c r="C15" i="3"/>
  <c r="D15" i="3"/>
  <c r="A16" i="3"/>
  <c r="C16" i="3"/>
  <c r="D16" i="3"/>
  <c r="A17" i="3"/>
  <c r="C17" i="3"/>
  <c r="D17" i="3"/>
  <c r="A18" i="3"/>
  <c r="C18" i="3"/>
  <c r="D18" i="3"/>
  <c r="A19" i="3"/>
  <c r="C19" i="3"/>
  <c r="D19" i="3"/>
  <c r="A20" i="3"/>
  <c r="C20" i="3"/>
  <c r="D20" i="3"/>
  <c r="A21" i="3"/>
  <c r="C21" i="3"/>
  <c r="D21" i="3"/>
  <c r="A22" i="3"/>
  <c r="C22" i="3"/>
  <c r="D22" i="3"/>
  <c r="A23" i="3"/>
  <c r="C23" i="3"/>
  <c r="D23" i="3"/>
  <c r="A24" i="3"/>
  <c r="C24" i="3"/>
  <c r="D24" i="3"/>
  <c r="A25" i="3"/>
  <c r="C25" i="3"/>
  <c r="D25" i="3"/>
  <c r="A26" i="3"/>
  <c r="C26" i="3"/>
  <c r="D26" i="3"/>
  <c r="A27" i="3"/>
  <c r="C27" i="3"/>
  <c r="D27" i="3"/>
  <c r="A28" i="3"/>
  <c r="C28" i="3"/>
  <c r="D28" i="3"/>
  <c r="A29" i="3"/>
  <c r="C29" i="3"/>
  <c r="D29" i="3"/>
  <c r="A30" i="3"/>
  <c r="C30" i="3"/>
  <c r="D30" i="3"/>
  <c r="A31" i="3"/>
  <c r="C31" i="3"/>
  <c r="D31" i="3"/>
  <c r="A32" i="3"/>
  <c r="C32" i="3"/>
  <c r="D32" i="3"/>
  <c r="A33" i="3"/>
  <c r="C33" i="3"/>
  <c r="D33" i="3"/>
  <c r="A34" i="3"/>
  <c r="C34" i="3"/>
  <c r="D34" i="3"/>
  <c r="A35" i="3"/>
  <c r="C35" i="3"/>
  <c r="D35" i="3"/>
  <c r="A36" i="3"/>
  <c r="C36" i="3"/>
  <c r="D36" i="3"/>
  <c r="A37" i="3"/>
  <c r="C37" i="3"/>
  <c r="D37" i="3"/>
  <c r="A38" i="3"/>
  <c r="C38" i="3"/>
  <c r="D38" i="3"/>
  <c r="A39" i="3"/>
  <c r="C39" i="3"/>
  <c r="D39" i="3"/>
  <c r="A40" i="3"/>
  <c r="C40" i="3"/>
  <c r="D40" i="3"/>
  <c r="A41" i="3"/>
  <c r="C41" i="3"/>
  <c r="D41" i="3"/>
  <c r="A42" i="3"/>
  <c r="C42" i="3"/>
  <c r="D42" i="3"/>
  <c r="A43" i="3"/>
  <c r="C43" i="3"/>
  <c r="D43" i="3"/>
  <c r="A44" i="3"/>
  <c r="C44" i="3"/>
  <c r="D44" i="3"/>
  <c r="A45" i="3"/>
  <c r="C45" i="3"/>
  <c r="D45" i="3"/>
  <c r="A46" i="3"/>
  <c r="C46" i="3"/>
  <c r="D46" i="3"/>
  <c r="A47" i="3"/>
  <c r="C47" i="3"/>
  <c r="D47" i="3"/>
  <c r="A48" i="3"/>
  <c r="C48" i="3"/>
  <c r="D48" i="3"/>
  <c r="A49" i="3"/>
  <c r="C49" i="3"/>
  <c r="D49" i="3"/>
  <c r="A50" i="3"/>
  <c r="C50" i="3"/>
  <c r="D50" i="3"/>
  <c r="A51" i="3"/>
  <c r="C51" i="3"/>
  <c r="D51" i="3"/>
  <c r="A52" i="3"/>
  <c r="C52" i="3"/>
  <c r="D52" i="3"/>
  <c r="A53" i="3"/>
  <c r="C53" i="3"/>
  <c r="D53" i="3"/>
  <c r="A54" i="3"/>
  <c r="C54" i="3"/>
  <c r="D54" i="3"/>
  <c r="A55" i="3"/>
  <c r="C55" i="3"/>
  <c r="D55" i="3"/>
  <c r="A56" i="3"/>
  <c r="C56" i="3"/>
  <c r="D56" i="3"/>
  <c r="A57" i="3"/>
  <c r="C57" i="3"/>
  <c r="D57" i="3"/>
  <c r="A58" i="3"/>
  <c r="C58" i="3"/>
  <c r="D58" i="3"/>
  <c r="A59" i="3"/>
  <c r="C59" i="3"/>
  <c r="D59" i="3"/>
  <c r="A60" i="3"/>
  <c r="C60" i="3"/>
  <c r="D60" i="3"/>
  <c r="A61" i="3"/>
  <c r="C61" i="3"/>
  <c r="D61" i="3"/>
  <c r="A62" i="3"/>
  <c r="C62" i="3"/>
  <c r="D62" i="3"/>
  <c r="A63" i="3"/>
  <c r="C63" i="3"/>
  <c r="D63" i="3"/>
  <c r="A64" i="3"/>
  <c r="C64" i="3"/>
  <c r="D64" i="3"/>
  <c r="A65" i="3"/>
  <c r="C65" i="3"/>
  <c r="D65" i="3"/>
  <c r="A66" i="3"/>
  <c r="C66" i="3"/>
  <c r="D66" i="3"/>
  <c r="A67" i="3"/>
  <c r="C67" i="3"/>
  <c r="D67" i="3"/>
  <c r="A68" i="3"/>
  <c r="C68" i="3"/>
  <c r="D68" i="3"/>
  <c r="A69" i="3"/>
  <c r="C69" i="3"/>
  <c r="D69" i="3"/>
  <c r="A70" i="3"/>
  <c r="C70" i="3"/>
  <c r="D70" i="3"/>
  <c r="A71" i="3"/>
  <c r="C71" i="3"/>
  <c r="D71" i="3"/>
  <c r="A72" i="3"/>
  <c r="C72" i="3"/>
  <c r="D72" i="3"/>
  <c r="A73" i="3"/>
  <c r="C73" i="3"/>
  <c r="D73" i="3"/>
  <c r="A74" i="3"/>
  <c r="C74" i="3"/>
  <c r="D74" i="3"/>
  <c r="A75" i="3"/>
  <c r="C75" i="3"/>
  <c r="D75" i="3"/>
  <c r="A76" i="3"/>
  <c r="C76" i="3"/>
  <c r="D76" i="3"/>
  <c r="A77" i="3"/>
  <c r="C77" i="3"/>
  <c r="D77" i="3"/>
  <c r="A78" i="3"/>
  <c r="C78" i="3"/>
  <c r="D78" i="3"/>
  <c r="A79" i="3"/>
  <c r="C79" i="3"/>
  <c r="D79" i="3"/>
  <c r="A80" i="3"/>
  <c r="C80" i="3"/>
  <c r="D80" i="3"/>
  <c r="A81" i="3"/>
  <c r="C81" i="3"/>
  <c r="D81" i="3"/>
  <c r="A82" i="3"/>
  <c r="C82" i="3"/>
  <c r="D82" i="3"/>
  <c r="A83" i="3"/>
  <c r="C83" i="3"/>
  <c r="D83" i="3"/>
  <c r="A84" i="3"/>
  <c r="C84" i="3"/>
  <c r="D84" i="3"/>
  <c r="A85" i="3"/>
  <c r="C85" i="3"/>
  <c r="D85" i="3"/>
  <c r="A86" i="3"/>
  <c r="C86" i="3"/>
  <c r="D86" i="3"/>
  <c r="A87" i="3"/>
  <c r="C87" i="3"/>
  <c r="D87" i="3"/>
  <c r="A88" i="3"/>
  <c r="C88" i="3"/>
  <c r="D88" i="3"/>
  <c r="A89" i="3"/>
  <c r="C89" i="3"/>
  <c r="D89" i="3"/>
  <c r="A90" i="3"/>
  <c r="C90" i="3"/>
  <c r="D90" i="3"/>
  <c r="A91" i="3"/>
  <c r="C91" i="3"/>
  <c r="D91" i="3"/>
  <c r="A92" i="3"/>
  <c r="C92" i="3"/>
  <c r="D92" i="3"/>
  <c r="A93" i="3"/>
  <c r="C93" i="3"/>
  <c r="D93" i="3"/>
  <c r="A94" i="3"/>
  <c r="C94" i="3"/>
  <c r="D94" i="3"/>
  <c r="A95" i="3"/>
  <c r="C95" i="3"/>
  <c r="D95" i="3"/>
  <c r="A96" i="3"/>
  <c r="C96" i="3"/>
  <c r="D96" i="3"/>
  <c r="A97" i="3"/>
  <c r="C97" i="3"/>
  <c r="D97" i="3"/>
  <c r="A98" i="3"/>
  <c r="C98" i="3"/>
  <c r="D98" i="3"/>
  <c r="A99" i="3"/>
  <c r="C99" i="3"/>
  <c r="D99" i="3"/>
  <c r="A100" i="3"/>
  <c r="C100" i="3"/>
  <c r="D100" i="3"/>
  <c r="A101" i="3"/>
  <c r="C101" i="3"/>
  <c r="D101" i="3"/>
  <c r="A102" i="3"/>
  <c r="C102" i="3"/>
  <c r="D102" i="3"/>
  <c r="A103" i="3"/>
  <c r="C103" i="3"/>
  <c r="D103" i="3"/>
  <c r="A104" i="3"/>
  <c r="C104" i="3"/>
  <c r="D104" i="3"/>
  <c r="A105" i="3"/>
  <c r="C105" i="3"/>
  <c r="D105" i="3"/>
  <c r="A106" i="3"/>
  <c r="C106" i="3"/>
  <c r="D106" i="3"/>
  <c r="A107" i="3"/>
  <c r="C107" i="3"/>
  <c r="D107" i="3"/>
  <c r="A108" i="3"/>
  <c r="C108" i="3"/>
  <c r="D108" i="3"/>
  <c r="A109" i="3"/>
  <c r="C109" i="3"/>
  <c r="D109" i="3"/>
  <c r="A110" i="3"/>
  <c r="C110" i="3"/>
  <c r="D110" i="3"/>
  <c r="A111" i="3"/>
  <c r="C111" i="3"/>
  <c r="D111" i="3"/>
  <c r="A112" i="3"/>
  <c r="C112" i="3"/>
  <c r="D112" i="3"/>
  <c r="A113" i="3"/>
  <c r="C113" i="3"/>
  <c r="D113" i="3"/>
  <c r="A114" i="3"/>
  <c r="C114" i="3"/>
  <c r="D114" i="3"/>
  <c r="A115" i="3"/>
  <c r="C115" i="3"/>
  <c r="D115" i="3"/>
  <c r="A116" i="3"/>
  <c r="C116" i="3"/>
  <c r="D116" i="3"/>
  <c r="A117" i="3"/>
  <c r="C117" i="3"/>
  <c r="D117" i="3"/>
  <c r="A118" i="3"/>
  <c r="C118" i="3"/>
  <c r="D118" i="3"/>
  <c r="A119" i="3"/>
  <c r="C119" i="3"/>
  <c r="D119" i="3"/>
  <c r="A120" i="3"/>
  <c r="C120" i="3"/>
  <c r="D120" i="3"/>
  <c r="A121" i="3"/>
  <c r="C121" i="3"/>
  <c r="D121" i="3"/>
  <c r="A122" i="3"/>
  <c r="C122" i="3"/>
  <c r="D122" i="3"/>
  <c r="A123" i="3"/>
  <c r="C123" i="3"/>
  <c r="D123" i="3"/>
  <c r="A124" i="3"/>
  <c r="C124" i="3"/>
  <c r="D124" i="3"/>
  <c r="A125" i="3"/>
  <c r="C125" i="3"/>
  <c r="D125" i="3"/>
  <c r="A126" i="3"/>
  <c r="C126" i="3"/>
  <c r="D126" i="3"/>
  <c r="A127" i="3"/>
  <c r="C127" i="3"/>
  <c r="D127" i="3"/>
  <c r="A128" i="3"/>
  <c r="C128" i="3"/>
  <c r="D128" i="3"/>
  <c r="A129" i="3"/>
  <c r="C129" i="3"/>
  <c r="D129" i="3"/>
  <c r="A130" i="3"/>
  <c r="C130" i="3"/>
  <c r="D130" i="3"/>
  <c r="A131" i="3"/>
  <c r="C131" i="3"/>
  <c r="D131" i="3"/>
  <c r="A132" i="3"/>
  <c r="C132" i="3"/>
  <c r="D132" i="3"/>
  <c r="A133" i="3"/>
  <c r="C133" i="3"/>
  <c r="D133" i="3"/>
  <c r="A134" i="3"/>
  <c r="C134" i="3"/>
  <c r="D134" i="3"/>
  <c r="A135" i="3"/>
  <c r="C135" i="3"/>
  <c r="D135" i="3"/>
  <c r="A136" i="3"/>
  <c r="C136" i="3"/>
  <c r="D136" i="3"/>
  <c r="A137" i="3"/>
  <c r="C137" i="3"/>
  <c r="D137" i="3"/>
  <c r="A138" i="3"/>
  <c r="C138" i="3"/>
  <c r="D138" i="3"/>
  <c r="A139" i="3"/>
  <c r="C139" i="3"/>
  <c r="D139" i="3"/>
  <c r="A140" i="3"/>
  <c r="C140" i="3"/>
  <c r="D140" i="3"/>
  <c r="A141" i="3"/>
  <c r="C141" i="3"/>
  <c r="D141" i="3"/>
  <c r="A142" i="3"/>
  <c r="C142" i="3"/>
  <c r="D142" i="3"/>
  <c r="A143" i="3"/>
  <c r="C143" i="3"/>
  <c r="D143" i="3"/>
  <c r="A144" i="3"/>
  <c r="C144" i="3"/>
  <c r="D144" i="3"/>
  <c r="A145" i="3"/>
  <c r="C145" i="3"/>
  <c r="D145" i="3"/>
  <c r="A146" i="3"/>
  <c r="C146" i="3"/>
  <c r="D146" i="3"/>
  <c r="A147" i="3"/>
  <c r="C147" i="3"/>
  <c r="D147" i="3"/>
  <c r="A148" i="3"/>
  <c r="C148" i="3"/>
  <c r="D148" i="3"/>
  <c r="A149" i="3"/>
  <c r="C149" i="3"/>
  <c r="D149" i="3"/>
  <c r="A150" i="3"/>
  <c r="C150" i="3"/>
  <c r="D150" i="3"/>
  <c r="A151" i="3"/>
  <c r="C151" i="3"/>
  <c r="D151" i="3"/>
  <c r="A152" i="3"/>
  <c r="C152" i="3"/>
  <c r="D152" i="3"/>
  <c r="A153" i="3"/>
  <c r="C153" i="3"/>
  <c r="D153" i="3"/>
  <c r="A154" i="3"/>
  <c r="C154" i="3"/>
  <c r="D154" i="3"/>
  <c r="A155" i="3"/>
  <c r="C155" i="3"/>
  <c r="D155" i="3"/>
  <c r="A156" i="3"/>
  <c r="C156" i="3"/>
  <c r="D156" i="3"/>
  <c r="A157" i="3"/>
  <c r="C157" i="3"/>
  <c r="D157" i="3"/>
  <c r="A158" i="3"/>
  <c r="C158" i="3"/>
  <c r="D158" i="3"/>
  <c r="A159" i="3"/>
  <c r="C159" i="3"/>
  <c r="D159" i="3"/>
  <c r="A160" i="3"/>
  <c r="C160" i="3"/>
  <c r="D160" i="3"/>
  <c r="A161" i="3"/>
  <c r="C161" i="3"/>
  <c r="D161" i="3"/>
  <c r="A162" i="3"/>
  <c r="C162" i="3"/>
  <c r="D162" i="3"/>
  <c r="A163" i="3"/>
  <c r="C163" i="3"/>
  <c r="D163" i="3"/>
  <c r="A164" i="3"/>
  <c r="C164" i="3"/>
  <c r="D164" i="3"/>
  <c r="A165" i="3"/>
  <c r="C165" i="3"/>
  <c r="D165" i="3"/>
  <c r="A166" i="3"/>
  <c r="C166" i="3"/>
  <c r="D166" i="3"/>
  <c r="A167" i="3"/>
  <c r="C167" i="3"/>
  <c r="D167" i="3"/>
  <c r="A168" i="3"/>
  <c r="C168" i="3"/>
  <c r="D168" i="3"/>
  <c r="A169" i="3"/>
  <c r="C169" i="3"/>
  <c r="D169" i="3"/>
  <c r="A170" i="3"/>
  <c r="C170" i="3"/>
  <c r="D170" i="3"/>
  <c r="A171" i="3"/>
  <c r="C171" i="3"/>
  <c r="D171" i="3"/>
  <c r="A172" i="3"/>
  <c r="C172" i="3"/>
  <c r="D172" i="3"/>
  <c r="A173" i="3"/>
  <c r="C173" i="3"/>
  <c r="D173" i="3"/>
  <c r="A174" i="3"/>
  <c r="C174" i="3"/>
  <c r="D174" i="3"/>
  <c r="A175" i="3"/>
  <c r="C175" i="3"/>
  <c r="D175" i="3"/>
  <c r="A176" i="3"/>
  <c r="C176" i="3"/>
  <c r="D176" i="3"/>
  <c r="A177" i="3"/>
  <c r="C177" i="3"/>
  <c r="D177" i="3"/>
  <c r="A178" i="3"/>
  <c r="C178" i="3"/>
  <c r="D178" i="3"/>
  <c r="A179" i="3"/>
  <c r="C179" i="3"/>
  <c r="D179" i="3"/>
  <c r="A180" i="3"/>
  <c r="C180" i="3"/>
  <c r="D180" i="3"/>
  <c r="A181" i="3"/>
  <c r="C181" i="3"/>
  <c r="D181" i="3"/>
  <c r="A182" i="3"/>
  <c r="C182" i="3"/>
  <c r="D182" i="3"/>
  <c r="A183" i="3"/>
  <c r="C183" i="3"/>
  <c r="D183" i="3"/>
  <c r="A184" i="3"/>
  <c r="C184" i="3"/>
  <c r="D184" i="3"/>
  <c r="A185" i="3"/>
  <c r="C185" i="3"/>
  <c r="D185" i="3"/>
  <c r="A186" i="3"/>
  <c r="C186" i="3"/>
  <c r="D186" i="3"/>
  <c r="A187" i="3"/>
  <c r="C187" i="3"/>
  <c r="D187" i="3"/>
  <c r="A188" i="3"/>
  <c r="C188" i="3"/>
  <c r="D188" i="3"/>
  <c r="A189" i="3"/>
  <c r="C189" i="3"/>
  <c r="D189" i="3"/>
  <c r="A190" i="3"/>
  <c r="C190" i="3"/>
  <c r="D190" i="3"/>
  <c r="A191" i="3"/>
  <c r="C191" i="3"/>
  <c r="D191" i="3"/>
  <c r="A192" i="3"/>
  <c r="C192" i="3"/>
  <c r="D192" i="3"/>
  <c r="A193" i="3"/>
  <c r="C193" i="3"/>
  <c r="D193" i="3"/>
  <c r="A194" i="3"/>
  <c r="C194" i="3"/>
  <c r="D194" i="3"/>
  <c r="A195" i="3"/>
  <c r="C195" i="3"/>
  <c r="D195" i="3"/>
  <c r="A196" i="3"/>
  <c r="C196" i="3"/>
  <c r="D196" i="3"/>
  <c r="A197" i="3"/>
  <c r="C197" i="3"/>
  <c r="D197" i="3"/>
  <c r="A198" i="3"/>
  <c r="C198" i="3"/>
  <c r="D198" i="3"/>
  <c r="A199" i="3"/>
  <c r="C199" i="3"/>
  <c r="D199" i="3"/>
  <c r="A200" i="3"/>
  <c r="C200" i="3"/>
  <c r="D200" i="3"/>
  <c r="A201" i="3"/>
  <c r="C201" i="3"/>
  <c r="D201" i="3"/>
  <c r="A202" i="3"/>
  <c r="C202" i="3"/>
  <c r="D202" i="3"/>
  <c r="A203" i="3"/>
  <c r="C203" i="3"/>
  <c r="D203" i="3"/>
  <c r="A204" i="3"/>
  <c r="C204" i="3"/>
  <c r="D204" i="3"/>
  <c r="A205" i="3"/>
  <c r="C205" i="3"/>
  <c r="D205" i="3"/>
  <c r="A206" i="3"/>
  <c r="C206" i="3"/>
  <c r="D206" i="3"/>
  <c r="A207" i="3"/>
  <c r="C207" i="3"/>
  <c r="D207" i="3"/>
  <c r="A208" i="3"/>
  <c r="C208" i="3"/>
  <c r="D208" i="3"/>
  <c r="A209" i="3"/>
  <c r="C209" i="3"/>
  <c r="D209" i="3"/>
  <c r="A210" i="3"/>
  <c r="C210" i="3"/>
  <c r="D210" i="3"/>
  <c r="A211" i="3"/>
  <c r="C211" i="3"/>
  <c r="D211" i="3"/>
  <c r="A212" i="3"/>
  <c r="C212" i="3"/>
  <c r="D212" i="3"/>
  <c r="A213" i="3"/>
  <c r="C213" i="3"/>
  <c r="D213" i="3"/>
  <c r="A214" i="3"/>
  <c r="C214" i="3"/>
  <c r="D214" i="3"/>
  <c r="A215" i="3"/>
  <c r="C215" i="3"/>
  <c r="D215" i="3"/>
  <c r="A216" i="3"/>
  <c r="C216" i="3"/>
  <c r="D216" i="3"/>
  <c r="A217" i="3"/>
  <c r="C217" i="3"/>
  <c r="D217" i="3"/>
  <c r="A218" i="3"/>
  <c r="C218" i="3"/>
  <c r="D218" i="3"/>
  <c r="A219" i="3"/>
  <c r="C219" i="3"/>
  <c r="D219" i="3"/>
  <c r="A220" i="3"/>
  <c r="C220" i="3"/>
  <c r="D220" i="3"/>
  <c r="A221" i="3"/>
  <c r="C221" i="3"/>
  <c r="D221" i="3"/>
  <c r="A222" i="3"/>
  <c r="C222" i="3"/>
  <c r="D222" i="3"/>
  <c r="A223" i="3"/>
  <c r="C223" i="3"/>
  <c r="D223" i="3"/>
  <c r="A224" i="3"/>
  <c r="C224" i="3"/>
  <c r="D224" i="3"/>
  <c r="A225" i="3"/>
  <c r="C225" i="3"/>
  <c r="D225" i="3"/>
  <c r="A226" i="3"/>
  <c r="C226" i="3"/>
  <c r="D226" i="3"/>
  <c r="A227" i="3"/>
  <c r="C227" i="3"/>
  <c r="D227" i="3"/>
  <c r="A8" i="2"/>
  <c r="C8" i="2"/>
  <c r="D8" i="2"/>
  <c r="A9" i="2"/>
  <c r="C9" i="2"/>
  <c r="D9" i="2"/>
  <c r="A10" i="2"/>
  <c r="C10" i="2"/>
  <c r="D10" i="2"/>
  <c r="A11" i="2"/>
  <c r="C11" i="2"/>
  <c r="D11" i="2"/>
  <c r="A12" i="2"/>
  <c r="C12" i="2"/>
  <c r="D12" i="2"/>
  <c r="A13" i="2"/>
  <c r="C13" i="2"/>
  <c r="D13" i="2"/>
  <c r="A14" i="2"/>
  <c r="C14" i="2"/>
  <c r="D14" i="2"/>
  <c r="A15" i="2"/>
  <c r="C15" i="2"/>
  <c r="D15" i="2"/>
  <c r="A16" i="2"/>
  <c r="C16" i="2"/>
  <c r="D16" i="2"/>
  <c r="A17" i="2"/>
  <c r="C17" i="2"/>
  <c r="D17" i="2"/>
  <c r="A18" i="2"/>
  <c r="C18" i="2"/>
  <c r="D18" i="2"/>
  <c r="A19" i="2"/>
  <c r="C19" i="2"/>
  <c r="D19" i="2"/>
  <c r="A20" i="2"/>
  <c r="C20" i="2"/>
  <c r="D20" i="2"/>
  <c r="A21" i="2"/>
  <c r="C21" i="2"/>
  <c r="D21" i="2"/>
  <c r="A22" i="2"/>
  <c r="C22" i="2"/>
  <c r="D22" i="2"/>
  <c r="A23" i="2"/>
  <c r="C23" i="2"/>
  <c r="D23" i="2"/>
  <c r="A24" i="2"/>
  <c r="C24" i="2"/>
  <c r="D24" i="2"/>
  <c r="A25" i="2"/>
  <c r="C25" i="2"/>
  <c r="D25" i="2"/>
  <c r="A26" i="2"/>
  <c r="C26" i="2"/>
  <c r="D26" i="2"/>
  <c r="A27" i="2"/>
  <c r="C27" i="2"/>
  <c r="D27" i="2"/>
  <c r="A28" i="2"/>
  <c r="C28" i="2"/>
  <c r="D28" i="2"/>
  <c r="A29" i="2"/>
  <c r="C29" i="2"/>
  <c r="D29" i="2"/>
  <c r="A30" i="2"/>
  <c r="C30" i="2"/>
  <c r="D30" i="2"/>
  <c r="A31" i="2"/>
  <c r="C31" i="2"/>
  <c r="D31" i="2"/>
  <c r="A32" i="2"/>
  <c r="C32" i="2"/>
  <c r="D32" i="2"/>
  <c r="A33" i="2"/>
  <c r="C33" i="2"/>
  <c r="D33" i="2"/>
  <c r="A34" i="2"/>
  <c r="C34" i="2"/>
  <c r="D34" i="2"/>
  <c r="A35" i="2"/>
  <c r="C35" i="2"/>
  <c r="D35" i="2"/>
  <c r="A36" i="2"/>
  <c r="C36" i="2"/>
  <c r="D36" i="2"/>
  <c r="A37" i="2"/>
  <c r="C37" i="2"/>
  <c r="D37" i="2"/>
  <c r="A38" i="2"/>
  <c r="C38" i="2"/>
  <c r="D38" i="2"/>
  <c r="A39" i="2"/>
  <c r="C39" i="2"/>
  <c r="D39" i="2"/>
  <c r="A40" i="2"/>
  <c r="C40" i="2"/>
  <c r="D40" i="2"/>
  <c r="A41" i="2"/>
  <c r="C41" i="2"/>
  <c r="D41" i="2"/>
  <c r="A42" i="2"/>
  <c r="C42" i="2"/>
  <c r="D42" i="2"/>
  <c r="A43" i="2"/>
  <c r="C43" i="2"/>
  <c r="D43" i="2"/>
  <c r="A44" i="2"/>
  <c r="C44" i="2"/>
  <c r="D44" i="2"/>
  <c r="A45" i="2"/>
  <c r="C45" i="2"/>
  <c r="D45" i="2"/>
  <c r="A46" i="2"/>
  <c r="C46" i="2"/>
  <c r="D46" i="2"/>
  <c r="A47" i="2"/>
  <c r="C47" i="2"/>
  <c r="D47" i="2"/>
  <c r="A48" i="2"/>
  <c r="C48" i="2"/>
  <c r="D48" i="2"/>
  <c r="A49" i="2"/>
  <c r="C49" i="2"/>
  <c r="D49" i="2"/>
  <c r="A50" i="2"/>
  <c r="C50" i="2"/>
  <c r="D50" i="2"/>
  <c r="A51" i="2"/>
  <c r="C51" i="2"/>
  <c r="D51" i="2"/>
  <c r="A52" i="2"/>
  <c r="C52" i="2"/>
  <c r="D52" i="2"/>
  <c r="A53" i="2"/>
  <c r="C53" i="2"/>
  <c r="D53" i="2"/>
  <c r="A54" i="2"/>
  <c r="C54" i="2"/>
  <c r="D54" i="2"/>
  <c r="A55" i="2"/>
  <c r="C55" i="2"/>
  <c r="D55" i="2"/>
  <c r="A56" i="2"/>
  <c r="C56" i="2"/>
  <c r="D56" i="2"/>
  <c r="A57" i="2"/>
  <c r="C57" i="2"/>
  <c r="D57" i="2"/>
  <c r="A58" i="2"/>
  <c r="C58" i="2"/>
  <c r="D58" i="2"/>
  <c r="A59" i="2"/>
  <c r="C59" i="2"/>
  <c r="D59" i="2"/>
  <c r="A60" i="2"/>
  <c r="C60" i="2"/>
  <c r="D60" i="2"/>
  <c r="A61" i="2"/>
  <c r="C61" i="2"/>
  <c r="D61" i="2"/>
  <c r="A62" i="2"/>
  <c r="C62" i="2"/>
  <c r="D62" i="2"/>
  <c r="A63" i="2"/>
  <c r="C63" i="2"/>
  <c r="D63" i="2"/>
  <c r="A64" i="2"/>
  <c r="C64" i="2"/>
  <c r="D64" i="2"/>
  <c r="A65" i="2"/>
  <c r="C65" i="2"/>
  <c r="D65" i="2"/>
  <c r="A66" i="2"/>
  <c r="C66" i="2"/>
  <c r="D66" i="2"/>
  <c r="A67" i="2"/>
  <c r="C67" i="2"/>
  <c r="D67" i="2"/>
  <c r="A68" i="2"/>
  <c r="C68" i="2"/>
  <c r="D68" i="2"/>
  <c r="A69" i="2"/>
  <c r="C69" i="2"/>
  <c r="D69" i="2"/>
  <c r="A70" i="2"/>
  <c r="C70" i="2"/>
  <c r="D70" i="2"/>
  <c r="A71" i="2"/>
  <c r="C71" i="2"/>
  <c r="D71" i="2"/>
  <c r="A72" i="2"/>
  <c r="C72" i="2"/>
  <c r="D72" i="2"/>
  <c r="A73" i="2"/>
  <c r="C73" i="2"/>
  <c r="D73" i="2"/>
  <c r="A74" i="2"/>
  <c r="C74" i="2"/>
  <c r="D74" i="2"/>
  <c r="A75" i="2"/>
  <c r="C75" i="2"/>
  <c r="D75" i="2"/>
  <c r="A76" i="2"/>
  <c r="C76" i="2"/>
  <c r="D76" i="2"/>
  <c r="A77" i="2"/>
  <c r="C77" i="2"/>
  <c r="D77" i="2"/>
  <c r="A78" i="2"/>
  <c r="C78" i="2"/>
  <c r="D78" i="2"/>
  <c r="A79" i="2"/>
  <c r="C79" i="2"/>
  <c r="D79" i="2"/>
  <c r="A80" i="2"/>
  <c r="C80" i="2"/>
  <c r="D80" i="2"/>
  <c r="A81" i="2"/>
  <c r="C81" i="2"/>
  <c r="D81" i="2"/>
  <c r="A82" i="2"/>
  <c r="C82" i="2"/>
  <c r="D82" i="2"/>
  <c r="A83" i="2"/>
  <c r="C83" i="2"/>
  <c r="D83" i="2"/>
  <c r="A84" i="2"/>
  <c r="C84" i="2"/>
  <c r="D84" i="2"/>
  <c r="A85" i="2"/>
  <c r="C85" i="2"/>
  <c r="D85" i="2"/>
  <c r="A86" i="2"/>
  <c r="C86" i="2"/>
  <c r="D86" i="2"/>
  <c r="A87" i="2"/>
  <c r="C87" i="2"/>
  <c r="D87" i="2"/>
  <c r="A88" i="2"/>
  <c r="C88" i="2"/>
  <c r="D88" i="2"/>
  <c r="A89" i="2"/>
  <c r="C89" i="2"/>
  <c r="D89" i="2"/>
  <c r="A90" i="2"/>
  <c r="C90" i="2"/>
  <c r="D90" i="2"/>
  <c r="A91" i="2"/>
  <c r="C91" i="2"/>
  <c r="D91" i="2"/>
  <c r="A92" i="2"/>
  <c r="C92" i="2"/>
  <c r="D92" i="2"/>
  <c r="A93" i="2"/>
  <c r="C93" i="2"/>
  <c r="D93" i="2"/>
  <c r="A94" i="2"/>
  <c r="C94" i="2"/>
  <c r="D94" i="2"/>
  <c r="A95" i="2"/>
  <c r="C95" i="2"/>
  <c r="D95" i="2"/>
  <c r="A96" i="2"/>
  <c r="C96" i="2"/>
  <c r="D96" i="2"/>
  <c r="A97" i="2"/>
  <c r="C97" i="2"/>
  <c r="D97" i="2"/>
  <c r="A98" i="2"/>
  <c r="C98" i="2"/>
  <c r="D98" i="2"/>
  <c r="A99" i="2"/>
  <c r="C99" i="2"/>
  <c r="D99" i="2"/>
  <c r="A100" i="2"/>
  <c r="C100" i="2"/>
  <c r="D100" i="2"/>
  <c r="A101" i="2"/>
  <c r="C101" i="2"/>
  <c r="D101" i="2"/>
  <c r="A102" i="2"/>
  <c r="C102" i="2"/>
  <c r="D102" i="2"/>
  <c r="A103" i="2"/>
  <c r="C103" i="2"/>
  <c r="D103" i="2"/>
  <c r="A104" i="2"/>
  <c r="C104" i="2"/>
  <c r="D104" i="2"/>
  <c r="A105" i="2"/>
  <c r="C105" i="2"/>
  <c r="D105" i="2"/>
  <c r="A106" i="2"/>
  <c r="C106" i="2"/>
  <c r="D106" i="2"/>
  <c r="A107" i="2"/>
  <c r="C107" i="2"/>
  <c r="D107" i="2"/>
  <c r="A108" i="2"/>
  <c r="C108" i="2"/>
  <c r="D108" i="2"/>
  <c r="A109" i="2"/>
  <c r="C109" i="2"/>
  <c r="D109" i="2"/>
  <c r="A110" i="2"/>
  <c r="C110" i="2"/>
  <c r="D110" i="2"/>
  <c r="A111" i="2"/>
  <c r="C111" i="2"/>
  <c r="D111" i="2"/>
  <c r="A112" i="2"/>
  <c r="C112" i="2"/>
  <c r="D112" i="2"/>
  <c r="A113" i="2"/>
  <c r="C113" i="2"/>
  <c r="D113" i="2"/>
  <c r="A114" i="2"/>
  <c r="C114" i="2"/>
  <c r="D114" i="2"/>
  <c r="A115" i="2"/>
  <c r="C115" i="2"/>
  <c r="D115" i="2"/>
  <c r="A116" i="2"/>
  <c r="C116" i="2"/>
  <c r="D116" i="2"/>
  <c r="A117" i="2"/>
  <c r="C117" i="2"/>
  <c r="D117" i="2"/>
  <c r="A118" i="2"/>
  <c r="C118" i="2"/>
  <c r="D118" i="2"/>
  <c r="A119" i="2"/>
  <c r="C119" i="2"/>
  <c r="D119" i="2"/>
  <c r="A120" i="2"/>
  <c r="C120" i="2"/>
  <c r="D120" i="2"/>
  <c r="A121" i="2"/>
  <c r="C121" i="2"/>
  <c r="D121" i="2"/>
  <c r="A122" i="2"/>
  <c r="C122" i="2"/>
  <c r="D122" i="2"/>
  <c r="A123" i="2"/>
  <c r="C123" i="2"/>
  <c r="D123" i="2"/>
  <c r="A124" i="2"/>
  <c r="C124" i="2"/>
  <c r="D124" i="2"/>
  <c r="A125" i="2"/>
  <c r="C125" i="2"/>
  <c r="D125" i="2"/>
  <c r="A126" i="2"/>
  <c r="C126" i="2"/>
  <c r="D126" i="2"/>
  <c r="A127" i="2"/>
  <c r="C127" i="2"/>
  <c r="D127" i="2"/>
  <c r="A128" i="2"/>
  <c r="C128" i="2"/>
  <c r="D128" i="2"/>
  <c r="A129" i="2"/>
  <c r="C129" i="2"/>
  <c r="D129" i="2"/>
  <c r="A130" i="2"/>
  <c r="C130" i="2"/>
  <c r="D130" i="2"/>
  <c r="A131" i="2"/>
  <c r="C131" i="2"/>
  <c r="D131" i="2"/>
  <c r="A132" i="2"/>
  <c r="C132" i="2"/>
  <c r="D132" i="2"/>
  <c r="A133" i="2"/>
  <c r="C133" i="2"/>
  <c r="D133" i="2"/>
  <c r="A134" i="2"/>
  <c r="C134" i="2"/>
  <c r="D134" i="2"/>
  <c r="A135" i="2"/>
  <c r="C135" i="2"/>
  <c r="D135" i="2"/>
  <c r="A136" i="2"/>
  <c r="C136" i="2"/>
  <c r="D136" i="2"/>
  <c r="A137" i="2"/>
  <c r="C137" i="2"/>
  <c r="D137" i="2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E223" i="3" l="1"/>
  <c r="E216" i="3"/>
  <c r="E19" i="4"/>
  <c r="E198" i="3"/>
  <c r="E204" i="3"/>
  <c r="E48" i="3"/>
  <c r="E52" i="3"/>
  <c r="E219" i="3"/>
  <c r="E61" i="3"/>
  <c r="E225" i="3"/>
  <c r="E201" i="3"/>
  <c r="E91" i="3"/>
  <c r="E188" i="3"/>
  <c r="E66" i="3"/>
  <c r="E64" i="3"/>
  <c r="E46" i="3"/>
  <c r="E173" i="3"/>
  <c r="E76" i="3"/>
  <c r="E210" i="3"/>
  <c r="E194" i="3"/>
  <c r="E213" i="3"/>
  <c r="E63" i="3"/>
  <c r="E61" i="2"/>
  <c r="E67" i="3"/>
  <c r="E45" i="3"/>
  <c r="E125" i="3"/>
  <c r="E113" i="3"/>
  <c r="E97" i="3"/>
  <c r="E13" i="3"/>
  <c r="E54" i="3"/>
  <c r="E183" i="3"/>
  <c r="E177" i="3"/>
  <c r="E79" i="3"/>
  <c r="E73" i="3"/>
  <c r="E51" i="2"/>
  <c r="E45" i="2"/>
  <c r="E43" i="2"/>
  <c r="E21" i="2"/>
  <c r="E13" i="2"/>
  <c r="E57" i="3"/>
  <c r="E55" i="3"/>
  <c r="E49" i="3"/>
  <c r="E31" i="3"/>
  <c r="E27" i="3"/>
  <c r="E15" i="3"/>
  <c r="E9" i="3"/>
  <c r="E37" i="2"/>
  <c r="E33" i="2"/>
  <c r="E25" i="2"/>
  <c r="E194" i="4"/>
  <c r="E155" i="3"/>
  <c r="E222" i="3"/>
  <c r="E13" i="4"/>
  <c r="E69" i="3"/>
  <c r="E49" i="2"/>
  <c r="E226" i="3"/>
  <c r="E207" i="3"/>
  <c r="E179" i="3"/>
  <c r="E167" i="3"/>
  <c r="E143" i="3"/>
  <c r="E85" i="3"/>
  <c r="E180" i="3"/>
  <c r="E51" i="3"/>
  <c r="E30" i="3"/>
  <c r="E25" i="3"/>
  <c r="E197" i="3"/>
  <c r="E103" i="3"/>
  <c r="E57" i="2"/>
  <c r="E27" i="2"/>
  <c r="E15" i="2"/>
  <c r="E161" i="3"/>
  <c r="E200" i="3"/>
  <c r="E185" i="3"/>
  <c r="E182" i="3"/>
  <c r="E109" i="3"/>
  <c r="E39" i="2"/>
  <c r="E19" i="2"/>
  <c r="E9" i="2"/>
  <c r="E191" i="3"/>
  <c r="E176" i="3"/>
  <c r="E164" i="3"/>
  <c r="E158" i="3"/>
  <c r="E146" i="3"/>
  <c r="E94" i="3"/>
  <c r="E88" i="3"/>
  <c r="E82" i="3"/>
  <c r="E72" i="3"/>
  <c r="E58" i="3"/>
  <c r="E42" i="3"/>
  <c r="E87" i="2"/>
  <c r="E81" i="2"/>
  <c r="E75" i="2"/>
  <c r="E67" i="2"/>
  <c r="E209" i="4"/>
  <c r="E173" i="4"/>
  <c r="E101" i="4"/>
  <c r="E95" i="4"/>
  <c r="E85" i="4"/>
  <c r="E83" i="4"/>
  <c r="E79" i="4"/>
  <c r="E77" i="4"/>
  <c r="E73" i="4"/>
  <c r="E71" i="4"/>
  <c r="E67" i="4"/>
  <c r="E65" i="4"/>
  <c r="E55" i="4"/>
  <c r="E53" i="4"/>
  <c r="E49" i="4"/>
  <c r="E47" i="4"/>
  <c r="E43" i="4"/>
  <c r="E41" i="4"/>
  <c r="E37" i="4"/>
  <c r="E31" i="4"/>
  <c r="E25" i="4"/>
  <c r="E102" i="4"/>
  <c r="E26" i="4"/>
  <c r="E14" i="4"/>
  <c r="E12" i="4"/>
  <c r="E140" i="3"/>
  <c r="E122" i="3"/>
  <c r="E107" i="3"/>
  <c r="E100" i="3"/>
  <c r="E98" i="3"/>
  <c r="E124" i="2"/>
  <c r="E114" i="2"/>
  <c r="E100" i="2"/>
  <c r="E132" i="2"/>
  <c r="E126" i="2"/>
  <c r="E102" i="2"/>
  <c r="E96" i="2"/>
  <c r="E75" i="3"/>
  <c r="E43" i="3"/>
  <c r="E39" i="3"/>
  <c r="E37" i="3"/>
  <c r="E36" i="3"/>
  <c r="E34" i="3"/>
  <c r="E33" i="3"/>
  <c r="E28" i="3"/>
  <c r="E24" i="3"/>
  <c r="E22" i="3"/>
  <c r="E21" i="3"/>
  <c r="E18" i="3"/>
  <c r="E19" i="3"/>
  <c r="E16" i="3"/>
  <c r="E12" i="3"/>
  <c r="E128" i="2"/>
  <c r="E123" i="2"/>
  <c r="E42" i="2"/>
  <c r="E36" i="2"/>
  <c r="E212" i="4"/>
  <c r="E206" i="4"/>
  <c r="E203" i="4"/>
  <c r="E200" i="4"/>
  <c r="E197" i="4"/>
  <c r="E191" i="4"/>
  <c r="E185" i="4"/>
  <c r="E179" i="4"/>
  <c r="E167" i="4"/>
  <c r="E149" i="4"/>
  <c r="E131" i="4"/>
  <c r="E119" i="4"/>
  <c r="E100" i="4"/>
  <c r="E96" i="4"/>
  <c r="E94" i="4"/>
  <c r="E90" i="4"/>
  <c r="E84" i="4"/>
  <c r="E72" i="4"/>
  <c r="E66" i="4"/>
  <c r="E64" i="4"/>
  <c r="E58" i="4"/>
  <c r="E54" i="4"/>
  <c r="E48" i="4"/>
  <c r="E42" i="4"/>
  <c r="E36" i="4"/>
  <c r="E30" i="4"/>
  <c r="E20" i="4"/>
  <c r="E18" i="4"/>
  <c r="E8" i="4"/>
  <c r="E152" i="3"/>
  <c r="E131" i="3"/>
  <c r="E118" i="3"/>
  <c r="E116" i="3"/>
  <c r="E110" i="3"/>
  <c r="E106" i="3"/>
  <c r="E104" i="3"/>
  <c r="E101" i="3"/>
  <c r="E95" i="3"/>
  <c r="E129" i="2"/>
  <c r="E127" i="2"/>
  <c r="E125" i="2"/>
  <c r="E78" i="2"/>
  <c r="E76" i="2"/>
  <c r="E70" i="2"/>
  <c r="E66" i="2"/>
  <c r="E64" i="2"/>
  <c r="E58" i="2"/>
  <c r="E54" i="2"/>
  <c r="E101" i="2"/>
  <c r="E105" i="2"/>
  <c r="E99" i="2"/>
  <c r="E48" i="2"/>
  <c r="E34" i="2"/>
  <c r="E30" i="2"/>
  <c r="E22" i="2"/>
  <c r="E18" i="2"/>
  <c r="E16" i="2"/>
  <c r="E12" i="2"/>
  <c r="E161" i="4"/>
  <c r="E155" i="4"/>
  <c r="E143" i="4"/>
  <c r="E137" i="4"/>
  <c r="E125" i="4"/>
  <c r="E113" i="4"/>
  <c r="E107" i="4"/>
  <c r="E89" i="4"/>
  <c r="E78" i="4"/>
  <c r="E60" i="4"/>
  <c r="E59" i="4"/>
  <c r="E38" i="4"/>
  <c r="E32" i="4"/>
  <c r="E24" i="4"/>
  <c r="E170" i="3"/>
  <c r="E149" i="3"/>
  <c r="E137" i="3"/>
  <c r="E134" i="3"/>
  <c r="E128" i="3"/>
  <c r="E121" i="3"/>
  <c r="E119" i="3"/>
  <c r="E112" i="3"/>
  <c r="E70" i="3"/>
  <c r="E60" i="3"/>
  <c r="E40" i="3"/>
  <c r="E84" i="2"/>
  <c r="E79" i="2"/>
  <c r="E72" i="2"/>
  <c r="E73" i="2"/>
  <c r="E52" i="2"/>
  <c r="E24" i="2"/>
  <c r="E10" i="2"/>
  <c r="E119" i="2"/>
  <c r="E92" i="2"/>
  <c r="E136" i="2"/>
  <c r="E111" i="2"/>
  <c r="E109" i="2"/>
  <c r="E188" i="4"/>
  <c r="E182" i="4"/>
  <c r="E176" i="4"/>
  <c r="E170" i="4"/>
  <c r="E164" i="4"/>
  <c r="E158" i="4"/>
  <c r="E152" i="4"/>
  <c r="E146" i="4"/>
  <c r="E140" i="4"/>
  <c r="E134" i="4"/>
  <c r="E128" i="4"/>
  <c r="E122" i="4"/>
  <c r="E116" i="4"/>
  <c r="E110" i="4"/>
  <c r="E104" i="4"/>
  <c r="E118" i="2"/>
  <c r="E93" i="2"/>
  <c r="E120" i="2"/>
  <c r="E91" i="2"/>
  <c r="E137" i="2"/>
  <c r="E110" i="2"/>
  <c r="E117" i="2"/>
  <c r="E90" i="2"/>
  <c r="E134" i="2"/>
  <c r="E135" i="2"/>
  <c r="E133" i="2"/>
  <c r="E108" i="2"/>
  <c r="E115" i="2"/>
  <c r="E106" i="2"/>
  <c r="E97" i="2"/>
  <c r="E88" i="2"/>
  <c r="E80" i="2"/>
  <c r="E62" i="2"/>
  <c r="E56" i="2"/>
  <c r="E50" i="2"/>
  <c r="E46" i="2"/>
  <c r="E38" i="2"/>
  <c r="E26" i="2"/>
  <c r="E20" i="2"/>
  <c r="E8" i="2"/>
  <c r="E224" i="3"/>
  <c r="E220" i="3"/>
  <c r="E212" i="3"/>
  <c r="E208" i="3"/>
  <c r="E202" i="3"/>
  <c r="E196" i="3"/>
  <c r="E192" i="3"/>
  <c r="E184" i="3"/>
  <c r="E172" i="3"/>
  <c r="E168" i="3"/>
  <c r="E160" i="3"/>
  <c r="E156" i="3"/>
  <c r="E150" i="3"/>
  <c r="E142" i="3"/>
  <c r="E136" i="3"/>
  <c r="E132" i="3"/>
  <c r="E124" i="3"/>
  <c r="E120" i="3"/>
  <c r="E108" i="3"/>
  <c r="E96" i="3"/>
  <c r="E92" i="3"/>
  <c r="E84" i="3"/>
  <c r="E80" i="3"/>
  <c r="E68" i="3"/>
  <c r="E62" i="3"/>
  <c r="E56" i="3"/>
  <c r="E50" i="3"/>
  <c r="E44" i="3"/>
  <c r="E32" i="3"/>
  <c r="E20" i="3"/>
  <c r="E8" i="3"/>
  <c r="E205" i="4"/>
  <c r="E201" i="4"/>
  <c r="E195" i="4"/>
  <c r="E187" i="4"/>
  <c r="E183" i="4"/>
  <c r="E175" i="4"/>
  <c r="E171" i="4"/>
  <c r="E163" i="4"/>
  <c r="E157" i="4"/>
  <c r="E153" i="4"/>
  <c r="E145" i="4"/>
  <c r="E139" i="4"/>
  <c r="E135" i="4"/>
  <c r="E127" i="4"/>
  <c r="E123" i="4"/>
  <c r="E115" i="4"/>
  <c r="E111" i="4"/>
  <c r="E105" i="4"/>
  <c r="E97" i="4"/>
  <c r="E93" i="4"/>
  <c r="E81" i="4"/>
  <c r="E75" i="4"/>
  <c r="E69" i="4"/>
  <c r="E63" i="4"/>
  <c r="E61" i="4"/>
  <c r="E57" i="4"/>
  <c r="E45" i="4"/>
  <c r="E39" i="4"/>
  <c r="E35" i="4"/>
  <c r="E33" i="4"/>
  <c r="E29" i="4"/>
  <c r="E27" i="4"/>
  <c r="E23" i="4"/>
  <c r="E21" i="4"/>
  <c r="E17" i="4"/>
  <c r="E15" i="4"/>
  <c r="E11" i="4"/>
  <c r="E9" i="4"/>
  <c r="E86" i="2"/>
  <c r="E82" i="2"/>
  <c r="E74" i="2"/>
  <c r="E68" i="2"/>
  <c r="E60" i="2"/>
  <c r="E44" i="2"/>
  <c r="E40" i="2"/>
  <c r="E32" i="2"/>
  <c r="E28" i="2"/>
  <c r="E14" i="2"/>
  <c r="E218" i="3"/>
  <c r="E214" i="3"/>
  <c r="E206" i="3"/>
  <c r="E190" i="3"/>
  <c r="E186" i="3"/>
  <c r="E178" i="3"/>
  <c r="E174" i="3"/>
  <c r="E166" i="3"/>
  <c r="E162" i="3"/>
  <c r="E154" i="3"/>
  <c r="E148" i="3"/>
  <c r="E144" i="3"/>
  <c r="E138" i="3"/>
  <c r="E130" i="3"/>
  <c r="E126" i="3"/>
  <c r="E114" i="3"/>
  <c r="E102" i="3"/>
  <c r="E90" i="3"/>
  <c r="E86" i="3"/>
  <c r="E78" i="3"/>
  <c r="E74" i="3"/>
  <c r="E38" i="3"/>
  <c r="E26" i="3"/>
  <c r="E14" i="3"/>
  <c r="E10" i="3"/>
  <c r="E211" i="4"/>
  <c r="E207" i="4"/>
  <c r="E199" i="4"/>
  <c r="E193" i="4"/>
  <c r="E189" i="4"/>
  <c r="E181" i="4"/>
  <c r="E177" i="4"/>
  <c r="E169" i="4"/>
  <c r="E165" i="4"/>
  <c r="E159" i="4"/>
  <c r="E151" i="4"/>
  <c r="E147" i="4"/>
  <c r="E141" i="4"/>
  <c r="E133" i="4"/>
  <c r="E129" i="4"/>
  <c r="E121" i="4"/>
  <c r="E117" i="4"/>
  <c r="E109" i="4"/>
  <c r="E103" i="4"/>
  <c r="E99" i="4"/>
  <c r="E91" i="4"/>
  <c r="E87" i="4"/>
  <c r="E51" i="4"/>
  <c r="E131" i="2"/>
  <c r="E122" i="2"/>
  <c r="E113" i="2"/>
  <c r="E104" i="2"/>
  <c r="E95" i="2"/>
  <c r="E98" i="4"/>
  <c r="E92" i="4"/>
  <c r="E88" i="4"/>
  <c r="E86" i="4"/>
  <c r="E82" i="4"/>
  <c r="E80" i="4"/>
  <c r="E76" i="4"/>
  <c r="E74" i="4"/>
  <c r="E70" i="4"/>
  <c r="E68" i="4"/>
  <c r="E62" i="4"/>
  <c r="E56" i="4"/>
  <c r="E52" i="4"/>
  <c r="E50" i="4"/>
  <c r="E46" i="4"/>
  <c r="E44" i="4"/>
  <c r="E40" i="4"/>
  <c r="E34" i="4"/>
  <c r="E28" i="4"/>
  <c r="E22" i="4"/>
  <c r="E16" i="4"/>
  <c r="E10" i="4"/>
  <c r="E116" i="2"/>
  <c r="E98" i="2"/>
  <c r="E83" i="2"/>
  <c r="E77" i="2"/>
  <c r="E69" i="2"/>
  <c r="E65" i="2"/>
  <c r="E53" i="2"/>
  <c r="E41" i="2"/>
  <c r="E35" i="2"/>
  <c r="E31" i="2"/>
  <c r="E23" i="2"/>
  <c r="E17" i="2"/>
  <c r="E11" i="2"/>
  <c r="E227" i="3"/>
  <c r="E217" i="3"/>
  <c r="E209" i="3"/>
  <c r="E205" i="3"/>
  <c r="E199" i="3"/>
  <c r="E193" i="3"/>
  <c r="E189" i="3"/>
  <c r="E175" i="3"/>
  <c r="E171" i="3"/>
  <c r="E163" i="3"/>
  <c r="E159" i="3"/>
  <c r="E151" i="3"/>
  <c r="E147" i="3"/>
  <c r="E141" i="3"/>
  <c r="E133" i="3"/>
  <c r="E129" i="3"/>
  <c r="E117" i="3"/>
  <c r="E87" i="3"/>
  <c r="E83" i="3"/>
  <c r="E71" i="3"/>
  <c r="E59" i="3"/>
  <c r="E47" i="3"/>
  <c r="E35" i="3"/>
  <c r="E23" i="3"/>
  <c r="E210" i="4"/>
  <c r="E202" i="4"/>
  <c r="E198" i="4"/>
  <c r="E190" i="4"/>
  <c r="E186" i="4"/>
  <c r="E180" i="4"/>
  <c r="E172" i="4"/>
  <c r="E168" i="4"/>
  <c r="E160" i="4"/>
  <c r="E156" i="4"/>
  <c r="E148" i="4"/>
  <c r="E144" i="4"/>
  <c r="E136" i="4"/>
  <c r="E130" i="4"/>
  <c r="E126" i="4"/>
  <c r="E118" i="4"/>
  <c r="E114" i="4"/>
  <c r="E108" i="4"/>
  <c r="E107" i="2"/>
  <c r="E89" i="2"/>
  <c r="E85" i="2"/>
  <c r="E71" i="2"/>
  <c r="E63" i="2"/>
  <c r="E59" i="2"/>
  <c r="E55" i="2"/>
  <c r="E47" i="2"/>
  <c r="E29" i="2"/>
  <c r="E221" i="3"/>
  <c r="E215" i="3"/>
  <c r="E211" i="3"/>
  <c r="E203" i="3"/>
  <c r="E195" i="3"/>
  <c r="E187" i="3"/>
  <c r="E181" i="3"/>
  <c r="E169" i="3"/>
  <c r="E165" i="3"/>
  <c r="E157" i="3"/>
  <c r="E153" i="3"/>
  <c r="E145" i="3"/>
  <c r="E139" i="3"/>
  <c r="E135" i="3"/>
  <c r="E127" i="3"/>
  <c r="E123" i="3"/>
  <c r="E115" i="3"/>
  <c r="E111" i="3"/>
  <c r="E105" i="3"/>
  <c r="E99" i="3"/>
  <c r="E93" i="3"/>
  <c r="E89" i="3"/>
  <c r="E81" i="3"/>
  <c r="E77" i="3"/>
  <c r="E65" i="3"/>
  <c r="E53" i="3"/>
  <c r="E41" i="3"/>
  <c r="E29" i="3"/>
  <c r="E17" i="3"/>
  <c r="E11" i="3"/>
  <c r="E208" i="4"/>
  <c r="E204" i="4"/>
  <c r="E196" i="4"/>
  <c r="E192" i="4"/>
  <c r="E184" i="4"/>
  <c r="E178" i="4"/>
  <c r="E174" i="4"/>
  <c r="E166" i="4"/>
  <c r="E162" i="4"/>
  <c r="E154" i="4"/>
  <c r="E150" i="4"/>
  <c r="E142" i="4"/>
  <c r="E138" i="4"/>
  <c r="E132" i="4"/>
  <c r="E124" i="4"/>
  <c r="E120" i="4"/>
  <c r="E112" i="4"/>
  <c r="E106" i="4"/>
  <c r="E130" i="2"/>
  <c r="E121" i="2"/>
  <c r="E112" i="2"/>
  <c r="E103" i="2"/>
  <c r="E94" i="2"/>
</calcChain>
</file>

<file path=xl/sharedStrings.xml><?xml version="1.0" encoding="utf-8"?>
<sst xmlns="http://schemas.openxmlformats.org/spreadsheetml/2006/main" count="3407" uniqueCount="1156">
  <si>
    <t>Tick Option Chain Summary</t>
  </si>
  <si>
    <t>Index</t>
  </si>
  <si>
    <t>Nearest Expiry</t>
  </si>
  <si>
    <t>Spot</t>
  </si>
  <si>
    <t>ATM Strike</t>
  </si>
  <si>
    <t>ATM Straddle</t>
  </si>
  <si>
    <t>Status</t>
  </si>
  <si>
    <t>NIFTY</t>
  </si>
  <si>
    <t>BANKNIFTY</t>
  </si>
  <si>
    <t>SENSEX</t>
  </si>
  <si>
    <t>Last Updated</t>
  </si>
  <si>
    <t>Mode</t>
  </si>
  <si>
    <t>WebSocket tick stream + 300ms batch</t>
  </si>
  <si>
    <t>Autosave</t>
  </si>
  <si>
    <t>60 seconds</t>
  </si>
  <si>
    <t>NIFTY Option Chain</t>
  </si>
  <si>
    <t>ATM</t>
  </si>
  <si>
    <t>Strike</t>
  </si>
  <si>
    <t>Call LTP</t>
  </si>
  <si>
    <t>Put LTP</t>
  </si>
  <si>
    <t>Straddle Sum</t>
  </si>
  <si>
    <t>BANKNIFTY Option Chain</t>
  </si>
  <si>
    <t>SENSEX Option Chain</t>
  </si>
  <si>
    <t>Expiry</t>
  </si>
  <si>
    <t>Tradingsymbol</t>
  </si>
  <si>
    <t>Option Type</t>
  </si>
  <si>
    <t>Last Price</t>
  </si>
  <si>
    <t>Volume</t>
  </si>
  <si>
    <t>OI</t>
  </si>
  <si>
    <t>OI Day High</t>
  </si>
  <si>
    <t>OI Day Low</t>
  </si>
  <si>
    <t>Open</t>
  </si>
  <si>
    <t>High</t>
  </si>
  <si>
    <t>Low</t>
  </si>
  <si>
    <t>Close</t>
  </si>
  <si>
    <t>Best Bid Price</t>
  </si>
  <si>
    <t>Last Trade Time</t>
  </si>
  <si>
    <t>simple-option-chain-v3</t>
  </si>
  <si>
    <t>NSE:NIFTY 50</t>
  </si>
  <si>
    <t>NIFTY2650520100CE</t>
  </si>
  <si>
    <t>CE</t>
  </si>
  <si>
    <t>NIFTY2650520100PE</t>
  </si>
  <si>
    <t>PE</t>
  </si>
  <si>
    <t>NIFTY2650520150CE</t>
  </si>
  <si>
    <t>NIFTY2650520150PE</t>
  </si>
  <si>
    <t>NIFTY2650520200CE</t>
  </si>
  <si>
    <t>NIFTY2650520200PE</t>
  </si>
  <si>
    <t>NIFTY2650520250CE</t>
  </si>
  <si>
    <t>NIFTY2650520250PE</t>
  </si>
  <si>
    <t>NIFTY2650520300CE</t>
  </si>
  <si>
    <t>NIFTY2650520300PE</t>
  </si>
  <si>
    <t>NIFTY2650520350CE</t>
  </si>
  <si>
    <t>NIFTY2650520350PE</t>
  </si>
  <si>
    <t>NIFTY2650520400CE</t>
  </si>
  <si>
    <t>NIFTY2650520400PE</t>
  </si>
  <si>
    <t>NIFTY2650520450CE</t>
  </si>
  <si>
    <t>NIFTY2650520450PE</t>
  </si>
  <si>
    <t>NIFTY2650520500CE</t>
  </si>
  <si>
    <t>NIFTY2650520500PE</t>
  </si>
  <si>
    <t>NIFTY2650520550CE</t>
  </si>
  <si>
    <t>NIFTY2650520550PE</t>
  </si>
  <si>
    <t>NIFTY2650520600CE</t>
  </si>
  <si>
    <t>NIFTY2650520600PE</t>
  </si>
  <si>
    <t>NIFTY2650520650CE</t>
  </si>
  <si>
    <t>NIFTY2650520650PE</t>
  </si>
  <si>
    <t>NIFTY2650520700CE</t>
  </si>
  <si>
    <t>NIFTY2650520700PE</t>
  </si>
  <si>
    <t>NIFTY2650520750CE</t>
  </si>
  <si>
    <t>NIFTY2650520750PE</t>
  </si>
  <si>
    <t>NIFTY2650520800CE</t>
  </si>
  <si>
    <t>NIFTY2650520800PE</t>
  </si>
  <si>
    <t>NIFTY2650520850CE</t>
  </si>
  <si>
    <t>NIFTY2650520850PE</t>
  </si>
  <si>
    <t>NIFTY2650520900CE</t>
  </si>
  <si>
    <t>NIFTY2650520900PE</t>
  </si>
  <si>
    <t>NIFTY2650520950CE</t>
  </si>
  <si>
    <t>NIFTY2650520950PE</t>
  </si>
  <si>
    <t>NIFTY2650521000CE</t>
  </si>
  <si>
    <t>NIFTY2650521000PE</t>
  </si>
  <si>
    <t>NIFTY2650521050CE</t>
  </si>
  <si>
    <t>NIFTY2650521050PE</t>
  </si>
  <si>
    <t>NIFTY2650521100CE</t>
  </si>
  <si>
    <t>NIFTY2650521100PE</t>
  </si>
  <si>
    <t>NIFTY2650521150CE</t>
  </si>
  <si>
    <t>NIFTY2650521150PE</t>
  </si>
  <si>
    <t>NIFTY2650521200CE</t>
  </si>
  <si>
    <t>NIFTY2650521200PE</t>
  </si>
  <si>
    <t>NIFTY2650521250CE</t>
  </si>
  <si>
    <t>NIFTY2650521250PE</t>
  </si>
  <si>
    <t>NIFTY2650521300CE</t>
  </si>
  <si>
    <t>NIFTY2650521300PE</t>
  </si>
  <si>
    <t>NIFTY2650521350CE</t>
  </si>
  <si>
    <t>NIFTY2650521350PE</t>
  </si>
  <si>
    <t>NIFTY2650521400CE</t>
  </si>
  <si>
    <t>NIFTY2650521400PE</t>
  </si>
  <si>
    <t>NIFTY2650521450CE</t>
  </si>
  <si>
    <t>NIFTY2650521450PE</t>
  </si>
  <si>
    <t>NIFTY2650521500CE</t>
  </si>
  <si>
    <t>NIFTY2650521500PE</t>
  </si>
  <si>
    <t>NIFTY2650521550CE</t>
  </si>
  <si>
    <t>NIFTY2650521550PE</t>
  </si>
  <si>
    <t>NIFTY2650521600CE</t>
  </si>
  <si>
    <t>NIFTY2650521600PE</t>
  </si>
  <si>
    <t>NIFTY2650521650CE</t>
  </si>
  <si>
    <t>NIFTY2650521650PE</t>
  </si>
  <si>
    <t>NIFTY2650521700CE</t>
  </si>
  <si>
    <t>NIFTY2650521700PE</t>
  </si>
  <si>
    <t>NIFTY2650521750CE</t>
  </si>
  <si>
    <t>NIFTY2650521750PE</t>
  </si>
  <si>
    <t>NIFTY2650521800CE</t>
  </si>
  <si>
    <t>NIFTY2650521800PE</t>
  </si>
  <si>
    <t>NIFTY2650521850CE</t>
  </si>
  <si>
    <t>NIFTY2650521850PE</t>
  </si>
  <si>
    <t>NIFTY2650521900CE</t>
  </si>
  <si>
    <t>NIFTY2650521900PE</t>
  </si>
  <si>
    <t>NIFTY2650521950CE</t>
  </si>
  <si>
    <t>NIFTY2650521950PE</t>
  </si>
  <si>
    <t>NIFTY2650522000CE</t>
  </si>
  <si>
    <t>NIFTY2650522000PE</t>
  </si>
  <si>
    <t>NIFTY2650522050CE</t>
  </si>
  <si>
    <t>NIFTY2650522050PE</t>
  </si>
  <si>
    <t>NIFTY2650522100CE</t>
  </si>
  <si>
    <t>NIFTY2650522100PE</t>
  </si>
  <si>
    <t>NIFTY2650522150CE</t>
  </si>
  <si>
    <t>NIFTY2650522150PE</t>
  </si>
  <si>
    <t>NIFTY2650522200CE</t>
  </si>
  <si>
    <t>NIFTY2650522200PE</t>
  </si>
  <si>
    <t>NIFTY2650522250CE</t>
  </si>
  <si>
    <t>NIFTY2650522250PE</t>
  </si>
  <si>
    <t>NIFTY2650522300CE</t>
  </si>
  <si>
    <t>NIFTY2650522300PE</t>
  </si>
  <si>
    <t>NIFTY2650522350CE</t>
  </si>
  <si>
    <t>NIFTY2650522350PE</t>
  </si>
  <si>
    <t>NIFTY2650522400CE</t>
  </si>
  <si>
    <t>NIFTY2650522400PE</t>
  </si>
  <si>
    <t>NIFTY2650522450CE</t>
  </si>
  <si>
    <t>NIFTY2650522450PE</t>
  </si>
  <si>
    <t>NIFTY2650522500CE</t>
  </si>
  <si>
    <t>NIFTY2650522500PE</t>
  </si>
  <si>
    <t>NIFTY2650522550CE</t>
  </si>
  <si>
    <t>NIFTY2650522550PE</t>
  </si>
  <si>
    <t>NIFTY2650522600CE</t>
  </si>
  <si>
    <t>NIFTY2650522600PE</t>
  </si>
  <si>
    <t>NIFTY2650522650CE</t>
  </si>
  <si>
    <t>NIFTY2650522650PE</t>
  </si>
  <si>
    <t>NIFTY2650522700CE</t>
  </si>
  <si>
    <t>NIFTY2650522700PE</t>
  </si>
  <si>
    <t>NIFTY2650522750CE</t>
  </si>
  <si>
    <t>NIFTY2650522750PE</t>
  </si>
  <si>
    <t>NIFTY2650522800CE</t>
  </si>
  <si>
    <t>NIFTY2650522800PE</t>
  </si>
  <si>
    <t>NIFTY2650522850CE</t>
  </si>
  <si>
    <t>NIFTY2650522850PE</t>
  </si>
  <si>
    <t>NIFTY2650522900CE</t>
  </si>
  <si>
    <t>NIFTY2650522900PE</t>
  </si>
  <si>
    <t>NIFTY2650522950CE</t>
  </si>
  <si>
    <t>NIFTY2650522950PE</t>
  </si>
  <si>
    <t>NIFTY2650523000CE</t>
  </si>
  <si>
    <t>NIFTY2650523000PE</t>
  </si>
  <si>
    <t>NIFTY2650523050CE</t>
  </si>
  <si>
    <t>NIFTY2650523050PE</t>
  </si>
  <si>
    <t>NIFTY2650523100CE</t>
  </si>
  <si>
    <t>NIFTY2650523100PE</t>
  </si>
  <si>
    <t>NIFTY2650523150CE</t>
  </si>
  <si>
    <t>NIFTY2650523150PE</t>
  </si>
  <si>
    <t>NIFTY2650523200CE</t>
  </si>
  <si>
    <t>NIFTY2650523200PE</t>
  </si>
  <si>
    <t>NIFTY2650523250CE</t>
  </si>
  <si>
    <t>NIFTY2650523250PE</t>
  </si>
  <si>
    <t>NIFTY2650523300CE</t>
  </si>
  <si>
    <t>NIFTY2650523300PE</t>
  </si>
  <si>
    <t>NIFTY2650523350CE</t>
  </si>
  <si>
    <t>NIFTY2650523350PE</t>
  </si>
  <si>
    <t>NIFTY2650523400CE</t>
  </si>
  <si>
    <t>NIFTY2650523400PE</t>
  </si>
  <si>
    <t>NIFTY2650523450CE</t>
  </si>
  <si>
    <t>NIFTY2650523450PE</t>
  </si>
  <si>
    <t>NIFTY2650523500CE</t>
  </si>
  <si>
    <t>NIFTY2650523500PE</t>
  </si>
  <si>
    <t>NIFTY2650523550CE</t>
  </si>
  <si>
    <t>NIFTY2650523550PE</t>
  </si>
  <si>
    <t>NIFTY2650523600CE</t>
  </si>
  <si>
    <t>NIFTY2650523600PE</t>
  </si>
  <si>
    <t>NIFTY2650523650CE</t>
  </si>
  <si>
    <t>NIFTY2650523650PE</t>
  </si>
  <si>
    <t>NIFTY2650523700CE</t>
  </si>
  <si>
    <t>NIFTY2650523700PE</t>
  </si>
  <si>
    <t>NIFTY2650523750CE</t>
  </si>
  <si>
    <t>NIFTY2650523750PE</t>
  </si>
  <si>
    <t>NIFTY2650523800CE</t>
  </si>
  <si>
    <t>NIFTY2650523800PE</t>
  </si>
  <si>
    <t>NIFTY2650523850CE</t>
  </si>
  <si>
    <t>NIFTY2650523850PE</t>
  </si>
  <si>
    <t>NIFTY2650523900CE</t>
  </si>
  <si>
    <t>NIFTY2650523900PE</t>
  </si>
  <si>
    <t>NIFTY2650523950CE</t>
  </si>
  <si>
    <t>NIFTY2650523950PE</t>
  </si>
  <si>
    <t>NIFTY2650524000CE</t>
  </si>
  <si>
    <t>NIFTY2650524000PE</t>
  </si>
  <si>
    <t>NIFTY2650524050CE</t>
  </si>
  <si>
    <t>NIFTY2650524050PE</t>
  </si>
  <si>
    <t>NIFTY2650524100CE</t>
  </si>
  <si>
    <t>NIFTY2650524100PE</t>
  </si>
  <si>
    <t>NIFTY2650524150CE</t>
  </si>
  <si>
    <t>NIFTY2650524150PE</t>
  </si>
  <si>
    <t>NIFTY2650524200CE</t>
  </si>
  <si>
    <t>NIFTY2650524200PE</t>
  </si>
  <si>
    <t>NIFTY2650524250CE</t>
  </si>
  <si>
    <t>NIFTY2650524250PE</t>
  </si>
  <si>
    <t>NIFTY2650524300CE</t>
  </si>
  <si>
    <t>NIFTY2650524300PE</t>
  </si>
  <si>
    <t>NIFTY2650524350CE</t>
  </si>
  <si>
    <t>NIFTY2650524350PE</t>
  </si>
  <si>
    <t>NIFTY2650524400CE</t>
  </si>
  <si>
    <t>NIFTY2650524400PE</t>
  </si>
  <si>
    <t>NIFTY2650524450CE</t>
  </si>
  <si>
    <t>NIFTY2650524450PE</t>
  </si>
  <si>
    <t>NIFTY2650524500CE</t>
  </si>
  <si>
    <t>NIFTY2650524500PE</t>
  </si>
  <si>
    <t>NIFTY2650524550CE</t>
  </si>
  <si>
    <t>NIFTY2650524550PE</t>
  </si>
  <si>
    <t>NIFTY2650524600CE</t>
  </si>
  <si>
    <t>NIFTY2650524600PE</t>
  </si>
  <si>
    <t>NIFTY2650524650CE</t>
  </si>
  <si>
    <t>NIFTY2650524650PE</t>
  </si>
  <si>
    <t>NIFTY2650524700CE</t>
  </si>
  <si>
    <t>NIFTY2650524700PE</t>
  </si>
  <si>
    <t>NIFTY2650524750CE</t>
  </si>
  <si>
    <t>NIFTY2650524750PE</t>
  </si>
  <si>
    <t>NIFTY2650524800CE</t>
  </si>
  <si>
    <t>NIFTY2650524800PE</t>
  </si>
  <si>
    <t>NIFTY2650524850CE</t>
  </si>
  <si>
    <t>NIFTY2650524850PE</t>
  </si>
  <si>
    <t>NIFTY2650524900CE</t>
  </si>
  <si>
    <t>NIFTY2650524900PE</t>
  </si>
  <si>
    <t>NIFTY2650524950CE</t>
  </si>
  <si>
    <t>NIFTY2650524950PE</t>
  </si>
  <si>
    <t>NIFTY2650525000CE</t>
  </si>
  <si>
    <t>NIFTY2650525000PE</t>
  </si>
  <si>
    <t>NIFTY2650525050CE</t>
  </si>
  <si>
    <t>NIFTY2650525050PE</t>
  </si>
  <si>
    <t>NIFTY2650525100CE</t>
  </si>
  <si>
    <t>NIFTY2650525100PE</t>
  </si>
  <si>
    <t>NIFTY2650525150CE</t>
  </si>
  <si>
    <t>NIFTY2650525150PE</t>
  </si>
  <si>
    <t>NIFTY2650525200CE</t>
  </si>
  <si>
    <t>NIFTY2650525200PE</t>
  </si>
  <si>
    <t>NIFTY2650525250CE</t>
  </si>
  <si>
    <t>NIFTY2650525250PE</t>
  </si>
  <si>
    <t>NIFTY2650525300CE</t>
  </si>
  <si>
    <t>NIFTY2650525300PE</t>
  </si>
  <si>
    <t>NIFTY2650525350CE</t>
  </si>
  <si>
    <t>NIFTY2650525350PE</t>
  </si>
  <si>
    <t>NIFTY2650525400CE</t>
  </si>
  <si>
    <t>NIFTY2650525400PE</t>
  </si>
  <si>
    <t>NIFTY2650525450CE</t>
  </si>
  <si>
    <t>NIFTY2650525450PE</t>
  </si>
  <si>
    <t>NIFTY2650525500CE</t>
  </si>
  <si>
    <t>NIFTY2650525500PE</t>
  </si>
  <si>
    <t>NIFTY2650525550CE</t>
  </si>
  <si>
    <t>NIFTY2650525550PE</t>
  </si>
  <si>
    <t>NIFTY2650525600CE</t>
  </si>
  <si>
    <t>NIFTY2650525600PE</t>
  </si>
  <si>
    <t>NIFTY2650525650CE</t>
  </si>
  <si>
    <t>NIFTY2650525650PE</t>
  </si>
  <si>
    <t>NIFTY2650525700CE</t>
  </si>
  <si>
    <t>NIFTY2650525700PE</t>
  </si>
  <si>
    <t>NIFTY2650525750CE</t>
  </si>
  <si>
    <t>NIFTY2650525750PE</t>
  </si>
  <si>
    <t>NIFTY2650525800CE</t>
  </si>
  <si>
    <t>NIFTY2650525800PE</t>
  </si>
  <si>
    <t>NIFTY2650525850CE</t>
  </si>
  <si>
    <t>NIFTY2650525850PE</t>
  </si>
  <si>
    <t>NIFTY2650525900CE</t>
  </si>
  <si>
    <t>NIFTY2650525900PE</t>
  </si>
  <si>
    <t>NIFTY2650525950CE</t>
  </si>
  <si>
    <t>NIFTY2650525950PE</t>
  </si>
  <si>
    <t>NIFTY2650526000CE</t>
  </si>
  <si>
    <t>NIFTY2650526000PE</t>
  </si>
  <si>
    <t>NIFTY2650526050CE</t>
  </si>
  <si>
    <t>NIFTY2650526050PE</t>
  </si>
  <si>
    <t>NIFTY2650526100CE</t>
  </si>
  <si>
    <t>NIFTY2650526100PE</t>
  </si>
  <si>
    <t>NIFTY2650526150CE</t>
  </si>
  <si>
    <t>NIFTY2650526150PE</t>
  </si>
  <si>
    <t>NIFTY2650526200CE</t>
  </si>
  <si>
    <t>NIFTY2650526200PE</t>
  </si>
  <si>
    <t>NIFTY2650526250CE</t>
  </si>
  <si>
    <t>NIFTY2650526250PE</t>
  </si>
  <si>
    <t>NIFTY2650526300CE</t>
  </si>
  <si>
    <t>NIFTY2650526300PE</t>
  </si>
  <si>
    <t>NIFTY2650526350CE</t>
  </si>
  <si>
    <t>NIFTY2650526350PE</t>
  </si>
  <si>
    <t>NIFTY2650526400CE</t>
  </si>
  <si>
    <t>NIFTY2650526400PE</t>
  </si>
  <si>
    <t>NIFTY2650526450CE</t>
  </si>
  <si>
    <t>NIFTY2650526450PE</t>
  </si>
  <si>
    <t>NIFTY2650526500CE</t>
  </si>
  <si>
    <t>NIFTY2650526500PE</t>
  </si>
  <si>
    <t>NIFTY2650526550CE</t>
  </si>
  <si>
    <t>NIFTY2650526550PE</t>
  </si>
  <si>
    <t>NSE:NIFTY BANK</t>
  </si>
  <si>
    <t>BANKNIFTY26MAY43000CE</t>
  </si>
  <si>
    <t>BANKNIFTY26MAY43000PE</t>
  </si>
  <si>
    <t>BANKNIFTY26MAY43500CE</t>
  </si>
  <si>
    <t>BANKNIFTY26MAY43500PE</t>
  </si>
  <si>
    <t>BANKNIFTY26MAY44000CE</t>
  </si>
  <si>
    <t>BANKNIFTY26MAY44000PE</t>
  </si>
  <si>
    <t>BANKNIFTY26MAY44500CE</t>
  </si>
  <si>
    <t>BANKNIFTY26MAY44500PE</t>
  </si>
  <si>
    <t>BANKNIFTY26MAY45000CE</t>
  </si>
  <si>
    <t>BANKNIFTY26MAY45000PE</t>
  </si>
  <si>
    <t>BANKNIFTY26MAY45300CE</t>
  </si>
  <si>
    <t>BANKNIFTY26MAY45300PE</t>
  </si>
  <si>
    <t>BANKNIFTY26MAY45400CE</t>
  </si>
  <si>
    <t>BANKNIFTY26MAY45400PE</t>
  </si>
  <si>
    <t>BANKNIFTY26MAY45500CE</t>
  </si>
  <si>
    <t>BANKNIFTY26MAY45500PE</t>
  </si>
  <si>
    <t>BANKNIFTY26MAY45600CE</t>
  </si>
  <si>
    <t>BANKNIFTY26MAY45600PE</t>
  </si>
  <si>
    <t>BANKNIFTY26MAY45700CE</t>
  </si>
  <si>
    <t>BANKNIFTY26MAY45700PE</t>
  </si>
  <si>
    <t>BANKNIFTY26MAY45800CE</t>
  </si>
  <si>
    <t>BANKNIFTY26MAY45800PE</t>
  </si>
  <si>
    <t>BANKNIFTY26MAY45900CE</t>
  </si>
  <si>
    <t>BANKNIFTY26MAY45900PE</t>
  </si>
  <si>
    <t>BANKNIFTY26MAY46000CE</t>
  </si>
  <si>
    <t>BANKNIFTY26MAY46000PE</t>
  </si>
  <si>
    <t>BANKNIFTY26MAY46100CE</t>
  </si>
  <si>
    <t>BANKNIFTY26MAY46100PE</t>
  </si>
  <si>
    <t>BANKNIFTY26MAY46200CE</t>
  </si>
  <si>
    <t>BANKNIFTY26MAY46200PE</t>
  </si>
  <si>
    <t>BANKNIFTY26MAY46300CE</t>
  </si>
  <si>
    <t>BANKNIFTY26MAY46300PE</t>
  </si>
  <si>
    <t>BANKNIFTY26MAY46400CE</t>
  </si>
  <si>
    <t>BANKNIFTY26MAY46400PE</t>
  </si>
  <si>
    <t>BANKNIFTY26MAY46500CE</t>
  </si>
  <si>
    <t>BANKNIFTY26MAY46500PE</t>
  </si>
  <si>
    <t>BANKNIFTY26MAY46600CE</t>
  </si>
  <si>
    <t>BANKNIFTY26MAY46600PE</t>
  </si>
  <si>
    <t>BANKNIFTY26MAY46700CE</t>
  </si>
  <si>
    <t>BANKNIFTY26MAY46700PE</t>
  </si>
  <si>
    <t>BANKNIFTY26MAY46800CE</t>
  </si>
  <si>
    <t>BANKNIFTY26MAY46800PE</t>
  </si>
  <si>
    <t>BANKNIFTY26MAY46900CE</t>
  </si>
  <si>
    <t>BANKNIFTY26MAY46900PE</t>
  </si>
  <si>
    <t>BANKNIFTY26MAY47000CE</t>
  </si>
  <si>
    <t>BANKNIFTY26MAY47000PE</t>
  </si>
  <si>
    <t>BANKNIFTY26MAY47100CE</t>
  </si>
  <si>
    <t>BANKNIFTY26MAY47100PE</t>
  </si>
  <si>
    <t>BANKNIFTY26MAY47200CE</t>
  </si>
  <si>
    <t>BANKNIFTY26MAY47200PE</t>
  </si>
  <si>
    <t>BANKNIFTY26MAY47300CE</t>
  </si>
  <si>
    <t>BANKNIFTY26MAY47300PE</t>
  </si>
  <si>
    <t>BANKNIFTY26MAY47400CE</t>
  </si>
  <si>
    <t>BANKNIFTY26MAY47400PE</t>
  </si>
  <si>
    <t>BANKNIFTY26MAY47500CE</t>
  </si>
  <si>
    <t>BANKNIFTY26MAY47500PE</t>
  </si>
  <si>
    <t>BANKNIFTY26MAY47600CE</t>
  </si>
  <si>
    <t>BANKNIFTY26MAY47600PE</t>
  </si>
  <si>
    <t>BANKNIFTY26MAY47700CE</t>
  </si>
  <si>
    <t>BANKNIFTY26MAY47700PE</t>
  </si>
  <si>
    <t>BANKNIFTY26MAY47800CE</t>
  </si>
  <si>
    <t>BANKNIFTY26MAY47800PE</t>
  </si>
  <si>
    <t>BANKNIFTY26MAY47900CE</t>
  </si>
  <si>
    <t>BANKNIFTY26MAY47900PE</t>
  </si>
  <si>
    <t>BANKNIFTY26MAY48000CE</t>
  </si>
  <si>
    <t>BANKNIFTY26MAY48000PE</t>
  </si>
  <si>
    <t>BANKNIFTY26MAY48100CE</t>
  </si>
  <si>
    <t>BANKNIFTY26MAY48100PE</t>
  </si>
  <si>
    <t>BANKNIFTY26MAY48200CE</t>
  </si>
  <si>
    <t>BANKNIFTY26MAY48200PE</t>
  </si>
  <si>
    <t>BANKNIFTY26MAY48300CE</t>
  </si>
  <si>
    <t>BANKNIFTY26MAY48300PE</t>
  </si>
  <si>
    <t>BANKNIFTY26MAY48400CE</t>
  </si>
  <si>
    <t>BANKNIFTY26MAY48400PE</t>
  </si>
  <si>
    <t>BANKNIFTY26MAY48500CE</t>
  </si>
  <si>
    <t>BANKNIFTY26MAY48500PE</t>
  </si>
  <si>
    <t>BANKNIFTY26MAY48600CE</t>
  </si>
  <si>
    <t>BANKNIFTY26MAY48600PE</t>
  </si>
  <si>
    <t>BANKNIFTY26MAY48700CE</t>
  </si>
  <si>
    <t>BANKNIFTY26MAY48700PE</t>
  </si>
  <si>
    <t>BANKNIFTY26MAY48800CE</t>
  </si>
  <si>
    <t>BANKNIFTY26MAY48800PE</t>
  </si>
  <si>
    <t>BANKNIFTY26MAY48900CE</t>
  </si>
  <si>
    <t>BANKNIFTY26MAY48900PE</t>
  </si>
  <si>
    <t>BANKNIFTY26MAY49000CE</t>
  </si>
  <si>
    <t>BANKNIFTY26MAY49000PE</t>
  </si>
  <si>
    <t>BANKNIFTY26MAY49100CE</t>
  </si>
  <si>
    <t>BANKNIFTY26MAY49100PE</t>
  </si>
  <si>
    <t>BANKNIFTY26MAY49200CE</t>
  </si>
  <si>
    <t>BANKNIFTY26MAY49200PE</t>
  </si>
  <si>
    <t>BANKNIFTY26MAY49300CE</t>
  </si>
  <si>
    <t>BANKNIFTY26MAY49300PE</t>
  </si>
  <si>
    <t>BANKNIFTY26MAY49400CE</t>
  </si>
  <si>
    <t>BANKNIFTY26MAY49400PE</t>
  </si>
  <si>
    <t>BANKNIFTY26MAY49500CE</t>
  </si>
  <si>
    <t>BANKNIFTY26MAY49500PE</t>
  </si>
  <si>
    <t>BANKNIFTY26MAY49600CE</t>
  </si>
  <si>
    <t>BANKNIFTY26MAY49600PE</t>
  </si>
  <si>
    <t>BANKNIFTY26MAY49700CE</t>
  </si>
  <si>
    <t>BANKNIFTY26MAY49700PE</t>
  </si>
  <si>
    <t>BANKNIFTY26MAY49800CE</t>
  </si>
  <si>
    <t>BANKNIFTY26MAY49800PE</t>
  </si>
  <si>
    <t>BANKNIFTY26MAY49900CE</t>
  </si>
  <si>
    <t>BANKNIFTY26MAY49900PE</t>
  </si>
  <si>
    <t>BANKNIFTY26MAY50000CE</t>
  </si>
  <si>
    <t>BANKNIFTY26MAY50000PE</t>
  </si>
  <si>
    <t>BANKNIFTY26MAY50100CE</t>
  </si>
  <si>
    <t>BANKNIFTY26MAY50100PE</t>
  </si>
  <si>
    <t>BANKNIFTY26MAY50200CE</t>
  </si>
  <si>
    <t>BANKNIFTY26MAY50200PE</t>
  </si>
  <si>
    <t>BANKNIFTY26MAY50300CE</t>
  </si>
  <si>
    <t>BANKNIFTY26MAY50300PE</t>
  </si>
  <si>
    <t>BANKNIFTY26MAY50400CE</t>
  </si>
  <si>
    <t>BANKNIFTY26MAY50400PE</t>
  </si>
  <si>
    <t>BANKNIFTY26MAY50500CE</t>
  </si>
  <si>
    <t>BANKNIFTY26MAY50500PE</t>
  </si>
  <si>
    <t>BANKNIFTY26MAY50600CE</t>
  </si>
  <si>
    <t>BANKNIFTY26MAY50600PE</t>
  </si>
  <si>
    <t>BANKNIFTY26MAY50700CE</t>
  </si>
  <si>
    <t>BANKNIFTY26MAY50700PE</t>
  </si>
  <si>
    <t>BANKNIFTY26MAY50800CE</t>
  </si>
  <si>
    <t>BANKNIFTY26MAY50800PE</t>
  </si>
  <si>
    <t>BANKNIFTY26MAY50900CE</t>
  </si>
  <si>
    <t>BANKNIFTY26MAY50900PE</t>
  </si>
  <si>
    <t>BANKNIFTY26MAY51000CE</t>
  </si>
  <si>
    <t>BANKNIFTY26MAY51000PE</t>
  </si>
  <si>
    <t>BANKNIFTY26MAY51100CE</t>
  </si>
  <si>
    <t>BANKNIFTY26MAY51100PE</t>
  </si>
  <si>
    <t>BANKNIFTY26MAY51200CE</t>
  </si>
  <si>
    <t>BANKNIFTY26MAY51200PE</t>
  </si>
  <si>
    <t>BANKNIFTY26MAY51300CE</t>
  </si>
  <si>
    <t>BANKNIFTY26MAY51300PE</t>
  </si>
  <si>
    <t>BANKNIFTY26MAY51400CE</t>
  </si>
  <si>
    <t>BANKNIFTY26MAY51400PE</t>
  </si>
  <si>
    <t>BANKNIFTY26MAY51500CE</t>
  </si>
  <si>
    <t>BANKNIFTY26MAY51500PE</t>
  </si>
  <si>
    <t>BANKNIFTY26MAY51600CE</t>
  </si>
  <si>
    <t>BANKNIFTY26MAY51600PE</t>
  </si>
  <si>
    <t>BANKNIFTY26MAY51700CE</t>
  </si>
  <si>
    <t>BANKNIFTY26MAY51700PE</t>
  </si>
  <si>
    <t>BANKNIFTY26MAY51800CE</t>
  </si>
  <si>
    <t>BANKNIFTY26MAY51800PE</t>
  </si>
  <si>
    <t>BANKNIFTY26MAY51900CE</t>
  </si>
  <si>
    <t>BANKNIFTY26MAY51900PE</t>
  </si>
  <si>
    <t>BANKNIFTY26MAY52000CE</t>
  </si>
  <si>
    <t>BANKNIFTY26MAY52000PE</t>
  </si>
  <si>
    <t>BANKNIFTY26MAY52100CE</t>
  </si>
  <si>
    <t>BANKNIFTY26MAY52100PE</t>
  </si>
  <si>
    <t>BANKNIFTY26MAY52200CE</t>
  </si>
  <si>
    <t>BANKNIFTY26MAY52200PE</t>
  </si>
  <si>
    <t>BANKNIFTY26MAY52300CE</t>
  </si>
  <si>
    <t>BANKNIFTY26MAY52300PE</t>
  </si>
  <si>
    <t>BANKNIFTY26MAY52400CE</t>
  </si>
  <si>
    <t>BANKNIFTY26MAY52400PE</t>
  </si>
  <si>
    <t>BANKNIFTY26MAY52500CE</t>
  </si>
  <si>
    <t>BANKNIFTY26MAY52500PE</t>
  </si>
  <si>
    <t>BANKNIFTY26MAY52600CE</t>
  </si>
  <si>
    <t>BANKNIFTY26MAY52600PE</t>
  </si>
  <si>
    <t>BANKNIFTY26MAY52700CE</t>
  </si>
  <si>
    <t>BANKNIFTY26MAY52700PE</t>
  </si>
  <si>
    <t>BANKNIFTY26MAY52800CE</t>
  </si>
  <si>
    <t>BANKNIFTY26MAY52800PE</t>
  </si>
  <si>
    <t>BANKNIFTY26MAY52900CE</t>
  </si>
  <si>
    <t>BANKNIFTY26MAY52900PE</t>
  </si>
  <si>
    <t>BANKNIFTY26MAY53000CE</t>
  </si>
  <si>
    <t>BANKNIFTY26MAY53000PE</t>
  </si>
  <si>
    <t>BANKNIFTY26MAY53100CE</t>
  </si>
  <si>
    <t>BANKNIFTY26MAY53100PE</t>
  </si>
  <si>
    <t>BANKNIFTY26MAY53200CE</t>
  </si>
  <si>
    <t>BANKNIFTY26MAY53200PE</t>
  </si>
  <si>
    <t>BANKNIFTY26MAY53300CE</t>
  </si>
  <si>
    <t>BANKNIFTY26MAY53300PE</t>
  </si>
  <si>
    <t>BANKNIFTY26MAY53400CE</t>
  </si>
  <si>
    <t>BANKNIFTY26MAY53400PE</t>
  </si>
  <si>
    <t>BANKNIFTY26MAY53500CE</t>
  </si>
  <si>
    <t>BANKNIFTY26MAY53500PE</t>
  </si>
  <si>
    <t>BANKNIFTY26MAY53600CE</t>
  </si>
  <si>
    <t>BANKNIFTY26MAY53600PE</t>
  </si>
  <si>
    <t>BANKNIFTY26MAY53700CE</t>
  </si>
  <si>
    <t>BANKNIFTY26MAY53700PE</t>
  </si>
  <si>
    <t>BANKNIFTY26MAY53800CE</t>
  </si>
  <si>
    <t>BANKNIFTY26MAY53800PE</t>
  </si>
  <si>
    <t>BANKNIFTY26MAY53900CE</t>
  </si>
  <si>
    <t>BANKNIFTY26MAY53900PE</t>
  </si>
  <si>
    <t>BANKNIFTY26MAY54000CE</t>
  </si>
  <si>
    <t>BANKNIFTY26MAY54000PE</t>
  </si>
  <si>
    <t>BANKNIFTY26MAY54100CE</t>
  </si>
  <si>
    <t>BANKNIFTY26MAY54100PE</t>
  </si>
  <si>
    <t>BANKNIFTY26MAY54200CE</t>
  </si>
  <si>
    <t>BANKNIFTY26MAY54200PE</t>
  </si>
  <si>
    <t>BANKNIFTY26MAY54300CE</t>
  </si>
  <si>
    <t>BANKNIFTY26MAY54300PE</t>
  </si>
  <si>
    <t>BANKNIFTY26MAY54400CE</t>
  </si>
  <si>
    <t>BANKNIFTY26MAY54400PE</t>
  </si>
  <si>
    <t>BANKNIFTY26MAY54500CE</t>
  </si>
  <si>
    <t>BANKNIFTY26MAY54500PE</t>
  </si>
  <si>
    <t>BANKNIFTY26MAY54600CE</t>
  </si>
  <si>
    <t>BANKNIFTY26MAY54600PE</t>
  </si>
  <si>
    <t>BANKNIFTY26MAY54700CE</t>
  </si>
  <si>
    <t>BANKNIFTY26MAY54700PE</t>
  </si>
  <si>
    <t>BANKNIFTY26MAY54800CE</t>
  </si>
  <si>
    <t>BANKNIFTY26MAY54800PE</t>
  </si>
  <si>
    <t>BANKNIFTY26MAY54900CE</t>
  </si>
  <si>
    <t>BANKNIFTY26MAY54900PE</t>
  </si>
  <si>
    <t>BANKNIFTY26MAY55000CE</t>
  </si>
  <si>
    <t>BANKNIFTY26MAY55000PE</t>
  </si>
  <si>
    <t>BANKNIFTY26MAY55100CE</t>
  </si>
  <si>
    <t>BANKNIFTY26MAY55100PE</t>
  </si>
  <si>
    <t>BANKNIFTY26MAY55200CE</t>
  </si>
  <si>
    <t>BANKNIFTY26MAY55200PE</t>
  </si>
  <si>
    <t>BANKNIFTY26MAY55300CE</t>
  </si>
  <si>
    <t>BANKNIFTY26MAY55300PE</t>
  </si>
  <si>
    <t>BANKNIFTY26MAY55400CE</t>
  </si>
  <si>
    <t>BANKNIFTY26MAY55400PE</t>
  </si>
  <si>
    <t>BANKNIFTY26MAY55500CE</t>
  </si>
  <si>
    <t>BANKNIFTY26MAY55500PE</t>
  </si>
  <si>
    <t>BANKNIFTY26MAY55600CE</t>
  </si>
  <si>
    <t>BANKNIFTY26MAY55600PE</t>
  </si>
  <si>
    <t>BANKNIFTY26MAY55700CE</t>
  </si>
  <si>
    <t>BANKNIFTY26MAY55700PE</t>
  </si>
  <si>
    <t>BANKNIFTY26MAY55800CE</t>
  </si>
  <si>
    <t>BANKNIFTY26MAY55800PE</t>
  </si>
  <si>
    <t>BANKNIFTY26MAY55900CE</t>
  </si>
  <si>
    <t>BANKNIFTY26MAY55900PE</t>
  </si>
  <si>
    <t>BANKNIFTY26MAY56000CE</t>
  </si>
  <si>
    <t>BANKNIFTY26MAY56000PE</t>
  </si>
  <si>
    <t>BANKNIFTY26MAY56100CE</t>
  </si>
  <si>
    <t>BANKNIFTY26MAY56100PE</t>
  </si>
  <si>
    <t>BANKNIFTY26MAY56200CE</t>
  </si>
  <si>
    <t>BANKNIFTY26MAY56200PE</t>
  </si>
  <si>
    <t>BANKNIFTY26MAY56300CE</t>
  </si>
  <si>
    <t>BANKNIFTY26MAY56300PE</t>
  </si>
  <si>
    <t>BANKNIFTY26MAY56400CE</t>
  </si>
  <si>
    <t>BANKNIFTY26MAY56400PE</t>
  </si>
  <si>
    <t>BANKNIFTY26MAY56500CE</t>
  </si>
  <si>
    <t>BANKNIFTY26MAY56500PE</t>
  </si>
  <si>
    <t>BANKNIFTY26MAY56600CE</t>
  </si>
  <si>
    <t>BANKNIFTY26MAY56600PE</t>
  </si>
  <si>
    <t>BANKNIFTY26MAY56700CE</t>
  </si>
  <si>
    <t>BANKNIFTY26MAY56700PE</t>
  </si>
  <si>
    <t>BANKNIFTY26MAY56800CE</t>
  </si>
  <si>
    <t>BANKNIFTY26MAY56800PE</t>
  </si>
  <si>
    <t>BANKNIFTY26MAY56900CE</t>
  </si>
  <si>
    <t>BANKNIFTY26MAY56900PE</t>
  </si>
  <si>
    <t>BANKNIFTY26MAY57000CE</t>
  </si>
  <si>
    <t>BANKNIFTY26MAY57000PE</t>
  </si>
  <si>
    <t>BANKNIFTY26MAY57100CE</t>
  </si>
  <si>
    <t>BANKNIFTY26MAY57100PE</t>
  </si>
  <si>
    <t>BANKNIFTY26MAY57200CE</t>
  </si>
  <si>
    <t>BANKNIFTY26MAY57200PE</t>
  </si>
  <si>
    <t>BANKNIFTY26MAY57300CE</t>
  </si>
  <si>
    <t>BANKNIFTY26MAY57300PE</t>
  </si>
  <si>
    <t>BANKNIFTY26MAY57400CE</t>
  </si>
  <si>
    <t>BANKNIFTY26MAY57400PE</t>
  </si>
  <si>
    <t>BANKNIFTY26MAY57500CE</t>
  </si>
  <si>
    <t>BANKNIFTY26MAY57500PE</t>
  </si>
  <si>
    <t>BANKNIFTY26MAY57600CE</t>
  </si>
  <si>
    <t>BANKNIFTY26MAY57600PE</t>
  </si>
  <si>
    <t>BANKNIFTY26MAY57700CE</t>
  </si>
  <si>
    <t>BANKNIFTY26MAY57700PE</t>
  </si>
  <si>
    <t>BANKNIFTY26MAY57800CE</t>
  </si>
  <si>
    <t>BANKNIFTY26MAY57800PE</t>
  </si>
  <si>
    <t>BANKNIFTY26MAY57900CE</t>
  </si>
  <si>
    <t>BANKNIFTY26MAY57900PE</t>
  </si>
  <si>
    <t>BANKNIFTY26MAY58000CE</t>
  </si>
  <si>
    <t>BANKNIFTY26MAY58000PE</t>
  </si>
  <si>
    <t>BANKNIFTY26MAY58100CE</t>
  </si>
  <si>
    <t>BANKNIFTY26MAY58100PE</t>
  </si>
  <si>
    <t>BANKNIFTY26MAY58200CE</t>
  </si>
  <si>
    <t>BANKNIFTY26MAY58200PE</t>
  </si>
  <si>
    <t>BANKNIFTY26MAY58300CE</t>
  </si>
  <si>
    <t>BANKNIFTY26MAY58300PE</t>
  </si>
  <si>
    <t>BANKNIFTY26MAY58400CE</t>
  </si>
  <si>
    <t>BANKNIFTY26MAY58400PE</t>
  </si>
  <si>
    <t>BANKNIFTY26MAY58500CE</t>
  </si>
  <si>
    <t>BANKNIFTY26MAY58500PE</t>
  </si>
  <si>
    <t>BANKNIFTY26MAY58600CE</t>
  </si>
  <si>
    <t>BANKNIFTY26MAY58600PE</t>
  </si>
  <si>
    <t>BANKNIFTY26MAY58700CE</t>
  </si>
  <si>
    <t>BANKNIFTY26MAY58700PE</t>
  </si>
  <si>
    <t>BANKNIFTY26MAY58800CE</t>
  </si>
  <si>
    <t>BANKNIFTY26MAY58800PE</t>
  </si>
  <si>
    <t>BANKNIFTY26MAY58900CE</t>
  </si>
  <si>
    <t>BANKNIFTY26MAY58900PE</t>
  </si>
  <si>
    <t>BANKNIFTY26MAY59000CE</t>
  </si>
  <si>
    <t>BANKNIFTY26MAY59000PE</t>
  </si>
  <si>
    <t>BANKNIFTY26MAY59100CE</t>
  </si>
  <si>
    <t>BANKNIFTY26MAY59100PE</t>
  </si>
  <si>
    <t>BANKNIFTY26MAY59200CE</t>
  </si>
  <si>
    <t>BANKNIFTY26MAY59200PE</t>
  </si>
  <si>
    <t>BANKNIFTY26MAY59300CE</t>
  </si>
  <si>
    <t>BANKNIFTY26MAY59300PE</t>
  </si>
  <si>
    <t>BANKNIFTY26MAY59400CE</t>
  </si>
  <si>
    <t>BANKNIFTY26MAY59400PE</t>
  </si>
  <si>
    <t>BANKNIFTY26MAY59500CE</t>
  </si>
  <si>
    <t>BANKNIFTY26MAY59500PE</t>
  </si>
  <si>
    <t>BANKNIFTY26MAY59600CE</t>
  </si>
  <si>
    <t>BANKNIFTY26MAY59600PE</t>
  </si>
  <si>
    <t>BANKNIFTY26MAY59700CE</t>
  </si>
  <si>
    <t>BANKNIFTY26MAY59700PE</t>
  </si>
  <si>
    <t>BANKNIFTY26MAY59800CE</t>
  </si>
  <si>
    <t>BANKNIFTY26MAY59800PE</t>
  </si>
  <si>
    <t>BANKNIFTY26MAY59900CE</t>
  </si>
  <si>
    <t>BANKNIFTY26MAY59900PE</t>
  </si>
  <si>
    <t>BANKNIFTY26MAY60000CE</t>
  </si>
  <si>
    <t>BANKNIFTY26MAY60000PE</t>
  </si>
  <si>
    <t>BANKNIFTY26MAY60100CE</t>
  </si>
  <si>
    <t>BANKNIFTY26MAY60100PE</t>
  </si>
  <si>
    <t>BANKNIFTY26MAY60200CE</t>
  </si>
  <si>
    <t>BANKNIFTY26MAY60200PE</t>
  </si>
  <si>
    <t>BANKNIFTY26MAY60300CE</t>
  </si>
  <si>
    <t>BANKNIFTY26MAY60300PE</t>
  </si>
  <si>
    <t>BANKNIFTY26MAY60400CE</t>
  </si>
  <si>
    <t>BANKNIFTY26MAY60400PE</t>
  </si>
  <si>
    <t>BANKNIFTY26MAY60500CE</t>
  </si>
  <si>
    <t>BANKNIFTY26MAY60500PE</t>
  </si>
  <si>
    <t>BANKNIFTY26MAY60600CE</t>
  </si>
  <si>
    <t>BANKNIFTY26MAY60600PE</t>
  </si>
  <si>
    <t>BANKNIFTY26MAY60700CE</t>
  </si>
  <si>
    <t>BANKNIFTY26MAY60700PE</t>
  </si>
  <si>
    <t>BANKNIFTY26MAY60800CE</t>
  </si>
  <si>
    <t>BANKNIFTY26MAY60800PE</t>
  </si>
  <si>
    <t>BANKNIFTY26MAY60900CE</t>
  </si>
  <si>
    <t>BANKNIFTY26MAY60900PE</t>
  </si>
  <si>
    <t>BANKNIFTY26MAY61000CE</t>
  </si>
  <si>
    <t>BANKNIFTY26MAY61000PE</t>
  </si>
  <si>
    <t>BANKNIFTY26MAY61100CE</t>
  </si>
  <si>
    <t>BANKNIFTY26MAY61100PE</t>
  </si>
  <si>
    <t>BANKNIFTY26MAY61200CE</t>
  </si>
  <si>
    <t>BANKNIFTY26MAY61200PE</t>
  </si>
  <si>
    <t>BANKNIFTY26MAY61300CE</t>
  </si>
  <si>
    <t>BANKNIFTY26MAY61300PE</t>
  </si>
  <si>
    <t>BANKNIFTY26MAY61400CE</t>
  </si>
  <si>
    <t>BANKNIFTY26MAY61400PE</t>
  </si>
  <si>
    <t>BANKNIFTY26MAY61500CE</t>
  </si>
  <si>
    <t>BANKNIFTY26MAY61500PE</t>
  </si>
  <si>
    <t>BANKNIFTY26MAY61600CE</t>
  </si>
  <si>
    <t>BANKNIFTY26MAY61600PE</t>
  </si>
  <si>
    <t>BANKNIFTY26MAY61700CE</t>
  </si>
  <si>
    <t>BANKNIFTY26MAY61700PE</t>
  </si>
  <si>
    <t>BANKNIFTY26MAY61800CE</t>
  </si>
  <si>
    <t>BANKNIFTY26MAY61800PE</t>
  </si>
  <si>
    <t>BANKNIFTY26MAY61900CE</t>
  </si>
  <si>
    <t>BANKNIFTY26MAY61900PE</t>
  </si>
  <si>
    <t>BANKNIFTY26MAY62000CE</t>
  </si>
  <si>
    <t>BANKNIFTY26MAY62000PE</t>
  </si>
  <si>
    <t>BANKNIFTY26MAY62100CE</t>
  </si>
  <si>
    <t>BANKNIFTY26MAY62100PE</t>
  </si>
  <si>
    <t>BANKNIFTY26MAY62200CE</t>
  </si>
  <si>
    <t>BANKNIFTY26MAY62200PE</t>
  </si>
  <si>
    <t>BANKNIFTY26MAY62300CE</t>
  </si>
  <si>
    <t>BANKNIFTY26MAY62300PE</t>
  </si>
  <si>
    <t>BANKNIFTY26MAY62400CE</t>
  </si>
  <si>
    <t>BANKNIFTY26MAY62400PE</t>
  </si>
  <si>
    <t>BANKNIFTY26MAY62500CE</t>
  </si>
  <si>
    <t>BANKNIFTY26MAY62500PE</t>
  </si>
  <si>
    <t>BANKNIFTY26MAY62600CE</t>
  </si>
  <si>
    <t>BANKNIFTY26MAY62600PE</t>
  </si>
  <si>
    <t>BANKNIFTY26MAY62700CE</t>
  </si>
  <si>
    <t>BANKNIFTY26MAY62700PE</t>
  </si>
  <si>
    <t>BANKNIFTY26MAY62800CE</t>
  </si>
  <si>
    <t>BANKNIFTY26MAY62800PE</t>
  </si>
  <si>
    <t>BANKNIFTY26MAY62900CE</t>
  </si>
  <si>
    <t>BANKNIFTY26MAY62900PE</t>
  </si>
  <si>
    <t>BANKNIFTY26MAY63000CE</t>
  </si>
  <si>
    <t>BANKNIFTY26MAY63000PE</t>
  </si>
  <si>
    <t>BANKNIFTY26MAY63100CE</t>
  </si>
  <si>
    <t>BANKNIFTY26MAY63100PE</t>
  </si>
  <si>
    <t>BANKNIFTY26MAY63200CE</t>
  </si>
  <si>
    <t>BANKNIFTY26MAY63200PE</t>
  </si>
  <si>
    <t>BANKNIFTY26MAY63300CE</t>
  </si>
  <si>
    <t>BANKNIFTY26MAY63300PE</t>
  </si>
  <si>
    <t>BANKNIFTY26MAY63400CE</t>
  </si>
  <si>
    <t>BANKNIFTY26MAY63400PE</t>
  </si>
  <si>
    <t>BANKNIFTY26MAY63500CE</t>
  </si>
  <si>
    <t>BANKNIFTY26MAY63500PE</t>
  </si>
  <si>
    <t>BANKNIFTY26MAY63600CE</t>
  </si>
  <si>
    <t>BANKNIFTY26MAY63600PE</t>
  </si>
  <si>
    <t>BANKNIFTY26MAY63700CE</t>
  </si>
  <si>
    <t>BANKNIFTY26MAY63700PE</t>
  </si>
  <si>
    <t>BANKNIFTY26MAY63800CE</t>
  </si>
  <si>
    <t>BANKNIFTY26MAY63800PE</t>
  </si>
  <si>
    <t>BANKNIFTY26MAY63900CE</t>
  </si>
  <si>
    <t>BANKNIFTY26MAY63900PE</t>
  </si>
  <si>
    <t>BANKNIFTY26MAY64000CE</t>
  </si>
  <si>
    <t>BANKNIFTY26MAY64000PE</t>
  </si>
  <si>
    <t>BANKNIFTY26MAY64100CE</t>
  </si>
  <si>
    <t>BANKNIFTY26MAY64100PE</t>
  </si>
  <si>
    <t>BANKNIFTY26MAY64200CE</t>
  </si>
  <si>
    <t>BANKNIFTY26MAY64200PE</t>
  </si>
  <si>
    <t>BANKNIFTY26MAY64300CE</t>
  </si>
  <si>
    <t>BANKNIFTY26MAY64300PE</t>
  </si>
  <si>
    <t>BANKNIFTY26MAY64400CE</t>
  </si>
  <si>
    <t>BANKNIFTY26MAY64400PE</t>
  </si>
  <si>
    <t>BANKNIFTY26MAY64500CE</t>
  </si>
  <si>
    <t>BANKNIFTY26MAY64500PE</t>
  </si>
  <si>
    <t>BANKNIFTY26MAY64600CE</t>
  </si>
  <si>
    <t>BANKNIFTY26MAY64600PE</t>
  </si>
  <si>
    <t>BANKNIFTY26MAY64700CE</t>
  </si>
  <si>
    <t>BANKNIFTY26MAY64700PE</t>
  </si>
  <si>
    <t>BANKNIFTY26MAY64800CE</t>
  </si>
  <si>
    <t>BANKNIFTY26MAY64800PE</t>
  </si>
  <si>
    <t>BANKNIFTY26MAY64900CE</t>
  </si>
  <si>
    <t>BANKNIFTY26MAY64900PE</t>
  </si>
  <si>
    <t>BANKNIFTY26MAY65000CE</t>
  </si>
  <si>
    <t>BANKNIFTY26MAY65000PE</t>
  </si>
  <si>
    <t>BANKNIFTY26MAY65100CE</t>
  </si>
  <si>
    <t>BANKNIFTY26MAY65100PE</t>
  </si>
  <si>
    <t>BANKNIFTY26MAY65200CE</t>
  </si>
  <si>
    <t>BANKNIFTY26MAY65200PE</t>
  </si>
  <si>
    <t>BANKNIFTY26MAY65300CE</t>
  </si>
  <si>
    <t>BANKNIFTY26MAY65300PE</t>
  </si>
  <si>
    <t>BANKNIFTY26MAY65400CE</t>
  </si>
  <si>
    <t>BANKNIFTY26MAY65400PE</t>
  </si>
  <si>
    <t>BANKNIFTY26MAY65500CE</t>
  </si>
  <si>
    <t>BANKNIFTY26MAY65500PE</t>
  </si>
  <si>
    <t>BANKNIFTY26MAY65600CE</t>
  </si>
  <si>
    <t>BANKNIFTY26MAY65600PE</t>
  </si>
  <si>
    <t>BANKNIFTY26MAY65700CE</t>
  </si>
  <si>
    <t>BANKNIFTY26MAY65700PE</t>
  </si>
  <si>
    <t>BANKNIFTY26MAY65800CE</t>
  </si>
  <si>
    <t>BANKNIFTY26MAY65800PE</t>
  </si>
  <si>
    <t>BANKNIFTY26MAY65900CE</t>
  </si>
  <si>
    <t>BANKNIFTY26MAY65900PE</t>
  </si>
  <si>
    <t>BANKNIFTY26MAY66000CE</t>
  </si>
  <si>
    <t>BANKNIFTY26MAY66000PE</t>
  </si>
  <si>
    <t>BANKNIFTY26MAY66100CE</t>
  </si>
  <si>
    <t>BANKNIFTY26MAY66100PE</t>
  </si>
  <si>
    <t>BANKNIFTY26MAY66200CE</t>
  </si>
  <si>
    <t>BANKNIFTY26MAY66200PE</t>
  </si>
  <si>
    <t>BANKNIFTY26MAY66500CE</t>
  </si>
  <si>
    <t>BANKNIFTY26MAY66500PE</t>
  </si>
  <si>
    <t>BANKNIFTY26MAY67000CE</t>
  </si>
  <si>
    <t>BANKNIFTY26MAY67000PE</t>
  </si>
  <si>
    <t>BANKNIFTY26MAY67500CE</t>
  </si>
  <si>
    <t>BANKNIFTY26MAY67500PE</t>
  </si>
  <si>
    <t>BANKNIFTY26MAY68000CE</t>
  </si>
  <si>
    <t>BANKNIFTY26MAY68000PE</t>
  </si>
  <si>
    <t>BANKNIFTY26MAY68500CE</t>
  </si>
  <si>
    <t>BANKNIFTY26MAY68500PE</t>
  </si>
  <si>
    <t>BSE:SENSEX</t>
  </si>
  <si>
    <t>SENSEX2650764900CE</t>
  </si>
  <si>
    <t>SENSEX2650764900PE</t>
  </si>
  <si>
    <t>SENSEX2650765000CE</t>
  </si>
  <si>
    <t>SENSEX2650765000PE</t>
  </si>
  <si>
    <t>SENSEX2650765100CE</t>
  </si>
  <si>
    <t>SENSEX2650765100PE</t>
  </si>
  <si>
    <t>SENSEX2650765200CE</t>
  </si>
  <si>
    <t>SENSEX2650765200PE</t>
  </si>
  <si>
    <t>SENSEX2650765300CE</t>
  </si>
  <si>
    <t>SENSEX2650765300PE</t>
  </si>
  <si>
    <t>SENSEX2650765400CE</t>
  </si>
  <si>
    <t>SENSEX2650765400PE</t>
  </si>
  <si>
    <t>SENSEX2650765500CE</t>
  </si>
  <si>
    <t>SENSEX2650765500PE</t>
  </si>
  <si>
    <t>SENSEX2650765600CE</t>
  </si>
  <si>
    <t>SENSEX2650765600PE</t>
  </si>
  <si>
    <t>SENSEX2650765700CE</t>
  </si>
  <si>
    <t>SENSEX2650765700PE</t>
  </si>
  <si>
    <t>SENSEX2650765800CE</t>
  </si>
  <si>
    <t>SENSEX2650765800PE</t>
  </si>
  <si>
    <t>SENSEX2650765900CE</t>
  </si>
  <si>
    <t>SENSEX2650765900PE</t>
  </si>
  <si>
    <t>SENSEX2650766000CE</t>
  </si>
  <si>
    <t>SENSEX2650766000PE</t>
  </si>
  <si>
    <t>SENSEX2650766100CE</t>
  </si>
  <si>
    <t>SENSEX2650766100PE</t>
  </si>
  <si>
    <t>SENSEX2650766200CE</t>
  </si>
  <si>
    <t>SENSEX2650766200PE</t>
  </si>
  <si>
    <t>SENSEX2650766300CE</t>
  </si>
  <si>
    <t>SENSEX2650766300PE</t>
  </si>
  <si>
    <t>SENSEX2650766400CE</t>
  </si>
  <si>
    <t>SENSEX2650766400PE</t>
  </si>
  <si>
    <t>SENSEX2650766500CE</t>
  </si>
  <si>
    <t>SENSEX2650766500PE</t>
  </si>
  <si>
    <t>SENSEX2650766600CE</t>
  </si>
  <si>
    <t>SENSEX2650766600PE</t>
  </si>
  <si>
    <t>SENSEX2650766700CE</t>
  </si>
  <si>
    <t>SENSEX2650766700PE</t>
  </si>
  <si>
    <t>SENSEX2650766800CE</t>
  </si>
  <si>
    <t>SENSEX2650766800PE</t>
  </si>
  <si>
    <t>SENSEX2650766900CE</t>
  </si>
  <si>
    <t>SENSEX2650766900PE</t>
  </si>
  <si>
    <t>SENSEX2650767000CE</t>
  </si>
  <si>
    <t>SENSEX2650767000PE</t>
  </si>
  <si>
    <t>SENSEX2650767100CE</t>
  </si>
  <si>
    <t>SENSEX2650767100PE</t>
  </si>
  <si>
    <t>SENSEX2650767200CE</t>
  </si>
  <si>
    <t>SENSEX2650767200PE</t>
  </si>
  <si>
    <t>SENSEX2650767300CE</t>
  </si>
  <si>
    <t>SENSEX2650767300PE</t>
  </si>
  <si>
    <t>SENSEX2650767400CE</t>
  </si>
  <si>
    <t>SENSEX2650767400PE</t>
  </si>
  <si>
    <t>SENSEX2650767500CE</t>
  </si>
  <si>
    <t>SENSEX2650767500PE</t>
  </si>
  <si>
    <t>SENSEX2650767600CE</t>
  </si>
  <si>
    <t>SENSEX2650767600PE</t>
  </si>
  <si>
    <t>SENSEX2650767700CE</t>
  </si>
  <si>
    <t>SENSEX2650767700PE</t>
  </si>
  <si>
    <t>SENSEX2650767800CE</t>
  </si>
  <si>
    <t>SENSEX2650767800PE</t>
  </si>
  <si>
    <t>SENSEX2650767900CE</t>
  </si>
  <si>
    <t>SENSEX2650767900PE</t>
  </si>
  <si>
    <t>SENSEX2650768000CE</t>
  </si>
  <si>
    <t>SENSEX2650768000PE</t>
  </si>
  <si>
    <t>SENSEX2650768100CE</t>
  </si>
  <si>
    <t>SENSEX2650768100PE</t>
  </si>
  <si>
    <t>SENSEX2650768200CE</t>
  </si>
  <si>
    <t>SENSEX2650768200PE</t>
  </si>
  <si>
    <t>SENSEX2650768300CE</t>
  </si>
  <si>
    <t>SENSEX2650768300PE</t>
  </si>
  <si>
    <t>SENSEX2650768400CE</t>
  </si>
  <si>
    <t>SENSEX2650768400PE</t>
  </si>
  <si>
    <t>SENSEX2650768500CE</t>
  </si>
  <si>
    <t>SENSEX2650768500PE</t>
  </si>
  <si>
    <t>SENSEX2650768600CE</t>
  </si>
  <si>
    <t>SENSEX2650768600PE</t>
  </si>
  <si>
    <t>SENSEX2650768700CE</t>
  </si>
  <si>
    <t>SENSEX2650768700PE</t>
  </si>
  <si>
    <t>SENSEX2650768800CE</t>
  </si>
  <si>
    <t>SENSEX2650768800PE</t>
  </si>
  <si>
    <t>SENSEX2650768900CE</t>
  </si>
  <si>
    <t>SENSEX2650768900PE</t>
  </si>
  <si>
    <t>SENSEX2650769000CE</t>
  </si>
  <si>
    <t>SENSEX2650769000PE</t>
  </si>
  <si>
    <t>SENSEX2650769100CE</t>
  </si>
  <si>
    <t>SENSEX2650769100PE</t>
  </si>
  <si>
    <t>SENSEX2650769200CE</t>
  </si>
  <si>
    <t>SENSEX2650769200PE</t>
  </si>
  <si>
    <t>SENSEX2650769300CE</t>
  </si>
  <si>
    <t>SENSEX2650769300PE</t>
  </si>
  <si>
    <t>SENSEX2650769400CE</t>
  </si>
  <si>
    <t>SENSEX2650769400PE</t>
  </si>
  <si>
    <t>SENSEX2650769500CE</t>
  </si>
  <si>
    <t>SENSEX2650769500PE</t>
  </si>
  <si>
    <t>SENSEX2650769600CE</t>
  </si>
  <si>
    <t>SENSEX2650769600PE</t>
  </si>
  <si>
    <t>SENSEX2650769700CE</t>
  </si>
  <si>
    <t>SENSEX2650769700PE</t>
  </si>
  <si>
    <t>SENSEX2650769800CE</t>
  </si>
  <si>
    <t>SENSEX2650769800PE</t>
  </si>
  <si>
    <t>SENSEX2650769900CE</t>
  </si>
  <si>
    <t>SENSEX2650769900PE</t>
  </si>
  <si>
    <t>SENSEX2650770000CE</t>
  </si>
  <si>
    <t>SENSEX2650770000PE</t>
  </si>
  <si>
    <t>SENSEX2650770100CE</t>
  </si>
  <si>
    <t>SENSEX2650770100PE</t>
  </si>
  <si>
    <t>SENSEX2650770200CE</t>
  </si>
  <si>
    <t>SENSEX2650770200PE</t>
  </si>
  <si>
    <t>SENSEX2650770300CE</t>
  </si>
  <si>
    <t>SENSEX2650770300PE</t>
  </si>
  <si>
    <t>SENSEX2650770400CE</t>
  </si>
  <si>
    <t>SENSEX2650770400PE</t>
  </si>
  <si>
    <t>SENSEX2650770500CE</t>
  </si>
  <si>
    <t>SENSEX2650770500PE</t>
  </si>
  <si>
    <t>SENSEX2650770600CE</t>
  </si>
  <si>
    <t>SENSEX2650770600PE</t>
  </si>
  <si>
    <t>SENSEX2650770700CE</t>
  </si>
  <si>
    <t>SENSEX2650770700PE</t>
  </si>
  <si>
    <t>SENSEX2650770800CE</t>
  </si>
  <si>
    <t>SENSEX2650770800PE</t>
  </si>
  <si>
    <t>SENSEX2650770900CE</t>
  </si>
  <si>
    <t>SENSEX2650770900PE</t>
  </si>
  <si>
    <t>SENSEX2650771000CE</t>
  </si>
  <si>
    <t>SENSEX2650771000PE</t>
  </si>
  <si>
    <t>SENSEX2650771100CE</t>
  </si>
  <si>
    <t>SENSEX2650771100PE</t>
  </si>
  <si>
    <t>SENSEX2650771200CE</t>
  </si>
  <si>
    <t>SENSEX2650771200PE</t>
  </si>
  <si>
    <t>SENSEX2650771300CE</t>
  </si>
  <si>
    <t>SENSEX2650771300PE</t>
  </si>
  <si>
    <t>SENSEX2650771400CE</t>
  </si>
  <si>
    <t>SENSEX2650771400PE</t>
  </si>
  <si>
    <t>SENSEX2650771500CE</t>
  </si>
  <si>
    <t>SENSEX2650771500PE</t>
  </si>
  <si>
    <t>SENSEX2650771600CE</t>
  </si>
  <si>
    <t>SENSEX2650771600PE</t>
  </si>
  <si>
    <t>SENSEX2650771700CE</t>
  </si>
  <si>
    <t>SENSEX2650771700PE</t>
  </si>
  <si>
    <t>SENSEX2650771800CE</t>
  </si>
  <si>
    <t>SENSEX2650771800PE</t>
  </si>
  <si>
    <t>SENSEX2650771900CE</t>
  </si>
  <si>
    <t>SENSEX2650771900PE</t>
  </si>
  <si>
    <t>SENSEX2650772000CE</t>
  </si>
  <si>
    <t>SENSEX2650772000PE</t>
  </si>
  <si>
    <t>SENSEX2650772100CE</t>
  </si>
  <si>
    <t>SENSEX2650772100PE</t>
  </si>
  <si>
    <t>SENSEX2650772200CE</t>
  </si>
  <si>
    <t>SENSEX2650772200PE</t>
  </si>
  <si>
    <t>SENSEX2650772300CE</t>
  </si>
  <si>
    <t>SENSEX2650772300PE</t>
  </si>
  <si>
    <t>SENSEX2650772400CE</t>
  </si>
  <si>
    <t>SENSEX2650772400PE</t>
  </si>
  <si>
    <t>SENSEX2650772500CE</t>
  </si>
  <si>
    <t>SENSEX2650772500PE</t>
  </si>
  <si>
    <t>SENSEX2650772600CE</t>
  </si>
  <si>
    <t>SENSEX2650772600PE</t>
  </si>
  <si>
    <t>SENSEX2650772700CE</t>
  </si>
  <si>
    <t>SENSEX2650772700PE</t>
  </si>
  <si>
    <t>SENSEX2650772800CE</t>
  </si>
  <si>
    <t>SENSEX2650772800PE</t>
  </si>
  <si>
    <t>SENSEX2650772900CE</t>
  </si>
  <si>
    <t>SENSEX2650772900PE</t>
  </si>
  <si>
    <t>SENSEX2650773000CE</t>
  </si>
  <si>
    <t>SENSEX2650773000PE</t>
  </si>
  <si>
    <t>SENSEX2650773100CE</t>
  </si>
  <si>
    <t>SENSEX2650773100PE</t>
  </si>
  <si>
    <t>SENSEX2650773200CE</t>
  </si>
  <si>
    <t>SENSEX2650773200PE</t>
  </si>
  <si>
    <t>SENSEX2650773300CE</t>
  </si>
  <si>
    <t>SENSEX2650773300PE</t>
  </si>
  <si>
    <t>SENSEX2650773400CE</t>
  </si>
  <si>
    <t>SENSEX2650773400PE</t>
  </si>
  <si>
    <t>SENSEX2650773500CE</t>
  </si>
  <si>
    <t>SENSEX2650773500PE</t>
  </si>
  <si>
    <t>SENSEX2650773600CE</t>
  </si>
  <si>
    <t>SENSEX2650773600PE</t>
  </si>
  <si>
    <t>SENSEX2650773700CE</t>
  </si>
  <si>
    <t>SENSEX2650773700PE</t>
  </si>
  <si>
    <t>SENSEX2650773800CE</t>
  </si>
  <si>
    <t>SENSEX2650773800PE</t>
  </si>
  <si>
    <t>SENSEX2650773900CE</t>
  </si>
  <si>
    <t>SENSEX2650773900PE</t>
  </si>
  <si>
    <t>SENSEX2650774000CE</t>
  </si>
  <si>
    <t>SENSEX2650774000PE</t>
  </si>
  <si>
    <t>SENSEX2650774100CE</t>
  </si>
  <si>
    <t>SENSEX2650774100PE</t>
  </si>
  <si>
    <t>SENSEX2650774200CE</t>
  </si>
  <si>
    <t>SENSEX2650774200PE</t>
  </si>
  <si>
    <t>SENSEX2650774300CE</t>
  </si>
  <si>
    <t>SENSEX2650774300PE</t>
  </si>
  <si>
    <t>SENSEX2650774400CE</t>
  </si>
  <si>
    <t>SENSEX2650774400PE</t>
  </si>
  <si>
    <t>SENSEX2650774500CE</t>
  </si>
  <si>
    <t>SENSEX2650774500PE</t>
  </si>
  <si>
    <t>SENSEX2650774600CE</t>
  </si>
  <si>
    <t>SENSEX2650774600PE</t>
  </si>
  <si>
    <t>SENSEX2650774700CE</t>
  </si>
  <si>
    <t>SENSEX2650774700PE</t>
  </si>
  <si>
    <t>SENSEX2650774800CE</t>
  </si>
  <si>
    <t>SENSEX2650774800PE</t>
  </si>
  <si>
    <t>SENSEX2650774900CE</t>
  </si>
  <si>
    <t>SENSEX2650774900PE</t>
  </si>
  <si>
    <t>SENSEX2650775000CE</t>
  </si>
  <si>
    <t>SENSEX2650775000PE</t>
  </si>
  <si>
    <t>SENSEX2650775100CE</t>
  </si>
  <si>
    <t>SENSEX2650775100PE</t>
  </si>
  <si>
    <t>SENSEX2650775200CE</t>
  </si>
  <si>
    <t>SENSEX2650775200PE</t>
  </si>
  <si>
    <t>SENSEX2650775300CE</t>
  </si>
  <si>
    <t>SENSEX2650775300PE</t>
  </si>
  <si>
    <t>SENSEX2650775400CE</t>
  </si>
  <si>
    <t>SENSEX2650775400PE</t>
  </si>
  <si>
    <t>SENSEX2650775500CE</t>
  </si>
  <si>
    <t>SENSEX2650775500PE</t>
  </si>
  <si>
    <t>SENSEX2650775600CE</t>
  </si>
  <si>
    <t>SENSEX2650775600PE</t>
  </si>
  <si>
    <t>SENSEX2650775700CE</t>
  </si>
  <si>
    <t>SENSEX2650775700PE</t>
  </si>
  <si>
    <t>SENSEX2650775800CE</t>
  </si>
  <si>
    <t>SENSEX2650775800PE</t>
  </si>
  <si>
    <t>SENSEX2650775900CE</t>
  </si>
  <si>
    <t>SENSEX2650775900PE</t>
  </si>
  <si>
    <t>SENSEX2650776000CE</t>
  </si>
  <si>
    <t>SENSEX2650776000PE</t>
  </si>
  <si>
    <t>SENSEX2650776100CE</t>
  </si>
  <si>
    <t>SENSEX2650776100PE</t>
  </si>
  <si>
    <t>SENSEX2650776200CE</t>
  </si>
  <si>
    <t>SENSEX2650776200PE</t>
  </si>
  <si>
    <t>SENSEX2650776300CE</t>
  </si>
  <si>
    <t>SENSEX2650776300PE</t>
  </si>
  <si>
    <t>SENSEX2650776400CE</t>
  </si>
  <si>
    <t>SENSEX2650776400PE</t>
  </si>
  <si>
    <t>SENSEX2650776500CE</t>
  </si>
  <si>
    <t>SENSEX2650776500PE</t>
  </si>
  <si>
    <t>SENSEX2650776600CE</t>
  </si>
  <si>
    <t>SENSEX2650776600PE</t>
  </si>
  <si>
    <t>SENSEX2650776700CE</t>
  </si>
  <si>
    <t>SENSEX2650776700PE</t>
  </si>
  <si>
    <t>SENSEX2650776800CE</t>
  </si>
  <si>
    <t>SENSEX2650776800PE</t>
  </si>
  <si>
    <t>SENSEX2650776900CE</t>
  </si>
  <si>
    <t>SENSEX2650776900PE</t>
  </si>
  <si>
    <t>SENSEX2650777000CE</t>
  </si>
  <si>
    <t>SENSEX2650777000PE</t>
  </si>
  <si>
    <t>SENSEX2650777100CE</t>
  </si>
  <si>
    <t>SENSEX2650777100PE</t>
  </si>
  <si>
    <t>SENSEX2650777200CE</t>
  </si>
  <si>
    <t>SENSEX2650777200PE</t>
  </si>
  <si>
    <t>SENSEX2650777300CE</t>
  </si>
  <si>
    <t>SENSEX2650777300PE</t>
  </si>
  <si>
    <t>SENSEX2650777400CE</t>
  </si>
  <si>
    <t>SENSEX2650777400PE</t>
  </si>
  <si>
    <t>SENSEX2650777500CE</t>
  </si>
  <si>
    <t>SENSEX2650777500PE</t>
  </si>
  <si>
    <t>SENSEX2650777600CE</t>
  </si>
  <si>
    <t>SENSEX2650777600PE</t>
  </si>
  <si>
    <t>SENSEX2650777700CE</t>
  </si>
  <si>
    <t>SENSEX2650777700PE</t>
  </si>
  <si>
    <t>SENSEX2650777800CE</t>
  </si>
  <si>
    <t>SENSEX2650777800PE</t>
  </si>
  <si>
    <t>SENSEX2650777900CE</t>
  </si>
  <si>
    <t>SENSEX2650777900PE</t>
  </si>
  <si>
    <t>SENSEX2650778000CE</t>
  </si>
  <si>
    <t>SENSEX2650778000PE</t>
  </si>
  <si>
    <t>SENSEX2650778100CE</t>
  </si>
  <si>
    <t>SENSEX2650778100PE</t>
  </si>
  <si>
    <t>SENSEX2650778200CE</t>
  </si>
  <si>
    <t>SENSEX2650778200PE</t>
  </si>
  <si>
    <t>SENSEX2650778300CE</t>
  </si>
  <si>
    <t>SENSEX2650778300PE</t>
  </si>
  <si>
    <t>SENSEX2650778400CE</t>
  </si>
  <si>
    <t>SENSEX2650778400PE</t>
  </si>
  <si>
    <t>SENSEX2650778500CE</t>
  </si>
  <si>
    <t>SENSEX2650778500PE</t>
  </si>
  <si>
    <t>SENSEX2650778600CE</t>
  </si>
  <si>
    <t>SENSEX2650778600PE</t>
  </si>
  <si>
    <t>SENSEX2650778700CE</t>
  </si>
  <si>
    <t>SENSEX2650778700PE</t>
  </si>
  <si>
    <t>SENSEX2650778800CE</t>
  </si>
  <si>
    <t>SENSEX2650778800PE</t>
  </si>
  <si>
    <t>SENSEX2650778900CE</t>
  </si>
  <si>
    <t>SENSEX2650778900PE</t>
  </si>
  <si>
    <t>SENSEX2650779000CE</t>
  </si>
  <si>
    <t>SENSEX2650779000PE</t>
  </si>
  <si>
    <t>SENSEX2650779100CE</t>
  </si>
  <si>
    <t>SENSEX2650779100PE</t>
  </si>
  <si>
    <t>SENSEX2650779200CE</t>
  </si>
  <si>
    <t>SENSEX2650779200PE</t>
  </si>
  <si>
    <t>SENSEX2650779300CE</t>
  </si>
  <si>
    <t>SENSEX2650779300PE</t>
  </si>
  <si>
    <t>SENSEX2650779400CE</t>
  </si>
  <si>
    <t>SENSEX2650779400PE</t>
  </si>
  <si>
    <t>SENSEX2650779500CE</t>
  </si>
  <si>
    <t>SENSEX2650779500PE</t>
  </si>
  <si>
    <t>SENSEX2650779600CE</t>
  </si>
  <si>
    <t>SENSEX2650779600PE</t>
  </si>
  <si>
    <t>SENSEX2650779700CE</t>
  </si>
  <si>
    <t>SENSEX2650779700PE</t>
  </si>
  <si>
    <t>SENSEX2650779800CE</t>
  </si>
  <si>
    <t>SENSEX2650779800PE</t>
  </si>
  <si>
    <t>SENSEX2650779900CE</t>
  </si>
  <si>
    <t>SENSEX2650779900PE</t>
  </si>
  <si>
    <t>SENSEX2650780000CE</t>
  </si>
  <si>
    <t>SENSEX2650780000PE</t>
  </si>
  <si>
    <t>SENSEX2650780100CE</t>
  </si>
  <si>
    <t>SENSEX2650780100PE</t>
  </si>
  <si>
    <t>SENSEX2650780200CE</t>
  </si>
  <si>
    <t>SENSEX2650780200PE</t>
  </si>
  <si>
    <t>SENSEX2650780300CE</t>
  </si>
  <si>
    <t>SENSEX2650780300PE</t>
  </si>
  <si>
    <t>SENSEX2650780400CE</t>
  </si>
  <si>
    <t>SENSEX2650780400PE</t>
  </si>
  <si>
    <t>SENSEX2650780500CE</t>
  </si>
  <si>
    <t>SENSEX2650780500PE</t>
  </si>
  <si>
    <t>SENSEX2650780600CE</t>
  </si>
  <si>
    <t>SENSEX2650780600PE</t>
  </si>
  <si>
    <t>SENSEX2650780700CE</t>
  </si>
  <si>
    <t>SENSEX2650780700PE</t>
  </si>
  <si>
    <t>SENSEX2650780800CE</t>
  </si>
  <si>
    <t>SENSEX2650780800PE</t>
  </si>
  <si>
    <t>SENSEX2650780900CE</t>
  </si>
  <si>
    <t>SENSEX2650780900PE</t>
  </si>
  <si>
    <t>SENSEX2650781000CE</t>
  </si>
  <si>
    <t>SENSEX2650781000PE</t>
  </si>
  <si>
    <t>SENSEX2650781100CE</t>
  </si>
  <si>
    <t>SENSEX2650781100PE</t>
  </si>
  <si>
    <t>SENSEX2650781200CE</t>
  </si>
  <si>
    <t>SENSEX2650781200PE</t>
  </si>
  <si>
    <t>SENSEX2650781300CE</t>
  </si>
  <si>
    <t>SENSEX2650781300PE</t>
  </si>
  <si>
    <t>SENSEX2650781400CE</t>
  </si>
  <si>
    <t>SENSEX2650781400PE</t>
  </si>
  <si>
    <t>SENSEX2650781500CE</t>
  </si>
  <si>
    <t>SENSEX2650781500PE</t>
  </si>
  <si>
    <t>SENSEX2650781600CE</t>
  </si>
  <si>
    <t>SENSEX2650781600PE</t>
  </si>
  <si>
    <t>SENSEX2650781700CE</t>
  </si>
  <si>
    <t>SENSEX2650781700PE</t>
  </si>
  <si>
    <t>SENSEX2650781800CE</t>
  </si>
  <si>
    <t>SENSEX2650781800PE</t>
  </si>
  <si>
    <t>SENSEX2650781900CE</t>
  </si>
  <si>
    <t>SENSEX2650781900PE</t>
  </si>
  <si>
    <t>SENSEX2650782000CE</t>
  </si>
  <si>
    <t>SENSEX2650782000PE</t>
  </si>
  <si>
    <t>SENSEX2650782100CE</t>
  </si>
  <si>
    <t>SENSEX2650782100PE</t>
  </si>
  <si>
    <t>SENSEX2650782200CE</t>
  </si>
  <si>
    <t>SENSEX2650782200PE</t>
  </si>
  <si>
    <t>SENSEX2650782300CE</t>
  </si>
  <si>
    <t>SENSEX2650782300PE</t>
  </si>
  <si>
    <t>SENSEX2650782400CE</t>
  </si>
  <si>
    <t>SENSEX2650782400PE</t>
  </si>
  <si>
    <t>SENSEX2650782500CE</t>
  </si>
  <si>
    <t>SENSEX2650782500PE</t>
  </si>
  <si>
    <t>SENSEX2650782600CE</t>
  </si>
  <si>
    <t>SENSEX2650782600PE</t>
  </si>
  <si>
    <t>SENSEX2650782700CE</t>
  </si>
  <si>
    <t>SENSEX2650782700PE</t>
  </si>
  <si>
    <t>SENSEX2650782800CE</t>
  </si>
  <si>
    <t>SENSEX2650782800PE</t>
  </si>
  <si>
    <t>SENSEX2650782900CE</t>
  </si>
  <si>
    <t>SENSEX2650782900PE</t>
  </si>
  <si>
    <t>SENSEX2650783000CE</t>
  </si>
  <si>
    <t>SENSEX2650783000PE</t>
  </si>
  <si>
    <t>SENSEX2650783100CE</t>
  </si>
  <si>
    <t>SENSEX2650783100PE</t>
  </si>
  <si>
    <t>SENSEX2650783200CE</t>
  </si>
  <si>
    <t>SENSEX2650783200PE</t>
  </si>
  <si>
    <t>SENSEX2650783300CE</t>
  </si>
  <si>
    <t>SENSEX2650783300PE</t>
  </si>
  <si>
    <t>SENSEX2650783400CE</t>
  </si>
  <si>
    <t>SENSEX2650783400PE</t>
  </si>
  <si>
    <t>SENSEX2650783500CE</t>
  </si>
  <si>
    <t>SENSEX2650783500PE</t>
  </si>
  <si>
    <t>SENSEX2650783600CE</t>
  </si>
  <si>
    <t>SENSEX2650783600PE</t>
  </si>
  <si>
    <t>SENSEX2650783700CE</t>
  </si>
  <si>
    <t>SENSEX2650783700PE</t>
  </si>
  <si>
    <t>SENSEX2650783800CE</t>
  </si>
  <si>
    <t>SENSEX2650783800PE</t>
  </si>
  <si>
    <t>SENSEX2650783900CE</t>
  </si>
  <si>
    <t>SENSEX2650783900PE</t>
  </si>
  <si>
    <t>SENSEX2650784000CE</t>
  </si>
  <si>
    <t>SENSEX2650784000PE</t>
  </si>
  <si>
    <t>SENSEX2650784100CE</t>
  </si>
  <si>
    <t>SENSEX2650784100PE</t>
  </si>
  <si>
    <t>SENSEX2650784200CE</t>
  </si>
  <si>
    <t>SENSEX2650784200PE</t>
  </si>
  <si>
    <t>SENSEX2650784300CE</t>
  </si>
  <si>
    <t>SENSEX2650784300PE</t>
  </si>
  <si>
    <t>SENSEX2650784400CE</t>
  </si>
  <si>
    <t>SENSEX2650784400PE</t>
  </si>
  <si>
    <t>SENSEX2650784500CE</t>
  </si>
  <si>
    <t>SENSEX2650784500PE</t>
  </si>
  <si>
    <t>SENSEX2650784600CE</t>
  </si>
  <si>
    <t>SENSEX2650784600PE</t>
  </si>
  <si>
    <t>SENSEX2650784700CE</t>
  </si>
  <si>
    <t>SENSEX2650784700PE</t>
  </si>
  <si>
    <t>SENSEX2650784800CE</t>
  </si>
  <si>
    <t>SENSEX2650784800PE</t>
  </si>
  <si>
    <t>SENSEX2650784900CE</t>
  </si>
  <si>
    <t>SENSEX2650784900PE</t>
  </si>
  <si>
    <t>SENSEX2650785000CE</t>
  </si>
  <si>
    <t>SENSEX2650785000PE</t>
  </si>
  <si>
    <t>SENSEX2650785100CE</t>
  </si>
  <si>
    <t>SENSEX2650785100PE</t>
  </si>
  <si>
    <t>SENSEX2650785200CE</t>
  </si>
  <si>
    <t>SENSEX2650785200PE</t>
  </si>
  <si>
    <t>SENSEX2650785300CE</t>
  </si>
  <si>
    <t>SENSEX2650785300PE</t>
  </si>
  <si>
    <t>Streaming live ticks for NIFTY 2026-05-05</t>
  </si>
  <si>
    <t>Streaming live ticks for BANKNIFTY 2026-05-26</t>
  </si>
  <si>
    <t>Streaming live ticks for SENSEX 2026-05-07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</si>
</sst>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2" fillId="4" borderId="0" xfId="0" applyFont="1" applyFill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22" fontId="0" fillId="0" borderId="1" xfId="0" applyNumberFormat="1" applyBorder="1"/>
    <xf numFmtId="0" fontId="1" fillId="2" borderId="0" xfId="0" applyFont="1" applyFill="1" applyAlignment="1">
      <alignment horizontal="center"/>
    </xf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F1"/>
    </sheetView>
  </sheetViews>
  <sheetFormatPr defaultRowHeight="15" x14ac:dyDescent="0.25"/>
  <cols>
    <col min="1" max="1" width="16" customWidth="1"/>
    <col min="2" max="2" width="18" customWidth="1"/>
    <col min="3" max="4" width="14" customWidth="1"/>
    <col min="5" max="5" width="16" customWidth="1"/>
    <col min="6" max="6" width="40" customWidth="1"/>
  </cols>
  <sheetData>
    <row r="1" spans="1:6" ht="21" x14ac:dyDescent="0.35">
      <c r="A1" s="7" t="s">
        <v>0</v>
      </c>
      <c r="B1" s="8"/>
      <c r="C1" s="8"/>
      <c r="D1" s="8"/>
      <c r="E1" s="8"/>
      <c r="F1" s="8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2" t="s">
        <v>7</v>
      </c>
      <c r="B4" s="5">
        <f>NIFTY!B3</f>
        <v>46147</v>
      </c>
      <c r="C4" s="2">
        <f>NIFTY!E3</f>
        <v>24032.799999999999</v>
      </c>
      <c r="D4" s="2">
        <f>NIFTY!B4</f>
        <v>24050</v>
      </c>
      <c r="E4" s="2">
        <f>NIFTY!E4</f>
        <v>17.100000000000001</v>
      </c>
      <c r="F4" s="2" t="str">
        <f>NIFTY!E5</f>
        <v>Streaming live ticks for NIFTY 2026-05-05</v>
      </c>
    </row>
    <row r="5" spans="1:6" x14ac:dyDescent="0.25">
      <c r="A5" s="2" t="s">
        <v>8</v>
      </c>
      <c r="B5" s="5">
        <f>BANKNIFTY!B3</f>
        <v>46168</v>
      </c>
      <c r="C5" s="2">
        <f>BANKNIFTY!E3</f>
        <v>54547.05</v>
      </c>
      <c r="D5" s="2">
        <f>BANKNIFTY!B4</f>
        <v>54500</v>
      </c>
      <c r="E5" s="2">
        <f>BANKNIFTY!E4</f>
        <v>2112</v>
      </c>
      <c r="F5" s="2" t="str">
        <f>BANKNIFTY!E5</f>
        <v>Streaming live ticks for BANKNIFTY 2026-05-26</v>
      </c>
    </row>
    <row r="6" spans="1:6" x14ac:dyDescent="0.25">
      <c r="A6" s="2" t="s">
        <v>9</v>
      </c>
      <c r="B6" s="5">
        <f>SENSEX!B3</f>
        <v>46149</v>
      </c>
      <c r="C6" s="2">
        <f>SENSEX!E3</f>
        <v>77017.789999999994</v>
      </c>
      <c r="D6" s="2">
        <f>SENSEX!B4</f>
        <v>77000</v>
      </c>
      <c r="E6" s="2">
        <f>SENSEX!E4</f>
        <v>827.7</v>
      </c>
      <c r="F6" s="2" t="str">
        <f>SENSEX!E5</f>
        <v>Streaming live ticks for SENSEX 2026-05-07</v>
      </c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 t="s">
        <v>10</v>
      </c>
      <c r="B9" s="6">
        <v>46147.672465277778</v>
      </c>
      <c r="C9" s="2"/>
      <c r="D9" s="2"/>
      <c r="E9" s="2"/>
      <c r="F9" s="2"/>
    </row>
    <row r="10" spans="1:6" x14ac:dyDescent="0.25">
      <c r="A10" s="2" t="s">
        <v>11</v>
      </c>
      <c r="B10" s="2" t="s">
        <v>12</v>
      </c>
      <c r="C10" s="2"/>
      <c r="D10" s="2"/>
      <c r="E10" s="2"/>
      <c r="F10" s="2"/>
    </row>
    <row r="11" spans="1:6" x14ac:dyDescent="0.25">
      <c r="A11" t="s">
        <v>13</v>
      </c>
      <c r="B11" t="s">
        <v>14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7"/>
  <sheetViews>
    <sheetView showGridLines="0"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7" t="s">
        <v>15</v>
      </c>
      <c r="B1" s="8"/>
      <c r="C1" s="8"/>
      <c r="D1" s="8"/>
      <c r="E1" s="8"/>
    </row>
    <row r="3" spans="1:5" x14ac:dyDescent="0.25">
      <c r="A3" s="2" t="s">
        <v>2</v>
      </c>
      <c r="B3" s="5">
        <v>46147</v>
      </c>
      <c r="D3" s="2" t="s">
        <v>3</v>
      </c>
      <c r="E3" s="2">
        <v>24032.799999999999</v>
      </c>
    </row>
    <row r="4" spans="1:5" x14ac:dyDescent="0.25">
      <c r="A4" s="2" t="s">
        <v>4</v>
      </c>
      <c r="B4" s="2">
        <v>24050</v>
      </c>
      <c r="D4" s="2" t="s">
        <v>5</v>
      </c>
      <c r="E4" s="2">
        <v>17.100000000000001</v>
      </c>
    </row>
    <row r="5" spans="1:5" x14ac:dyDescent="0.25">
      <c r="A5" s="2" t="s">
        <v>10</v>
      </c>
      <c r="B5" s="6">
        <v>46147.672465277778</v>
      </c>
      <c r="D5" s="2" t="s">
        <v>6</v>
      </c>
      <c r="E5" s="2" t="s">
        <v>1153</v>
      </c>
    </row>
    <row r="7" spans="1:5" x14ac:dyDescent="0.25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</row>
    <row r="8" spans="1:5" x14ac:dyDescent="0.25">
      <c r="A8" t="str">
        <f>IF(B8=$B$4,"ATM","")</f>
        <v/>
      </c>
      <c r="B8">
        <v>20100</v>
      </c>
      <c r="C8">
        <f>IF(RawData!F3="","",RawData!F3)</f>
        <v>2979.95</v>
      </c>
      <c r="D8">
        <f>IF(RawData!F4="","",RawData!F4)</f>
        <v>0.05</v>
      </c>
      <c r="E8">
        <f>IF(OR(C8="",D8=""),"",C8+D8)</f>
        <v>2980</v>
      </c>
    </row>
    <row r="9" spans="1:5" x14ac:dyDescent="0.25">
      <c r="A9" t="str">
        <f>IF(B9=$B$4,"ATM","")</f>
        <v/>
      </c>
      <c r="B9">
        <v>20150</v>
      </c>
      <c r="C9">
        <f>IF(RawData!F5="","",RawData!F5)</f>
        <v>2930.7</v>
      </c>
      <c r="D9">
        <f>IF(RawData!F6="","",RawData!F6)</f>
        <v>0.05</v>
      </c>
      <c r="E9">
        <f>IF(OR(C9="",D9=""),"",C9+D9)</f>
        <v>2930.75</v>
      </c>
    </row>
    <row r="10" spans="1:5" x14ac:dyDescent="0.25">
      <c r="A10" t="str">
        <f>IF(B10=$B$4,"ATM","")</f>
        <v/>
      </c>
      <c r="B10">
        <v>20200</v>
      </c>
      <c r="C10">
        <f>IF(RawData!F7="","",RawData!F7)</f>
        <v>2881.5</v>
      </c>
      <c r="D10">
        <f>IF(RawData!F8="","",RawData!F8)</f>
        <v>0.05</v>
      </c>
      <c r="E10">
        <f>IF(OR(C10="",D10=""),"",C10+D10)</f>
        <v>2881.55</v>
      </c>
    </row>
    <row r="11" spans="1:5" x14ac:dyDescent="0.25">
      <c r="A11" t="str">
        <f>IF(B11=$B$4,"ATM","")</f>
        <v/>
      </c>
      <c r="B11">
        <v>20250</v>
      </c>
      <c r="C11">
        <f>IF(RawData!F9="","",RawData!F9)</f>
        <v>2832.3</v>
      </c>
      <c r="D11">
        <f>IF(RawData!F10="","",RawData!F10)</f>
        <v>0.05</v>
      </c>
      <c r="E11">
        <f>IF(OR(C11="",D11=""),"",C11+D11)</f>
        <v>2832.3500000000004</v>
      </c>
    </row>
    <row r="12" spans="1:5" x14ac:dyDescent="0.25">
      <c r="A12" t="str">
        <f>IF(B12=$B$4,"ATM","")</f>
        <v/>
      </c>
      <c r="B12">
        <v>20300</v>
      </c>
      <c r="C12">
        <f>IF(RawData!F11="","",RawData!F11)</f>
        <v>2783.2</v>
      </c>
      <c r="D12">
        <f>IF(RawData!F12="","",RawData!F12)</f>
        <v>0.05</v>
      </c>
      <c r="E12">
        <f>IF(OR(C12="",D12=""),"",C12+D12)</f>
        <v>2783.25</v>
      </c>
    </row>
    <row r="13" spans="1:5" x14ac:dyDescent="0.25">
      <c r="A13" t="str">
        <f>IF(B13=$B$4,"ATM","")</f>
        <v/>
      </c>
      <c r="B13">
        <v>20350</v>
      </c>
      <c r="C13">
        <f>IF(RawData!F13="","",RawData!F13)</f>
        <v>2734.15</v>
      </c>
      <c r="D13">
        <f>IF(RawData!F14="","",RawData!F14)</f>
        <v>0.05</v>
      </c>
      <c r="E13">
        <f>IF(OR(C13="",D13=""),"",C13+D13)</f>
        <v>2734.2000000000003</v>
      </c>
    </row>
    <row r="14" spans="1:5" x14ac:dyDescent="0.25">
      <c r="A14" t="str">
        <f>IF(B14=$B$4,"ATM","")</f>
        <v/>
      </c>
      <c r="B14">
        <v>20400</v>
      </c>
      <c r="C14">
        <f>IF(RawData!F15="","",RawData!F15)</f>
        <v>2685.15</v>
      </c>
      <c r="D14">
        <f>IF(RawData!F16="","",RawData!F16)</f>
        <v>0.05</v>
      </c>
      <c r="E14">
        <f>IF(OR(C14="",D14=""),"",C14+D14)</f>
        <v>2685.2000000000003</v>
      </c>
    </row>
    <row r="15" spans="1:5" x14ac:dyDescent="0.25">
      <c r="A15" t="str">
        <f>IF(B15=$B$4,"ATM","")</f>
        <v/>
      </c>
      <c r="B15">
        <v>20450</v>
      </c>
      <c r="C15">
        <f>IF(RawData!F17="","",RawData!F17)</f>
        <v>2636.25</v>
      </c>
      <c r="D15">
        <f>IF(RawData!F18="","",RawData!F18)</f>
        <v>0.1</v>
      </c>
      <c r="E15">
        <f>IF(OR(C15="",D15=""),"",C15+D15)</f>
        <v>2636.35</v>
      </c>
    </row>
    <row r="16" spans="1:5" x14ac:dyDescent="0.25">
      <c r="A16" t="str">
        <f>IF(B16=$B$4,"ATM","")</f>
        <v/>
      </c>
      <c r="B16">
        <v>20500</v>
      </c>
      <c r="C16">
        <f>IF(RawData!F19="","",RawData!F19)</f>
        <v>2587.4</v>
      </c>
      <c r="D16">
        <f>IF(RawData!F20="","",RawData!F20)</f>
        <v>0.05</v>
      </c>
      <c r="E16">
        <f>IF(OR(C16="",D16=""),"",C16+D16)</f>
        <v>2587.4500000000003</v>
      </c>
    </row>
    <row r="17" spans="1:5" x14ac:dyDescent="0.25">
      <c r="A17" t="str">
        <f>IF(B17=$B$4,"ATM","")</f>
        <v/>
      </c>
      <c r="B17">
        <v>20550</v>
      </c>
      <c r="C17">
        <f>IF(RawData!F21="","",RawData!F21)</f>
        <v>3533.1</v>
      </c>
      <c r="D17">
        <f>IF(RawData!F22="","",RawData!F22)</f>
        <v>0.05</v>
      </c>
      <c r="E17">
        <f>IF(OR(C17="",D17=""),"",C17+D17)</f>
        <v>3533.15</v>
      </c>
    </row>
    <row r="18" spans="1:5" x14ac:dyDescent="0.25">
      <c r="A18" t="str">
        <f>IF(B18=$B$4,"ATM","")</f>
        <v/>
      </c>
      <c r="B18">
        <v>20600</v>
      </c>
      <c r="C18">
        <f>IF(RawData!F23="","",RawData!F23)</f>
        <v>3483.65</v>
      </c>
      <c r="D18">
        <f>IF(RawData!F24="","",RawData!F24)</f>
        <v>0.05</v>
      </c>
      <c r="E18">
        <f>IF(OR(C18="",D18=""),"",C18+D18)</f>
        <v>3483.7000000000003</v>
      </c>
    </row>
    <row r="19" spans="1:5" x14ac:dyDescent="0.25">
      <c r="A19" t="str">
        <f>IF(B19=$B$4,"ATM","")</f>
        <v/>
      </c>
      <c r="B19">
        <v>20650</v>
      </c>
      <c r="C19">
        <f>IF(RawData!F25="","",RawData!F25)</f>
        <v>3332.65</v>
      </c>
      <c r="D19">
        <f>IF(RawData!F26="","",RawData!F26)</f>
        <v>0.05</v>
      </c>
      <c r="E19">
        <f>IF(OR(C19="",D19=""),"",C19+D19)</f>
        <v>3332.7000000000003</v>
      </c>
    </row>
    <row r="20" spans="1:5" x14ac:dyDescent="0.25">
      <c r="A20" t="str">
        <f>IF(B20=$B$4,"ATM","")</f>
        <v/>
      </c>
      <c r="B20">
        <v>20700</v>
      </c>
      <c r="C20">
        <f>IF(RawData!F27="","",RawData!F27)</f>
        <v>2393.0500000000002</v>
      </c>
      <c r="D20">
        <f>IF(RawData!F28="","",RawData!F28)</f>
        <v>0.05</v>
      </c>
      <c r="E20">
        <f>IF(OR(C20="",D20=""),"",C20+D20)</f>
        <v>2393.1000000000004</v>
      </c>
    </row>
    <row r="21" spans="1:5" x14ac:dyDescent="0.25">
      <c r="A21" t="str">
        <f>IF(B21=$B$4,"ATM","")</f>
        <v/>
      </c>
      <c r="B21">
        <v>20750</v>
      </c>
      <c r="C21">
        <f>IF(RawData!F29="","",RawData!F29)</f>
        <v>2344.75</v>
      </c>
      <c r="D21">
        <f>IF(RawData!F30="","",RawData!F30)</f>
        <v>0.05</v>
      </c>
      <c r="E21">
        <f>IF(OR(C21="",D21=""),"",C21+D21)</f>
        <v>2344.8000000000002</v>
      </c>
    </row>
    <row r="22" spans="1:5" x14ac:dyDescent="0.25">
      <c r="A22" t="str">
        <f>IF(B22=$B$4,"ATM","")</f>
        <v/>
      </c>
      <c r="B22">
        <v>20800</v>
      </c>
      <c r="C22">
        <f>IF(RawData!F31="","",RawData!F31)</f>
        <v>2296.6</v>
      </c>
      <c r="D22">
        <f>IF(RawData!F32="","",RawData!F32)</f>
        <v>0.05</v>
      </c>
      <c r="E22">
        <f>IF(OR(C22="",D22=""),"",C22+D22)</f>
        <v>2296.65</v>
      </c>
    </row>
    <row r="23" spans="1:5" x14ac:dyDescent="0.25">
      <c r="A23" t="str">
        <f>IF(B23=$B$4,"ATM","")</f>
        <v/>
      </c>
      <c r="B23">
        <v>20850</v>
      </c>
      <c r="C23">
        <f>IF(RawData!F33="","",RawData!F33)</f>
        <v>3236.25</v>
      </c>
      <c r="D23">
        <f>IF(RawData!F34="","",RawData!F34)</f>
        <v>0.05</v>
      </c>
      <c r="E23">
        <f>IF(OR(C23="",D23=""),"",C23+D23)</f>
        <v>3236.3</v>
      </c>
    </row>
    <row r="24" spans="1:5" x14ac:dyDescent="0.25">
      <c r="A24" t="str">
        <f>IF(B24=$B$4,"ATM","")</f>
        <v/>
      </c>
      <c r="B24">
        <v>20900</v>
      </c>
      <c r="C24">
        <f>IF(RawData!F35="","",RawData!F35)</f>
        <v>3144.9</v>
      </c>
      <c r="D24">
        <f>IF(RawData!F36="","",RawData!F36)</f>
        <v>0.05</v>
      </c>
      <c r="E24">
        <f>IF(OR(C24="",D24=""),"",C24+D24)</f>
        <v>3144.9500000000003</v>
      </c>
    </row>
    <row r="25" spans="1:5" x14ac:dyDescent="0.25">
      <c r="A25" t="str">
        <f>IF(B25=$B$4,"ATM","")</f>
        <v/>
      </c>
      <c r="B25">
        <v>20950</v>
      </c>
      <c r="C25">
        <f>IF(RawData!F37="","",RawData!F37)</f>
        <v>2153</v>
      </c>
      <c r="D25">
        <f>IF(RawData!F38="","",RawData!F38)</f>
        <v>0.05</v>
      </c>
      <c r="E25">
        <f>IF(OR(C25="",D25=""),"",C25+D25)</f>
        <v>2153.0500000000002</v>
      </c>
    </row>
    <row r="26" spans="1:5" x14ac:dyDescent="0.25">
      <c r="A26" t="str">
        <f>IF(B26=$B$4,"ATM","")</f>
        <v/>
      </c>
      <c r="B26">
        <v>21000</v>
      </c>
      <c r="C26">
        <f>IF(RawData!F39="","",RawData!F39)</f>
        <v>2989.4</v>
      </c>
      <c r="D26">
        <f>IF(RawData!F40="","",RawData!F40)</f>
        <v>0.1</v>
      </c>
      <c r="E26">
        <f>IF(OR(C26="",D26=""),"",C26+D26)</f>
        <v>2989.5</v>
      </c>
    </row>
    <row r="27" spans="1:5" x14ac:dyDescent="0.25">
      <c r="A27" t="str">
        <f>IF(B27=$B$4,"ATM","")</f>
        <v/>
      </c>
      <c r="B27">
        <v>21050</v>
      </c>
      <c r="C27">
        <f>IF(RawData!F41="","",RawData!F41)</f>
        <v>3056.95</v>
      </c>
      <c r="D27">
        <f>IF(RawData!F42="","",RawData!F42)</f>
        <v>0.05</v>
      </c>
      <c r="E27">
        <f>IF(OR(C27="",D27=""),"",C27+D27)</f>
        <v>3057</v>
      </c>
    </row>
    <row r="28" spans="1:5" x14ac:dyDescent="0.25">
      <c r="A28" t="str">
        <f>IF(B28=$B$4,"ATM","")</f>
        <v/>
      </c>
      <c r="B28">
        <v>21100</v>
      </c>
      <c r="C28">
        <f>IF(RawData!F43="","",RawData!F43)</f>
        <v>2954.5</v>
      </c>
      <c r="D28">
        <f>IF(RawData!F44="","",RawData!F44)</f>
        <v>0.05</v>
      </c>
      <c r="E28">
        <f>IF(OR(C28="",D28=""),"",C28+D28)</f>
        <v>2954.55</v>
      </c>
    </row>
    <row r="29" spans="1:5" x14ac:dyDescent="0.25">
      <c r="A29" t="str">
        <f>IF(B29=$B$4,"ATM","")</f>
        <v/>
      </c>
      <c r="B29">
        <v>21150</v>
      </c>
      <c r="C29">
        <f>IF(RawData!F45="","",RawData!F45)</f>
        <v>2869.15</v>
      </c>
      <c r="D29">
        <f>IF(RawData!F46="","",RawData!F46)</f>
        <v>0.1</v>
      </c>
      <c r="E29">
        <f>IF(OR(C29="",D29=""),"",C29+D29)</f>
        <v>2869.25</v>
      </c>
    </row>
    <row r="30" spans="1:5" x14ac:dyDescent="0.25">
      <c r="A30" t="str">
        <f>IF(B30=$B$4,"ATM","")</f>
        <v/>
      </c>
      <c r="B30">
        <v>21200</v>
      </c>
      <c r="C30">
        <f>IF(RawData!F47="","",RawData!F47)</f>
        <v>2939.8</v>
      </c>
      <c r="D30">
        <f>IF(RawData!F48="","",RawData!F48)</f>
        <v>0.05</v>
      </c>
      <c r="E30">
        <f>IF(OR(C30="",D30=""),"",C30+D30)</f>
        <v>2939.8500000000004</v>
      </c>
    </row>
    <row r="31" spans="1:5" x14ac:dyDescent="0.25">
      <c r="A31" t="str">
        <f>IF(B31=$B$4,"ATM","")</f>
        <v/>
      </c>
      <c r="B31">
        <v>21250</v>
      </c>
      <c r="C31">
        <f>IF(RawData!F49="","",RawData!F49)</f>
        <v>2840.3</v>
      </c>
      <c r="D31">
        <f>IF(RawData!F50="","",RawData!F50)</f>
        <v>0.05</v>
      </c>
      <c r="E31">
        <f>IF(OR(C31="",D31=""),"",C31+D31)</f>
        <v>2840.3500000000004</v>
      </c>
    </row>
    <row r="32" spans="1:5" x14ac:dyDescent="0.25">
      <c r="A32" t="str">
        <f>IF(B32=$B$4,"ATM","")</f>
        <v/>
      </c>
      <c r="B32">
        <v>21300</v>
      </c>
      <c r="C32">
        <f>IF(RawData!F51="","",RawData!F51)</f>
        <v>2780.05</v>
      </c>
      <c r="D32">
        <f>IF(RawData!F52="","",RawData!F52)</f>
        <v>0.05</v>
      </c>
      <c r="E32">
        <f>IF(OR(C32="",D32=""),"",C32+D32)</f>
        <v>2780.1000000000004</v>
      </c>
    </row>
    <row r="33" spans="1:5" x14ac:dyDescent="0.25">
      <c r="A33" t="str">
        <f>IF(B33=$B$4,"ATM","")</f>
        <v/>
      </c>
      <c r="B33">
        <v>21350</v>
      </c>
      <c r="C33">
        <f>IF(RawData!F53="","",RawData!F53)</f>
        <v>1779.5</v>
      </c>
      <c r="D33">
        <f>IF(RawData!F54="","",RawData!F54)</f>
        <v>0.05</v>
      </c>
      <c r="E33">
        <f>IF(OR(C33="",D33=""),"",C33+D33)</f>
        <v>1779.55</v>
      </c>
    </row>
    <row r="34" spans="1:5" x14ac:dyDescent="0.25">
      <c r="A34" t="str">
        <f>IF(B34=$B$4,"ATM","")</f>
        <v/>
      </c>
      <c r="B34">
        <v>21400</v>
      </c>
      <c r="C34">
        <f>IF(RawData!F55="","",RawData!F55)</f>
        <v>2653.45</v>
      </c>
      <c r="D34">
        <f>IF(RawData!F56="","",RawData!F56)</f>
        <v>0.1</v>
      </c>
      <c r="E34">
        <f>IF(OR(C34="",D34=""),"",C34+D34)</f>
        <v>2653.5499999999997</v>
      </c>
    </row>
    <row r="35" spans="1:5" x14ac:dyDescent="0.25">
      <c r="A35" t="str">
        <f>IF(B35=$B$4,"ATM","")</f>
        <v/>
      </c>
      <c r="B35">
        <v>21450</v>
      </c>
      <c r="C35">
        <f>IF(RawData!F57="","",RawData!F57)</f>
        <v>2455.75</v>
      </c>
      <c r="D35">
        <f>IF(RawData!F58="","",RawData!F58)</f>
        <v>0.05</v>
      </c>
      <c r="E35">
        <f>IF(OR(C35="",D35=""),"",C35+D35)</f>
        <v>2455.8000000000002</v>
      </c>
    </row>
    <row r="36" spans="1:5" x14ac:dyDescent="0.25">
      <c r="A36" t="str">
        <f>IF(B36=$B$4,"ATM","")</f>
        <v/>
      </c>
      <c r="B36">
        <v>21500</v>
      </c>
      <c r="C36">
        <f>IF(RawData!F59="","",RawData!F59)</f>
        <v>2450</v>
      </c>
      <c r="D36">
        <f>IF(RawData!F60="","",RawData!F60)</f>
        <v>0.05</v>
      </c>
      <c r="E36">
        <f>IF(OR(C36="",D36=""),"",C36+D36)</f>
        <v>2450.0500000000002</v>
      </c>
    </row>
    <row r="37" spans="1:5" x14ac:dyDescent="0.25">
      <c r="A37" t="str">
        <f>IF(B37=$B$4,"ATM","")</f>
        <v/>
      </c>
      <c r="B37">
        <v>21550</v>
      </c>
      <c r="C37">
        <f>IF(RawData!F61="","",RawData!F61)</f>
        <v>1599.75</v>
      </c>
      <c r="D37">
        <f>IF(RawData!F62="","",RawData!F62)</f>
        <v>0.05</v>
      </c>
      <c r="E37">
        <f>IF(OR(C37="",D37=""),"",C37+D37)</f>
        <v>1599.8</v>
      </c>
    </row>
    <row r="38" spans="1:5" x14ac:dyDescent="0.25">
      <c r="A38" t="str">
        <f>IF(B38=$B$4,"ATM","")</f>
        <v/>
      </c>
      <c r="B38">
        <v>21600</v>
      </c>
      <c r="C38">
        <f>IF(RawData!F63="","",RawData!F63)</f>
        <v>1555.7</v>
      </c>
      <c r="D38">
        <f>IF(RawData!F64="","",RawData!F64)</f>
        <v>0.1</v>
      </c>
      <c r="E38">
        <f>IF(OR(C38="",D38=""),"",C38+D38)</f>
        <v>1555.8</v>
      </c>
    </row>
    <row r="39" spans="1:5" x14ac:dyDescent="0.25">
      <c r="A39" t="str">
        <f>IF(B39=$B$4,"ATM","")</f>
        <v/>
      </c>
      <c r="B39">
        <v>21650</v>
      </c>
      <c r="C39">
        <f>IF(RawData!F65="","",RawData!F65)</f>
        <v>1512.1</v>
      </c>
      <c r="D39">
        <f>IF(RawData!F66="","",RawData!F66)</f>
        <v>0.1</v>
      </c>
      <c r="E39">
        <f>IF(OR(C39="",D39=""),"",C39+D39)</f>
        <v>1512.1999999999998</v>
      </c>
    </row>
    <row r="40" spans="1:5" x14ac:dyDescent="0.25">
      <c r="A40" t="str">
        <f>IF(B40=$B$4,"ATM","")</f>
        <v/>
      </c>
      <c r="B40">
        <v>21700</v>
      </c>
      <c r="C40">
        <f>IF(RawData!F67="","",RawData!F67)</f>
        <v>1468.9</v>
      </c>
      <c r="D40">
        <f>IF(RawData!F68="","",RawData!F68)</f>
        <v>0.05</v>
      </c>
      <c r="E40">
        <f>IF(OR(C40="",D40=""),"",C40+D40)</f>
        <v>1468.95</v>
      </c>
    </row>
    <row r="41" spans="1:5" x14ac:dyDescent="0.25">
      <c r="A41" t="str">
        <f>IF(B41=$B$4,"ATM","")</f>
        <v/>
      </c>
      <c r="B41">
        <v>21750</v>
      </c>
      <c r="C41">
        <f>IF(RawData!F69="","",RawData!F69)</f>
        <v>1426.2</v>
      </c>
      <c r="D41">
        <f>IF(RawData!F70="","",RawData!F70)</f>
        <v>0.05</v>
      </c>
      <c r="E41">
        <f>IF(OR(C41="",D41=""),"",C41+D41)</f>
        <v>1426.25</v>
      </c>
    </row>
    <row r="42" spans="1:5" x14ac:dyDescent="0.25">
      <c r="A42" t="str">
        <f>IF(B42=$B$4,"ATM","")</f>
        <v/>
      </c>
      <c r="B42">
        <v>21800</v>
      </c>
      <c r="C42">
        <f>IF(RawData!F71="","",RawData!F71)</f>
        <v>1383.9</v>
      </c>
      <c r="D42">
        <f>IF(RawData!F72="","",RawData!F72)</f>
        <v>0.05</v>
      </c>
      <c r="E42">
        <f>IF(OR(C42="",D42=""),"",C42+D42)</f>
        <v>1383.95</v>
      </c>
    </row>
    <row r="43" spans="1:5" x14ac:dyDescent="0.25">
      <c r="A43" t="str">
        <f>IF(B43=$B$4,"ATM","")</f>
        <v/>
      </c>
      <c r="B43">
        <v>21850</v>
      </c>
      <c r="C43">
        <f>IF(RawData!F73="","",RawData!F73)</f>
        <v>1342.1</v>
      </c>
      <c r="D43">
        <f>IF(RawData!F74="","",RawData!F74)</f>
        <v>0.05</v>
      </c>
      <c r="E43">
        <f>IF(OR(C43="",D43=""),"",C43+D43)</f>
        <v>1342.1499999999999</v>
      </c>
    </row>
    <row r="44" spans="1:5" x14ac:dyDescent="0.25">
      <c r="A44" t="str">
        <f>IF(B44=$B$4,"ATM","")</f>
        <v/>
      </c>
      <c r="B44">
        <v>21900</v>
      </c>
      <c r="C44">
        <f>IF(RawData!F75="","",RawData!F75)</f>
        <v>1300.8499999999999</v>
      </c>
      <c r="D44">
        <f>IF(RawData!F76="","",RawData!F76)</f>
        <v>0.05</v>
      </c>
      <c r="E44">
        <f>IF(OR(C44="",D44=""),"",C44+D44)</f>
        <v>1300.8999999999999</v>
      </c>
    </row>
    <row r="45" spans="1:5" x14ac:dyDescent="0.25">
      <c r="A45" t="str">
        <f>IF(B45=$B$4,"ATM","")</f>
        <v/>
      </c>
      <c r="B45">
        <v>21950</v>
      </c>
      <c r="C45">
        <f>IF(RawData!F77="","",RawData!F77)</f>
        <v>1260.05</v>
      </c>
      <c r="D45">
        <f>IF(RawData!F78="","",RawData!F78)</f>
        <v>0.05</v>
      </c>
      <c r="E45">
        <f>IF(OR(C45="",D45=""),"",C45+D45)</f>
        <v>1260.0999999999999</v>
      </c>
    </row>
    <row r="46" spans="1:5" x14ac:dyDescent="0.25">
      <c r="A46" t="str">
        <f>IF(B46=$B$4,"ATM","")</f>
        <v/>
      </c>
      <c r="B46">
        <v>22000</v>
      </c>
      <c r="C46">
        <f>IF(RawData!F79="","",RawData!F79)</f>
        <v>2034.5</v>
      </c>
      <c r="D46">
        <f>IF(RawData!F80="","",RawData!F80)</f>
        <v>0.05</v>
      </c>
      <c r="E46">
        <f>IF(OR(C46="",D46=""),"",C46+D46)</f>
        <v>2034.55</v>
      </c>
    </row>
    <row r="47" spans="1:5" x14ac:dyDescent="0.25">
      <c r="A47" t="str">
        <f>IF(B47=$B$4,"ATM","")</f>
        <v/>
      </c>
      <c r="B47">
        <v>22050</v>
      </c>
      <c r="C47">
        <f>IF(RawData!F81="","",RawData!F81)</f>
        <v>1180.2</v>
      </c>
      <c r="D47">
        <f>IF(RawData!F82="","",RawData!F82)</f>
        <v>0.05</v>
      </c>
      <c r="E47">
        <f>IF(OR(C47="",D47=""),"",C47+D47)</f>
        <v>1180.25</v>
      </c>
    </row>
    <row r="48" spans="1:5" x14ac:dyDescent="0.25">
      <c r="A48" t="str">
        <f>IF(B48=$B$4,"ATM","")</f>
        <v/>
      </c>
      <c r="B48">
        <v>22100</v>
      </c>
      <c r="C48">
        <f>IF(RawData!F83="","",RawData!F83)</f>
        <v>1801.8</v>
      </c>
      <c r="D48">
        <f>IF(RawData!F84="","",RawData!F84)</f>
        <v>0.05</v>
      </c>
      <c r="E48">
        <f>IF(OR(C48="",D48=""),"",C48+D48)</f>
        <v>1801.85</v>
      </c>
    </row>
    <row r="49" spans="1:5" x14ac:dyDescent="0.25">
      <c r="A49" t="str">
        <f>IF(B49=$B$4,"ATM","")</f>
        <v/>
      </c>
      <c r="B49">
        <v>22150</v>
      </c>
      <c r="C49">
        <f>IF(RawData!F85="","",RawData!F85)</f>
        <v>1975.2</v>
      </c>
      <c r="D49">
        <f>IF(RawData!F86="","",RawData!F86)</f>
        <v>0.05</v>
      </c>
      <c r="E49">
        <f>IF(OR(C49="",D49=""),"",C49+D49)</f>
        <v>1975.25</v>
      </c>
    </row>
    <row r="50" spans="1:5" x14ac:dyDescent="0.25">
      <c r="A50" t="str">
        <f>IF(B50=$B$4,"ATM","")</f>
        <v/>
      </c>
      <c r="B50">
        <v>22200</v>
      </c>
      <c r="C50">
        <f>IF(RawData!F87="","",RawData!F87)</f>
        <v>1801.25</v>
      </c>
      <c r="D50">
        <f>IF(RawData!F88="","",RawData!F88)</f>
        <v>0.05</v>
      </c>
      <c r="E50">
        <f>IF(OR(C50="",D50=""),"",C50+D50)</f>
        <v>1801.3</v>
      </c>
    </row>
    <row r="51" spans="1:5" x14ac:dyDescent="0.25">
      <c r="A51" t="str">
        <f>IF(B51=$B$4,"ATM","")</f>
        <v/>
      </c>
      <c r="B51">
        <v>22250</v>
      </c>
      <c r="C51">
        <f>IF(RawData!F89="","",RawData!F89)</f>
        <v>1561.05</v>
      </c>
      <c r="D51">
        <f>IF(RawData!F90="","",RawData!F90)</f>
        <v>0.05</v>
      </c>
      <c r="E51">
        <f>IF(OR(C51="",D51=""),"",C51+D51)</f>
        <v>1561.1</v>
      </c>
    </row>
    <row r="52" spans="1:5" x14ac:dyDescent="0.25">
      <c r="A52" t="str">
        <f>IF(B52=$B$4,"ATM","")</f>
        <v/>
      </c>
      <c r="B52">
        <v>22300</v>
      </c>
      <c r="C52">
        <f>IF(RawData!F91="","",RawData!F91)</f>
        <v>1833.85</v>
      </c>
      <c r="D52">
        <f>IF(RawData!F92="","",RawData!F92)</f>
        <v>0.05</v>
      </c>
      <c r="E52">
        <f>IF(OR(C52="",D52=""),"",C52+D52)</f>
        <v>1833.8999999999999</v>
      </c>
    </row>
    <row r="53" spans="1:5" x14ac:dyDescent="0.25">
      <c r="A53" t="str">
        <f>IF(B53=$B$4,"ATM","")</f>
        <v/>
      </c>
      <c r="B53">
        <v>22350</v>
      </c>
      <c r="C53">
        <f>IF(RawData!F93="","",RawData!F93)</f>
        <v>1684.1</v>
      </c>
      <c r="D53">
        <f>IF(RawData!F94="","",RawData!F94)</f>
        <v>0.05</v>
      </c>
      <c r="E53">
        <f>IF(OR(C53="",D53=""),"",C53+D53)</f>
        <v>1684.1499999999999</v>
      </c>
    </row>
    <row r="54" spans="1:5" x14ac:dyDescent="0.25">
      <c r="A54" t="str">
        <f>IF(B54=$B$4,"ATM","")</f>
        <v/>
      </c>
      <c r="B54">
        <v>22400</v>
      </c>
      <c r="C54">
        <f>IF(RawData!F95="","",RawData!F95)</f>
        <v>1694.4</v>
      </c>
      <c r="D54">
        <f>IF(RawData!F96="","",RawData!F96)</f>
        <v>0.05</v>
      </c>
      <c r="E54">
        <f>IF(OR(C54="",D54=""),"",C54+D54)</f>
        <v>1694.45</v>
      </c>
    </row>
    <row r="55" spans="1:5" x14ac:dyDescent="0.25">
      <c r="A55" t="str">
        <f>IF(B55=$B$4,"ATM","")</f>
        <v/>
      </c>
      <c r="B55">
        <v>22450</v>
      </c>
      <c r="C55">
        <f>IF(RawData!F97="","",RawData!F97)</f>
        <v>1431.85</v>
      </c>
      <c r="D55">
        <f>IF(RawData!F98="","",RawData!F98)</f>
        <v>0.05</v>
      </c>
      <c r="E55">
        <f>IF(OR(C55="",D55=""),"",C55+D55)</f>
        <v>1431.8999999999999</v>
      </c>
    </row>
    <row r="56" spans="1:5" x14ac:dyDescent="0.25">
      <c r="A56" t="str">
        <f>IF(B56=$B$4,"ATM","")</f>
        <v/>
      </c>
      <c r="B56">
        <v>22500</v>
      </c>
      <c r="C56">
        <f>IF(RawData!F99="","",RawData!F99)</f>
        <v>1533.65</v>
      </c>
      <c r="D56">
        <f>IF(RawData!F100="","",RawData!F100)</f>
        <v>0.05</v>
      </c>
      <c r="E56">
        <f>IF(OR(C56="",D56=""),"",C56+D56)</f>
        <v>1533.7</v>
      </c>
    </row>
    <row r="57" spans="1:5" x14ac:dyDescent="0.25">
      <c r="A57" t="str">
        <f>IF(B57=$B$4,"ATM","")</f>
        <v/>
      </c>
      <c r="B57">
        <v>22550</v>
      </c>
      <c r="C57">
        <f>IF(RawData!F101="","",RawData!F101)</f>
        <v>1475</v>
      </c>
      <c r="D57">
        <f>IF(RawData!F102="","",RawData!F102)</f>
        <v>0.05</v>
      </c>
      <c r="E57">
        <f>IF(OR(C57="",D57=""),"",C57+D57)</f>
        <v>1475.05</v>
      </c>
    </row>
    <row r="58" spans="1:5" x14ac:dyDescent="0.25">
      <c r="A58" t="str">
        <f>IF(B58=$B$4,"ATM","")</f>
        <v/>
      </c>
      <c r="B58">
        <v>22600</v>
      </c>
      <c r="C58">
        <f>IF(RawData!F103="","",RawData!F103)</f>
        <v>1435.85</v>
      </c>
      <c r="D58">
        <f>IF(RawData!F104="","",RawData!F104)</f>
        <v>0.05</v>
      </c>
      <c r="E58">
        <f>IF(OR(C58="",D58=""),"",C58+D58)</f>
        <v>1435.8999999999999</v>
      </c>
    </row>
    <row r="59" spans="1:5" x14ac:dyDescent="0.25">
      <c r="A59" t="str">
        <f>IF(B59=$B$4,"ATM","")</f>
        <v/>
      </c>
      <c r="B59">
        <v>22650</v>
      </c>
      <c r="C59">
        <f>IF(RawData!F105="","",RawData!F105)</f>
        <v>1279.95</v>
      </c>
      <c r="D59">
        <f>IF(RawData!F106="","",RawData!F106)</f>
        <v>0.05</v>
      </c>
      <c r="E59">
        <f>IF(OR(C59="",D59=""),"",C59+D59)</f>
        <v>1280</v>
      </c>
    </row>
    <row r="60" spans="1:5" x14ac:dyDescent="0.25">
      <c r="A60" t="str">
        <f>IF(B60=$B$4,"ATM","")</f>
        <v/>
      </c>
      <c r="B60">
        <v>22700</v>
      </c>
      <c r="C60">
        <f>IF(RawData!F107="","",RawData!F107)</f>
        <v>1330.95</v>
      </c>
      <c r="D60">
        <f>IF(RawData!F108="","",RawData!F108)</f>
        <v>0.05</v>
      </c>
      <c r="E60">
        <f>IF(OR(C60="",D60=""),"",C60+D60)</f>
        <v>1331</v>
      </c>
    </row>
    <row r="61" spans="1:5" x14ac:dyDescent="0.25">
      <c r="A61" t="str">
        <f>IF(B61=$B$4,"ATM","")</f>
        <v/>
      </c>
      <c r="B61">
        <v>22750</v>
      </c>
      <c r="C61">
        <f>IF(RawData!F109="","",RawData!F109)</f>
        <v>1470</v>
      </c>
      <c r="D61">
        <f>IF(RawData!F110="","",RawData!F110)</f>
        <v>0.05</v>
      </c>
      <c r="E61">
        <f>IF(OR(C61="",D61=""),"",C61+D61)</f>
        <v>1470.05</v>
      </c>
    </row>
    <row r="62" spans="1:5" x14ac:dyDescent="0.25">
      <c r="A62" t="str">
        <f>IF(B62=$B$4,"ATM","")</f>
        <v/>
      </c>
      <c r="B62">
        <v>22800</v>
      </c>
      <c r="C62">
        <f>IF(RawData!F111="","",RawData!F111)</f>
        <v>1233.0999999999999</v>
      </c>
      <c r="D62">
        <f>IF(RawData!F112="","",RawData!F112)</f>
        <v>0.1</v>
      </c>
      <c r="E62">
        <f>IF(OR(C62="",D62=""),"",C62+D62)</f>
        <v>1233.1999999999998</v>
      </c>
    </row>
    <row r="63" spans="1:5" x14ac:dyDescent="0.25">
      <c r="A63" t="str">
        <f>IF(B63=$B$4,"ATM","")</f>
        <v/>
      </c>
      <c r="B63">
        <v>22850</v>
      </c>
      <c r="C63">
        <f>IF(RawData!F113="","",RawData!F113)</f>
        <v>1181</v>
      </c>
      <c r="D63">
        <f>IF(RawData!F114="","",RawData!F114)</f>
        <v>0.05</v>
      </c>
      <c r="E63">
        <f>IF(OR(C63="",D63=""),"",C63+D63)</f>
        <v>1181.05</v>
      </c>
    </row>
    <row r="64" spans="1:5" x14ac:dyDescent="0.25">
      <c r="A64" t="str">
        <f>IF(B64=$B$4,"ATM","")</f>
        <v/>
      </c>
      <c r="B64">
        <v>22900</v>
      </c>
      <c r="C64">
        <f>IF(RawData!F115="","",RawData!F115)</f>
        <v>1134.25</v>
      </c>
      <c r="D64">
        <f>IF(RawData!F116="","",RawData!F116)</f>
        <v>0.05</v>
      </c>
      <c r="E64">
        <f>IF(OR(C64="",D64=""),"",C64+D64)</f>
        <v>1134.3</v>
      </c>
    </row>
    <row r="65" spans="1:5" x14ac:dyDescent="0.25">
      <c r="A65" t="str">
        <f>IF(B65=$B$4,"ATM","")</f>
        <v/>
      </c>
      <c r="B65">
        <v>22950</v>
      </c>
      <c r="C65">
        <f>IF(RawData!F117="","",RawData!F117)</f>
        <v>1072.5</v>
      </c>
      <c r="D65">
        <f>IF(RawData!F118="","",RawData!F118)</f>
        <v>0.05</v>
      </c>
      <c r="E65">
        <f>IF(OR(C65="",D65=""),"",C65+D65)</f>
        <v>1072.55</v>
      </c>
    </row>
    <row r="66" spans="1:5" x14ac:dyDescent="0.25">
      <c r="A66" t="str">
        <f>IF(B66=$B$4,"ATM","")</f>
        <v/>
      </c>
      <c r="B66">
        <v>23000</v>
      </c>
      <c r="C66">
        <f>IF(RawData!F119="","",RawData!F119)</f>
        <v>1032.0999999999999</v>
      </c>
      <c r="D66">
        <f>IF(RawData!F120="","",RawData!F120)</f>
        <v>0.05</v>
      </c>
      <c r="E66">
        <f>IF(OR(C66="",D66=""),"",C66+D66)</f>
        <v>1032.1499999999999</v>
      </c>
    </row>
    <row r="67" spans="1:5" x14ac:dyDescent="0.25">
      <c r="A67" t="str">
        <f>IF(B67=$B$4,"ATM","")</f>
        <v/>
      </c>
      <c r="B67">
        <v>23050</v>
      </c>
      <c r="C67">
        <f>IF(RawData!F121="","",RawData!F121)</f>
        <v>981.4</v>
      </c>
      <c r="D67">
        <f>IF(RawData!F122="","",RawData!F122)</f>
        <v>0.05</v>
      </c>
      <c r="E67">
        <f>IF(OR(C67="",D67=""),"",C67+D67)</f>
        <v>981.44999999999993</v>
      </c>
    </row>
    <row r="68" spans="1:5" x14ac:dyDescent="0.25">
      <c r="A68" t="str">
        <f>IF(B68=$B$4,"ATM","")</f>
        <v/>
      </c>
      <c r="B68">
        <v>23100</v>
      </c>
      <c r="C68">
        <f>IF(RawData!F123="","",RawData!F123)</f>
        <v>933.4</v>
      </c>
      <c r="D68">
        <f>IF(RawData!F124="","",RawData!F124)</f>
        <v>0.05</v>
      </c>
      <c r="E68">
        <f>IF(OR(C68="",D68=""),"",C68+D68)</f>
        <v>933.44999999999993</v>
      </c>
    </row>
    <row r="69" spans="1:5" x14ac:dyDescent="0.25">
      <c r="A69" t="str">
        <f>IF(B69=$B$4,"ATM","")</f>
        <v/>
      </c>
      <c r="B69">
        <v>23150</v>
      </c>
      <c r="C69">
        <f>IF(RawData!F125="","",RawData!F125)</f>
        <v>897.65</v>
      </c>
      <c r="D69">
        <f>IF(RawData!F126="","",RawData!F126)</f>
        <v>0.05</v>
      </c>
      <c r="E69">
        <f>IF(OR(C69="",D69=""),"",C69+D69)</f>
        <v>897.69999999999993</v>
      </c>
    </row>
    <row r="70" spans="1:5" x14ac:dyDescent="0.25">
      <c r="A70" t="str">
        <f>IF(B70=$B$4,"ATM","")</f>
        <v/>
      </c>
      <c r="B70">
        <v>23200</v>
      </c>
      <c r="C70">
        <f>IF(RawData!F127="","",RawData!F127)</f>
        <v>831.6</v>
      </c>
      <c r="D70">
        <f>IF(RawData!F128="","",RawData!F128)</f>
        <v>0.05</v>
      </c>
      <c r="E70">
        <f>IF(OR(C70="",D70=""),"",C70+D70)</f>
        <v>831.65</v>
      </c>
    </row>
    <row r="71" spans="1:5" x14ac:dyDescent="0.25">
      <c r="A71" t="str">
        <f>IF(B71=$B$4,"ATM","")</f>
        <v/>
      </c>
      <c r="B71">
        <v>23250</v>
      </c>
      <c r="C71">
        <f>IF(RawData!F129="","",RawData!F129)</f>
        <v>783.2</v>
      </c>
      <c r="D71">
        <f>IF(RawData!F130="","",RawData!F130)</f>
        <v>0.05</v>
      </c>
      <c r="E71">
        <f>IF(OR(C71="",D71=""),"",C71+D71)</f>
        <v>783.25</v>
      </c>
    </row>
    <row r="72" spans="1:5" x14ac:dyDescent="0.25">
      <c r="A72" t="str">
        <f>IF(B72=$B$4,"ATM","")</f>
        <v/>
      </c>
      <c r="B72">
        <v>23300</v>
      </c>
      <c r="C72">
        <f>IF(RawData!F131="","",RawData!F131)</f>
        <v>731.5</v>
      </c>
      <c r="D72">
        <f>IF(RawData!F132="","",RawData!F132)</f>
        <v>0.05</v>
      </c>
      <c r="E72">
        <f>IF(OR(C72="",D72=""),"",C72+D72)</f>
        <v>731.55</v>
      </c>
    </row>
    <row r="73" spans="1:5" x14ac:dyDescent="0.25">
      <c r="A73" t="str">
        <f>IF(B73=$B$4,"ATM","")</f>
        <v/>
      </c>
      <c r="B73">
        <v>23350</v>
      </c>
      <c r="C73">
        <f>IF(RawData!F133="","",RawData!F133)</f>
        <v>682.4</v>
      </c>
      <c r="D73">
        <f>IF(RawData!F134="","",RawData!F134)</f>
        <v>0.05</v>
      </c>
      <c r="E73">
        <f>IF(OR(C73="",D73=""),"",C73+D73)</f>
        <v>682.44999999999993</v>
      </c>
    </row>
    <row r="74" spans="1:5" x14ac:dyDescent="0.25">
      <c r="A74" t="str">
        <f>IF(B74=$B$4,"ATM","")</f>
        <v/>
      </c>
      <c r="B74">
        <v>23400</v>
      </c>
      <c r="C74">
        <f>IF(RawData!F135="","",RawData!F135)</f>
        <v>632.04999999999995</v>
      </c>
      <c r="D74">
        <f>IF(RawData!F136="","",RawData!F136)</f>
        <v>0.05</v>
      </c>
      <c r="E74">
        <f>IF(OR(C74="",D74=""),"",C74+D74)</f>
        <v>632.09999999999991</v>
      </c>
    </row>
    <row r="75" spans="1:5" x14ac:dyDescent="0.25">
      <c r="A75" t="str">
        <f>IF(B75=$B$4,"ATM","")</f>
        <v/>
      </c>
      <c r="B75">
        <v>23450</v>
      </c>
      <c r="C75">
        <f>IF(RawData!F137="","",RawData!F137)</f>
        <v>583.35</v>
      </c>
      <c r="D75">
        <f>IF(RawData!F138="","",RawData!F138)</f>
        <v>0.05</v>
      </c>
      <c r="E75">
        <f>IF(OR(C75="",D75=""),"",C75+D75)</f>
        <v>583.4</v>
      </c>
    </row>
    <row r="76" spans="1:5" x14ac:dyDescent="0.25">
      <c r="A76" t="str">
        <f>IF(B76=$B$4,"ATM","")</f>
        <v/>
      </c>
      <c r="B76">
        <v>23500</v>
      </c>
      <c r="C76">
        <f>IF(RawData!F139="","",RawData!F139)</f>
        <v>532.35</v>
      </c>
      <c r="D76">
        <f>IF(RawData!F140="","",RawData!F140)</f>
        <v>0.05</v>
      </c>
      <c r="E76">
        <f>IF(OR(C76="",D76=""),"",C76+D76)</f>
        <v>532.4</v>
      </c>
    </row>
    <row r="77" spans="1:5" x14ac:dyDescent="0.25">
      <c r="A77" t="str">
        <f>IF(B77=$B$4,"ATM","")</f>
        <v/>
      </c>
      <c r="B77">
        <v>23550</v>
      </c>
      <c r="C77">
        <f>IF(RawData!F141="","",RawData!F141)</f>
        <v>484</v>
      </c>
      <c r="D77">
        <f>IF(RawData!F142="","",RawData!F142)</f>
        <v>0.05</v>
      </c>
      <c r="E77">
        <f>IF(OR(C77="",D77=""),"",C77+D77)</f>
        <v>484.05</v>
      </c>
    </row>
    <row r="78" spans="1:5" x14ac:dyDescent="0.25">
      <c r="A78" t="str">
        <f>IF(B78=$B$4,"ATM","")</f>
        <v/>
      </c>
      <c r="B78">
        <v>23600</v>
      </c>
      <c r="C78">
        <f>IF(RawData!F143="","",RawData!F143)</f>
        <v>432.95</v>
      </c>
      <c r="D78">
        <f>IF(RawData!F144="","",RawData!F144)</f>
        <v>0.05</v>
      </c>
      <c r="E78">
        <f>IF(OR(C78="",D78=""),"",C78+D78)</f>
        <v>433</v>
      </c>
    </row>
    <row r="79" spans="1:5" x14ac:dyDescent="0.25">
      <c r="A79" t="str">
        <f>IF(B79=$B$4,"ATM","")</f>
        <v/>
      </c>
      <c r="B79">
        <v>23650</v>
      </c>
      <c r="C79">
        <f>IF(RawData!F145="","",RawData!F145)</f>
        <v>381.95</v>
      </c>
      <c r="D79">
        <f>IF(RawData!F146="","",RawData!F146)</f>
        <v>0.05</v>
      </c>
      <c r="E79">
        <f>IF(OR(C79="",D79=""),"",C79+D79)</f>
        <v>382</v>
      </c>
    </row>
    <row r="80" spans="1:5" x14ac:dyDescent="0.25">
      <c r="A80" t="str">
        <f>IF(B80=$B$4,"ATM","")</f>
        <v/>
      </c>
      <c r="B80">
        <v>23700</v>
      </c>
      <c r="C80">
        <f>IF(RawData!F147="","",RawData!F147)</f>
        <v>332</v>
      </c>
      <c r="D80">
        <f>IF(RawData!F148="","",RawData!F148)</f>
        <v>0.05</v>
      </c>
      <c r="E80">
        <f>IF(OR(C80="",D80=""),"",C80+D80)</f>
        <v>332.05</v>
      </c>
    </row>
    <row r="81" spans="1:5" x14ac:dyDescent="0.25">
      <c r="A81" t="str">
        <f>IF(B81=$B$4,"ATM","")</f>
        <v/>
      </c>
      <c r="B81">
        <v>23750</v>
      </c>
      <c r="C81">
        <f>IF(RawData!F149="","",RawData!F149)</f>
        <v>282.10000000000002</v>
      </c>
      <c r="D81">
        <f>IF(RawData!F150="","",RawData!F150)</f>
        <v>0.05</v>
      </c>
      <c r="E81">
        <f>IF(OR(C81="",D81=""),"",C81+D81)</f>
        <v>282.15000000000003</v>
      </c>
    </row>
    <row r="82" spans="1:5" x14ac:dyDescent="0.25">
      <c r="A82" t="str">
        <f>IF(B82=$B$4,"ATM","")</f>
        <v/>
      </c>
      <c r="B82">
        <v>23800</v>
      </c>
      <c r="C82">
        <f>IF(RawData!F151="","",RawData!F151)</f>
        <v>232.25</v>
      </c>
      <c r="D82">
        <f>IF(RawData!F152="","",RawData!F152)</f>
        <v>0.05</v>
      </c>
      <c r="E82">
        <f>IF(OR(C82="",D82=""),"",C82+D82)</f>
        <v>232.3</v>
      </c>
    </row>
    <row r="83" spans="1:5" x14ac:dyDescent="0.25">
      <c r="A83" t="str">
        <f>IF(B83=$B$4,"ATM","")</f>
        <v/>
      </c>
      <c r="B83">
        <v>23850</v>
      </c>
      <c r="C83">
        <f>IF(RawData!F153="","",RawData!F153)</f>
        <v>182.25</v>
      </c>
      <c r="D83">
        <f>IF(RawData!F154="","",RawData!F154)</f>
        <v>0.05</v>
      </c>
      <c r="E83">
        <f>IF(OR(C83="",D83=""),"",C83+D83)</f>
        <v>182.3</v>
      </c>
    </row>
    <row r="84" spans="1:5" x14ac:dyDescent="0.25">
      <c r="A84" t="str">
        <f>IF(B84=$B$4,"ATM","")</f>
        <v/>
      </c>
      <c r="B84">
        <v>23900</v>
      </c>
      <c r="C84">
        <f>IF(RawData!F155="","",RawData!F155)</f>
        <v>132.4</v>
      </c>
      <c r="D84">
        <f>IF(RawData!F156="","",RawData!F156)</f>
        <v>0.05</v>
      </c>
      <c r="E84">
        <f>IF(OR(C84="",D84=""),"",C84+D84)</f>
        <v>132.45000000000002</v>
      </c>
    </row>
    <row r="85" spans="1:5" x14ac:dyDescent="0.25">
      <c r="A85" t="str">
        <f>IF(B85=$B$4,"ATM","")</f>
        <v/>
      </c>
      <c r="B85">
        <v>23950</v>
      </c>
      <c r="C85">
        <f>IF(RawData!F157="","",RawData!F157)</f>
        <v>82.6</v>
      </c>
      <c r="D85">
        <f>IF(RawData!F158="","",RawData!F158)</f>
        <v>0.05</v>
      </c>
      <c r="E85">
        <f>IF(OR(C85="",D85=""),"",C85+D85)</f>
        <v>82.649999999999991</v>
      </c>
    </row>
    <row r="86" spans="1:5" x14ac:dyDescent="0.25">
      <c r="A86" t="str">
        <f>IF(B86=$B$4,"ATM","")</f>
        <v/>
      </c>
      <c r="B86">
        <v>24000</v>
      </c>
      <c r="C86">
        <f>IF(RawData!F159="","",RawData!F159)</f>
        <v>32.75</v>
      </c>
      <c r="D86">
        <f>IF(RawData!F160="","",RawData!F160)</f>
        <v>0.05</v>
      </c>
      <c r="E86">
        <f>IF(OR(C86="",D86=""),"",C86+D86)</f>
        <v>32.799999999999997</v>
      </c>
    </row>
    <row r="87" spans="1:5" x14ac:dyDescent="0.25">
      <c r="A87" t="str">
        <f>IF(B87=$B$4,"ATM","")</f>
        <v>ATM</v>
      </c>
      <c r="B87">
        <v>24050</v>
      </c>
      <c r="C87">
        <f>IF(RawData!F161="","",RawData!F161)</f>
        <v>0.05</v>
      </c>
      <c r="D87">
        <f>IF(RawData!F162="","",RawData!F162)</f>
        <v>17.05</v>
      </c>
      <c r="E87">
        <f>IF(OR(C87="",D87=""),"",C87+D87)</f>
        <v>17.100000000000001</v>
      </c>
    </row>
    <row r="88" spans="1:5" x14ac:dyDescent="0.25">
      <c r="A88" t="str">
        <f>IF(B88=$B$4,"ATM","")</f>
        <v/>
      </c>
      <c r="B88">
        <v>24100</v>
      </c>
      <c r="C88">
        <f>IF(RawData!F163="","",RawData!F163)</f>
        <v>0.05</v>
      </c>
      <c r="D88">
        <f>IF(RawData!F164="","",RawData!F164)</f>
        <v>67.099999999999994</v>
      </c>
      <c r="E88">
        <f>IF(OR(C88="",D88=""),"",C88+D88)</f>
        <v>67.149999999999991</v>
      </c>
    </row>
    <row r="89" spans="1:5" x14ac:dyDescent="0.25">
      <c r="A89" t="str">
        <f>IF(B89=$B$4,"ATM","")</f>
        <v/>
      </c>
      <c r="B89">
        <v>24150</v>
      </c>
      <c r="C89">
        <f>IF(RawData!F165="","",RawData!F165)</f>
        <v>0.05</v>
      </c>
      <c r="D89">
        <f>IF(RawData!F166="","",RawData!F166)</f>
        <v>116.8</v>
      </c>
      <c r="E89">
        <f>IF(OR(C89="",D89=""),"",C89+D89)</f>
        <v>116.85</v>
      </c>
    </row>
    <row r="90" spans="1:5" x14ac:dyDescent="0.25">
      <c r="A90" t="str">
        <f>IF(B90=$B$4,"ATM","")</f>
        <v/>
      </c>
      <c r="B90">
        <v>24200</v>
      </c>
      <c r="C90">
        <f>IF(RawData!F167="","",RawData!F167)</f>
        <v>0.05</v>
      </c>
      <c r="D90">
        <f>IF(RawData!F168="","",RawData!F168)</f>
        <v>166.75</v>
      </c>
      <c r="E90">
        <f>IF(OR(C90="",D90=""),"",C90+D90)</f>
        <v>166.8</v>
      </c>
    </row>
    <row r="91" spans="1:5" x14ac:dyDescent="0.25">
      <c r="A91" t="str">
        <f>IF(B91=$B$4,"ATM","")</f>
        <v/>
      </c>
      <c r="B91">
        <v>24250</v>
      </c>
      <c r="C91">
        <f>IF(RawData!F169="","",RawData!F169)</f>
        <v>0.05</v>
      </c>
      <c r="D91">
        <f>IF(RawData!F170="","",RawData!F170)</f>
        <v>216.8</v>
      </c>
      <c r="E91">
        <f>IF(OR(C91="",D91=""),"",C91+D91)</f>
        <v>216.85000000000002</v>
      </c>
    </row>
    <row r="92" spans="1:5" x14ac:dyDescent="0.25">
      <c r="A92" t="str">
        <f>IF(B92=$B$4,"ATM","")</f>
        <v/>
      </c>
      <c r="B92">
        <v>24300</v>
      </c>
      <c r="C92">
        <f>IF(RawData!F171="","",RawData!F171)</f>
        <v>0.05</v>
      </c>
      <c r="D92">
        <f>IF(RawData!F172="","",RawData!F172)</f>
        <v>266.5</v>
      </c>
      <c r="E92">
        <f>IF(OR(C92="",D92=""),"",C92+D92)</f>
        <v>266.55</v>
      </c>
    </row>
    <row r="93" spans="1:5" x14ac:dyDescent="0.25">
      <c r="A93" t="str">
        <f>IF(B93=$B$4,"ATM","")</f>
        <v/>
      </c>
      <c r="B93">
        <v>24350</v>
      </c>
      <c r="C93">
        <f>IF(RawData!F173="","",RawData!F173)</f>
        <v>0.05</v>
      </c>
      <c r="D93">
        <f>IF(RawData!F174="","",RawData!F174)</f>
        <v>316.45</v>
      </c>
      <c r="E93">
        <f>IF(OR(C93="",D93=""),"",C93+D93)</f>
        <v>316.5</v>
      </c>
    </row>
    <row r="94" spans="1:5" x14ac:dyDescent="0.25">
      <c r="A94" t="str">
        <f>IF(B94=$B$4,"ATM","")</f>
        <v/>
      </c>
      <c r="B94">
        <v>24400</v>
      </c>
      <c r="C94">
        <f>IF(RawData!F175="","",RawData!F175)</f>
        <v>0.05</v>
      </c>
      <c r="D94">
        <f>IF(RawData!F176="","",RawData!F176)</f>
        <v>367.45</v>
      </c>
      <c r="E94">
        <f>IF(OR(C94="",D94=""),"",C94+D94)</f>
        <v>367.5</v>
      </c>
    </row>
    <row r="95" spans="1:5" x14ac:dyDescent="0.25">
      <c r="A95" t="str">
        <f>IF(B95=$B$4,"ATM","")</f>
        <v/>
      </c>
      <c r="B95">
        <v>24450</v>
      </c>
      <c r="C95">
        <f>IF(RawData!F177="","",RawData!F177)</f>
        <v>0.05</v>
      </c>
      <c r="D95">
        <f>IF(RawData!F178="","",RawData!F178)</f>
        <v>417.8</v>
      </c>
      <c r="E95">
        <f>IF(OR(C95="",D95=""),"",C95+D95)</f>
        <v>417.85</v>
      </c>
    </row>
    <row r="96" spans="1:5" x14ac:dyDescent="0.25">
      <c r="A96" t="str">
        <f>IF(B96=$B$4,"ATM","")</f>
        <v/>
      </c>
      <c r="B96">
        <v>24500</v>
      </c>
      <c r="C96">
        <f>IF(RawData!F179="","",RawData!F179)</f>
        <v>0.05</v>
      </c>
      <c r="D96">
        <f>IF(RawData!F180="","",RawData!F180)</f>
        <v>468.3</v>
      </c>
      <c r="E96">
        <f>IF(OR(C96="",D96=""),"",C96+D96)</f>
        <v>468.35</v>
      </c>
    </row>
    <row r="97" spans="1:5" x14ac:dyDescent="0.25">
      <c r="A97" t="str">
        <f>IF(B97=$B$4,"ATM","")</f>
        <v/>
      </c>
      <c r="B97">
        <v>24550</v>
      </c>
      <c r="C97">
        <f>IF(RawData!F181="","",RawData!F181)</f>
        <v>0.05</v>
      </c>
      <c r="D97">
        <f>IF(RawData!F182="","",RawData!F182)</f>
        <v>518.9</v>
      </c>
      <c r="E97">
        <f>IF(OR(C97="",D97=""),"",C97+D97)</f>
        <v>518.94999999999993</v>
      </c>
    </row>
    <row r="98" spans="1:5" x14ac:dyDescent="0.25">
      <c r="A98" t="str">
        <f>IF(B98=$B$4,"ATM","")</f>
        <v/>
      </c>
      <c r="B98">
        <v>24600</v>
      </c>
      <c r="C98">
        <f>IF(RawData!F183="","",RawData!F183)</f>
        <v>0.05</v>
      </c>
      <c r="D98">
        <f>IF(RawData!F184="","",RawData!F184)</f>
        <v>566.70000000000005</v>
      </c>
      <c r="E98">
        <f>IF(OR(C98="",D98=""),"",C98+D98)</f>
        <v>566.75</v>
      </c>
    </row>
    <row r="99" spans="1:5" x14ac:dyDescent="0.25">
      <c r="A99" t="str">
        <f>IF(B99=$B$4,"ATM","")</f>
        <v/>
      </c>
      <c r="B99">
        <v>24650</v>
      </c>
      <c r="C99">
        <f>IF(RawData!F185="","",RawData!F185)</f>
        <v>0.05</v>
      </c>
      <c r="D99">
        <f>IF(RawData!F186="","",RawData!F186)</f>
        <v>620.75</v>
      </c>
      <c r="E99">
        <f>IF(OR(C99="",D99=""),"",C99+D99)</f>
        <v>620.79999999999995</v>
      </c>
    </row>
    <row r="100" spans="1:5" x14ac:dyDescent="0.25">
      <c r="A100" t="str">
        <f>IF(B100=$B$4,"ATM","")</f>
        <v/>
      </c>
      <c r="B100">
        <v>24700</v>
      </c>
      <c r="C100">
        <f>IF(RawData!F187="","",RawData!F187)</f>
        <v>0.05</v>
      </c>
      <c r="D100">
        <f>IF(RawData!F188="","",RawData!F188)</f>
        <v>668.7</v>
      </c>
      <c r="E100">
        <f>IF(OR(C100="",D100=""),"",C100+D100)</f>
        <v>668.75</v>
      </c>
    </row>
    <row r="101" spans="1:5" x14ac:dyDescent="0.25">
      <c r="A101" t="str">
        <f>IF(B101=$B$4,"ATM","")</f>
        <v/>
      </c>
      <c r="B101">
        <v>24750</v>
      </c>
      <c r="C101">
        <f>IF(RawData!F189="","",RawData!F189)</f>
        <v>0.05</v>
      </c>
      <c r="D101">
        <f>IF(RawData!F190="","",RawData!F190)</f>
        <v>719.2</v>
      </c>
      <c r="E101">
        <f>IF(OR(C101="",D101=""),"",C101+D101)</f>
        <v>719.25</v>
      </c>
    </row>
    <row r="102" spans="1:5" x14ac:dyDescent="0.25">
      <c r="A102" t="str">
        <f>IF(B102=$B$4,"ATM","")</f>
        <v/>
      </c>
      <c r="B102">
        <v>24800</v>
      </c>
      <c r="C102">
        <f>IF(RawData!F191="","",RawData!F191)</f>
        <v>0.05</v>
      </c>
      <c r="D102">
        <f>IF(RawData!F192="","",RawData!F192)</f>
        <v>769</v>
      </c>
      <c r="E102">
        <f>IF(OR(C102="",D102=""),"",C102+D102)</f>
        <v>769.05</v>
      </c>
    </row>
    <row r="103" spans="1:5" x14ac:dyDescent="0.25">
      <c r="A103" t="str">
        <f>IF(B103=$B$4,"ATM","")</f>
        <v/>
      </c>
      <c r="B103">
        <v>24850</v>
      </c>
      <c r="C103">
        <f>IF(RawData!F193="","",RawData!F193)</f>
        <v>0.05</v>
      </c>
      <c r="D103">
        <f>IF(RawData!F194="","",RawData!F194)</f>
        <v>818.4</v>
      </c>
      <c r="E103">
        <f>IF(OR(C103="",D103=""),"",C103+D103)</f>
        <v>818.44999999999993</v>
      </c>
    </row>
    <row r="104" spans="1:5" x14ac:dyDescent="0.25">
      <c r="A104" t="str">
        <f>IF(B104=$B$4,"ATM","")</f>
        <v/>
      </c>
      <c r="B104">
        <v>24900</v>
      </c>
      <c r="C104">
        <f>IF(RawData!F195="","",RawData!F195)</f>
        <v>0.05</v>
      </c>
      <c r="D104">
        <f>IF(RawData!F196="","",RawData!F196)</f>
        <v>866.6</v>
      </c>
      <c r="E104">
        <f>IF(OR(C104="",D104=""),"",C104+D104)</f>
        <v>866.65</v>
      </c>
    </row>
    <row r="105" spans="1:5" x14ac:dyDescent="0.25">
      <c r="A105" t="str">
        <f>IF(B105=$B$4,"ATM","")</f>
        <v/>
      </c>
      <c r="B105">
        <v>24950</v>
      </c>
      <c r="C105">
        <f>IF(RawData!F197="","",RawData!F197)</f>
        <v>0.05</v>
      </c>
      <c r="D105">
        <f>IF(RawData!F198="","",RawData!F198)</f>
        <v>919.75</v>
      </c>
      <c r="E105">
        <f>IF(OR(C105="",D105=""),"",C105+D105)</f>
        <v>919.8</v>
      </c>
    </row>
    <row r="106" spans="1:5" x14ac:dyDescent="0.25">
      <c r="A106" t="str">
        <f>IF(B106=$B$4,"ATM","")</f>
        <v/>
      </c>
      <c r="B106">
        <v>25000</v>
      </c>
      <c r="C106">
        <f>IF(RawData!F199="","",RawData!F199)</f>
        <v>0.05</v>
      </c>
      <c r="D106">
        <f>IF(RawData!F200="","",RawData!F200)</f>
        <v>969.25</v>
      </c>
      <c r="E106">
        <f>IF(OR(C106="",D106=""),"",C106+D106)</f>
        <v>969.3</v>
      </c>
    </row>
    <row r="107" spans="1:5" x14ac:dyDescent="0.25">
      <c r="A107" t="str">
        <f>IF(B107=$B$4,"ATM","")</f>
        <v/>
      </c>
      <c r="B107">
        <v>25050</v>
      </c>
      <c r="C107">
        <f>IF(RawData!F201="","",RawData!F201)</f>
        <v>0.05</v>
      </c>
      <c r="D107">
        <f>IF(RawData!F202="","",RawData!F202)</f>
        <v>1023.15</v>
      </c>
      <c r="E107">
        <f>IF(OR(C107="",D107=""),"",C107+D107)</f>
        <v>1023.1999999999999</v>
      </c>
    </row>
    <row r="108" spans="1:5" x14ac:dyDescent="0.25">
      <c r="A108" t="str">
        <f>IF(B108=$B$4,"ATM","")</f>
        <v/>
      </c>
      <c r="B108">
        <v>25100</v>
      </c>
      <c r="C108">
        <f>IF(RawData!F203="","",RawData!F203)</f>
        <v>0.05</v>
      </c>
      <c r="D108">
        <f>IF(RawData!F204="","",RawData!F204)</f>
        <v>1071.4000000000001</v>
      </c>
      <c r="E108">
        <f>IF(OR(C108="",D108=""),"",C108+D108)</f>
        <v>1071.45</v>
      </c>
    </row>
    <row r="109" spans="1:5" x14ac:dyDescent="0.25">
      <c r="A109" t="str">
        <f>IF(B109=$B$4,"ATM","")</f>
        <v/>
      </c>
      <c r="B109">
        <v>25150</v>
      </c>
      <c r="C109">
        <f>IF(RawData!F205="","",RawData!F205)</f>
        <v>0.05</v>
      </c>
      <c r="D109">
        <f>IF(RawData!F206="","",RawData!F206)</f>
        <v>1120</v>
      </c>
      <c r="E109">
        <f>IF(OR(C109="",D109=""),"",C109+D109)</f>
        <v>1120.05</v>
      </c>
    </row>
    <row r="110" spans="1:5" x14ac:dyDescent="0.25">
      <c r="A110" t="str">
        <f>IF(B110=$B$4,"ATM","")</f>
        <v/>
      </c>
      <c r="B110">
        <v>25200</v>
      </c>
      <c r="C110">
        <f>IF(RawData!F207="","",RawData!F207)</f>
        <v>0.05</v>
      </c>
      <c r="D110">
        <f>IF(RawData!F208="","",RawData!F208)</f>
        <v>1169.95</v>
      </c>
      <c r="E110">
        <f>IF(OR(C110="",D110=""),"",C110+D110)</f>
        <v>1170</v>
      </c>
    </row>
    <row r="111" spans="1:5" x14ac:dyDescent="0.25">
      <c r="A111" t="str">
        <f>IF(B111=$B$4,"ATM","")</f>
        <v/>
      </c>
      <c r="B111">
        <v>25250</v>
      </c>
      <c r="C111">
        <f>IF(RawData!F209="","",RawData!F209)</f>
        <v>0.05</v>
      </c>
      <c r="D111">
        <f>IF(RawData!F210="","",RawData!F210)</f>
        <v>1221.3</v>
      </c>
      <c r="E111">
        <f>IF(OR(C111="",D111=""),"",C111+D111)</f>
        <v>1221.3499999999999</v>
      </c>
    </row>
    <row r="112" spans="1:5" x14ac:dyDescent="0.25">
      <c r="A112" t="str">
        <f>IF(B112=$B$4,"ATM","")</f>
        <v/>
      </c>
      <c r="B112">
        <v>25300</v>
      </c>
      <c r="C112">
        <f>IF(RawData!F211="","",RawData!F211)</f>
        <v>0.05</v>
      </c>
      <c r="D112">
        <f>IF(RawData!F212="","",RawData!F212)</f>
        <v>1269</v>
      </c>
      <c r="E112">
        <f>IF(OR(C112="",D112=""),"",C112+D112)</f>
        <v>1269.05</v>
      </c>
    </row>
    <row r="113" spans="1:5" x14ac:dyDescent="0.25">
      <c r="A113" t="str">
        <f>IF(B113=$B$4,"ATM","")</f>
        <v/>
      </c>
      <c r="B113">
        <v>25350</v>
      </c>
      <c r="C113">
        <f>IF(RawData!F213="","",RawData!F213)</f>
        <v>0.05</v>
      </c>
      <c r="D113">
        <f>IF(RawData!F214="","",RawData!F214)</f>
        <v>1191.3499999999999</v>
      </c>
      <c r="E113">
        <f>IF(OR(C113="",D113=""),"",C113+D113)</f>
        <v>1191.3999999999999</v>
      </c>
    </row>
    <row r="114" spans="1:5" x14ac:dyDescent="0.25">
      <c r="A114" t="str">
        <f>IF(B114=$B$4,"ATM","")</f>
        <v/>
      </c>
      <c r="B114">
        <v>25400</v>
      </c>
      <c r="C114">
        <f>IF(RawData!F215="","",RawData!F215)</f>
        <v>0.05</v>
      </c>
      <c r="D114">
        <f>IF(RawData!F216="","",RawData!F216)</f>
        <v>1373.45</v>
      </c>
      <c r="E114">
        <f>IF(OR(C114="",D114=""),"",C114+D114)</f>
        <v>1373.5</v>
      </c>
    </row>
    <row r="115" spans="1:5" x14ac:dyDescent="0.25">
      <c r="A115" t="str">
        <f>IF(B115=$B$4,"ATM","")</f>
        <v/>
      </c>
      <c r="B115">
        <v>25450</v>
      </c>
      <c r="C115">
        <f>IF(RawData!F217="","",RawData!F217)</f>
        <v>0.05</v>
      </c>
      <c r="D115">
        <f>IF(RawData!F218="","",RawData!F218)</f>
        <v>1415.6</v>
      </c>
      <c r="E115">
        <f>IF(OR(C115="",D115=""),"",C115+D115)</f>
        <v>1415.6499999999999</v>
      </c>
    </row>
    <row r="116" spans="1:5" x14ac:dyDescent="0.25">
      <c r="A116" t="str">
        <f>IF(B116=$B$4,"ATM","")</f>
        <v/>
      </c>
      <c r="B116">
        <v>25500</v>
      </c>
      <c r="C116">
        <f>IF(RawData!F219="","",RawData!F219)</f>
        <v>0.05</v>
      </c>
      <c r="D116">
        <f>IF(RawData!F220="","",RawData!F220)</f>
        <v>1468.1</v>
      </c>
      <c r="E116">
        <f>IF(OR(C116="",D116=""),"",C116+D116)</f>
        <v>1468.1499999999999</v>
      </c>
    </row>
    <row r="117" spans="1:5" x14ac:dyDescent="0.25">
      <c r="A117" t="str">
        <f>IF(B117=$B$4,"ATM","")</f>
        <v/>
      </c>
      <c r="B117">
        <v>25550</v>
      </c>
      <c r="C117">
        <f>IF(RawData!F221="","",RawData!F221)</f>
        <v>0.05</v>
      </c>
      <c r="D117">
        <f>IF(RawData!F222="","",RawData!F222)</f>
        <v>1584.7</v>
      </c>
      <c r="E117">
        <f>IF(OR(C117="",D117=""),"",C117+D117)</f>
        <v>1584.75</v>
      </c>
    </row>
    <row r="118" spans="1:5" x14ac:dyDescent="0.25">
      <c r="A118" t="str">
        <f>IF(B118=$B$4,"ATM","")</f>
        <v/>
      </c>
      <c r="B118">
        <v>25600</v>
      </c>
      <c r="C118">
        <f>IF(RawData!F223="","",RawData!F223)</f>
        <v>0.05</v>
      </c>
      <c r="D118">
        <f>IF(RawData!F224="","",RawData!F224)</f>
        <v>1571.95</v>
      </c>
      <c r="E118">
        <f>IF(OR(C118="",D118=""),"",C118+D118)</f>
        <v>1572</v>
      </c>
    </row>
    <row r="119" spans="1:5" x14ac:dyDescent="0.25">
      <c r="A119" t="str">
        <f>IF(B119=$B$4,"ATM","")</f>
        <v/>
      </c>
      <c r="B119">
        <v>25650</v>
      </c>
      <c r="C119">
        <f>IF(RawData!F225="","",RawData!F225)</f>
        <v>0.05</v>
      </c>
      <c r="D119">
        <f>IF(RawData!F226="","",RawData!F226)</f>
        <v>1400</v>
      </c>
      <c r="E119">
        <f>IF(OR(C119="",D119=""),"",C119+D119)</f>
        <v>1400.05</v>
      </c>
    </row>
    <row r="120" spans="1:5" x14ac:dyDescent="0.25">
      <c r="A120" t="str">
        <f>IF(B120=$B$4,"ATM","")</f>
        <v/>
      </c>
      <c r="B120">
        <v>25700</v>
      </c>
      <c r="C120">
        <f>IF(RawData!F227="","",RawData!F227)</f>
        <v>0.05</v>
      </c>
      <c r="D120">
        <f>IF(RawData!F228="","",RawData!F228)</f>
        <v>1725</v>
      </c>
      <c r="E120">
        <f>IF(OR(C120="",D120=""),"",C120+D120)</f>
        <v>1725.05</v>
      </c>
    </row>
    <row r="121" spans="1:5" x14ac:dyDescent="0.25">
      <c r="A121" t="str">
        <f>IF(B121=$B$4,"ATM","")</f>
        <v/>
      </c>
      <c r="B121">
        <v>25750</v>
      </c>
      <c r="C121">
        <f>IF(RawData!F229="","",RawData!F229)</f>
        <v>0.05</v>
      </c>
      <c r="D121">
        <f>IF(RawData!F230="","",RawData!F230)</f>
        <v>1732.2</v>
      </c>
      <c r="E121">
        <f>IF(OR(C121="",D121=""),"",C121+D121)</f>
        <v>1732.25</v>
      </c>
    </row>
    <row r="122" spans="1:5" x14ac:dyDescent="0.25">
      <c r="A122" t="str">
        <f>IF(B122=$B$4,"ATM","")</f>
        <v/>
      </c>
      <c r="B122">
        <v>25800</v>
      </c>
      <c r="C122">
        <f>IF(RawData!F231="","",RawData!F231)</f>
        <v>0.05</v>
      </c>
      <c r="D122">
        <f>IF(RawData!F232="","",RawData!F232)</f>
        <v>1783.8</v>
      </c>
      <c r="E122">
        <f>IF(OR(C122="",D122=""),"",C122+D122)</f>
        <v>1783.85</v>
      </c>
    </row>
    <row r="123" spans="1:5" x14ac:dyDescent="0.25">
      <c r="A123" t="str">
        <f>IF(B123=$B$4,"ATM","")</f>
        <v/>
      </c>
      <c r="B123">
        <v>25850</v>
      </c>
      <c r="C123">
        <f>IF(RawData!F233="","",RawData!F233)</f>
        <v>0.05</v>
      </c>
      <c r="D123">
        <f>IF(RawData!F234="","",RawData!F234)</f>
        <v>1857.85</v>
      </c>
      <c r="E123">
        <f>IF(OR(C123="",D123=""),"",C123+D123)</f>
        <v>1857.8999999999999</v>
      </c>
    </row>
    <row r="124" spans="1:5" x14ac:dyDescent="0.25">
      <c r="A124" t="str">
        <f>IF(B124=$B$4,"ATM","")</f>
        <v/>
      </c>
      <c r="B124">
        <v>25900</v>
      </c>
      <c r="C124">
        <f>IF(RawData!F235="","",RawData!F235)</f>
        <v>0.05</v>
      </c>
      <c r="D124">
        <f>IF(RawData!F236="","",RawData!F236)</f>
        <v>1930</v>
      </c>
      <c r="E124">
        <f>IF(OR(C124="",D124=""),"",C124+D124)</f>
        <v>1930.05</v>
      </c>
    </row>
    <row r="125" spans="1:5" x14ac:dyDescent="0.25">
      <c r="A125" t="str">
        <f>IF(B125=$B$4,"ATM","")</f>
        <v/>
      </c>
      <c r="B125">
        <v>25950</v>
      </c>
      <c r="C125">
        <f>IF(RawData!F237="","",RawData!F237)</f>
        <v>0.05</v>
      </c>
      <c r="D125">
        <f>IF(RawData!F238="","",RawData!F238)</f>
        <v>2832.5</v>
      </c>
      <c r="E125">
        <f>IF(OR(C125="",D125=""),"",C125+D125)</f>
        <v>2832.55</v>
      </c>
    </row>
    <row r="126" spans="1:5" x14ac:dyDescent="0.25">
      <c r="A126" t="str">
        <f>IF(B126=$B$4,"ATM","")</f>
        <v/>
      </c>
      <c r="B126">
        <v>26000</v>
      </c>
      <c r="C126">
        <f>IF(RawData!F239="","",RawData!F239)</f>
        <v>0.05</v>
      </c>
      <c r="D126">
        <f>IF(RawData!F240="","",RawData!F240)</f>
        <v>1971</v>
      </c>
      <c r="E126">
        <f>IF(OR(C126="",D126=""),"",C126+D126)</f>
        <v>1971.05</v>
      </c>
    </row>
    <row r="127" spans="1:5" x14ac:dyDescent="0.25">
      <c r="A127" t="str">
        <f>IF(B127=$B$4,"ATM","")</f>
        <v/>
      </c>
      <c r="B127">
        <v>26050</v>
      </c>
      <c r="C127">
        <f>IF(RawData!F241="","",RawData!F241)</f>
        <v>0.05</v>
      </c>
      <c r="D127">
        <f>IF(RawData!F242="","",RawData!F242)</f>
        <v>2930.2</v>
      </c>
      <c r="E127">
        <f>IF(OR(C127="",D127=""),"",C127+D127)</f>
        <v>2930.25</v>
      </c>
    </row>
    <row r="128" spans="1:5" x14ac:dyDescent="0.25">
      <c r="A128" t="str">
        <f>IF(B128=$B$4,"ATM","")</f>
        <v/>
      </c>
      <c r="B128">
        <v>26100</v>
      </c>
      <c r="C128">
        <f>IF(RawData!F243="","",RawData!F243)</f>
        <v>0.05</v>
      </c>
      <c r="D128">
        <f>IF(RawData!F244="","",RawData!F244)</f>
        <v>2070</v>
      </c>
      <c r="E128">
        <f>IF(OR(C128="",D128=""),"",C128+D128)</f>
        <v>2070.0500000000002</v>
      </c>
    </row>
    <row r="129" spans="1:5" x14ac:dyDescent="0.25">
      <c r="A129" t="str">
        <f>IF(B129=$B$4,"ATM","")</f>
        <v/>
      </c>
      <c r="B129">
        <v>26150</v>
      </c>
      <c r="C129">
        <f>IF(RawData!F245="","",RawData!F245)</f>
        <v>0.05</v>
      </c>
      <c r="D129">
        <f>IF(RawData!F246="","",RawData!F246)</f>
        <v>3028.15</v>
      </c>
      <c r="E129">
        <f>IF(OR(C129="",D129=""),"",C129+D129)</f>
        <v>3028.2000000000003</v>
      </c>
    </row>
    <row r="130" spans="1:5" x14ac:dyDescent="0.25">
      <c r="A130" t="str">
        <f>IF(B130=$B$4,"ATM","")</f>
        <v/>
      </c>
      <c r="B130">
        <v>26200</v>
      </c>
      <c r="C130">
        <f>IF(RawData!F247="","",RawData!F247)</f>
        <v>0.05</v>
      </c>
      <c r="D130">
        <f>IF(RawData!F248="","",RawData!F248)</f>
        <v>2250</v>
      </c>
      <c r="E130">
        <f>IF(OR(C130="",D130=""),"",C130+D130)</f>
        <v>2250.0500000000002</v>
      </c>
    </row>
    <row r="131" spans="1:5" x14ac:dyDescent="0.25">
      <c r="A131" t="str">
        <f>IF(B131=$B$4,"ATM","")</f>
        <v/>
      </c>
      <c r="B131">
        <v>26250</v>
      </c>
      <c r="C131">
        <f>IF(RawData!F249="","",RawData!F249)</f>
        <v>0.05</v>
      </c>
      <c r="D131">
        <f>IF(RawData!F250="","",RawData!F250)</f>
        <v>3126.3</v>
      </c>
      <c r="E131">
        <f>IF(OR(C131="",D131=""),"",C131+D131)</f>
        <v>3126.3500000000004</v>
      </c>
    </row>
    <row r="132" spans="1:5" x14ac:dyDescent="0.25">
      <c r="A132" t="str">
        <f>IF(B132=$B$4,"ATM","")</f>
        <v/>
      </c>
      <c r="B132">
        <v>26300</v>
      </c>
      <c r="C132">
        <f>IF(RawData!F251="","",RawData!F251)</f>
        <v>0.05</v>
      </c>
      <c r="D132">
        <f>IF(RawData!F252="","",RawData!F252)</f>
        <v>2130.0500000000002</v>
      </c>
      <c r="E132">
        <f>IF(OR(C132="",D132=""),"",C132+D132)</f>
        <v>2130.1000000000004</v>
      </c>
    </row>
    <row r="133" spans="1:5" x14ac:dyDescent="0.25">
      <c r="A133" t="str">
        <f>IF(B133=$B$4,"ATM","")</f>
        <v/>
      </c>
      <c r="B133">
        <v>26350</v>
      </c>
      <c r="C133">
        <f>IF(RawData!F253="","",RawData!F253)</f>
        <v>0.05</v>
      </c>
      <c r="D133">
        <f>IF(RawData!F254="","",RawData!F254)</f>
        <v>2338.35</v>
      </c>
      <c r="E133">
        <f>IF(OR(C133="",D133=""),"",C133+D133)</f>
        <v>2338.4</v>
      </c>
    </row>
    <row r="134" spans="1:5" x14ac:dyDescent="0.25">
      <c r="A134" t="str">
        <f>IF(B134=$B$4,"ATM","")</f>
        <v/>
      </c>
      <c r="B134">
        <v>26400</v>
      </c>
      <c r="C134">
        <f>IF(RawData!F255="","",RawData!F255)</f>
        <v>0.05</v>
      </c>
      <c r="D134">
        <f>IF(RawData!F256="","",RawData!F256)</f>
        <v>2389.75</v>
      </c>
      <c r="E134">
        <f>IF(OR(C134="",D134=""),"",C134+D134)</f>
        <v>2389.8000000000002</v>
      </c>
    </row>
    <row r="135" spans="1:5" x14ac:dyDescent="0.25">
      <c r="A135" t="str">
        <f>IF(B135=$B$4,"ATM","")</f>
        <v/>
      </c>
      <c r="B135">
        <v>26450</v>
      </c>
      <c r="C135">
        <f>IF(RawData!F257="","",RawData!F257)</f>
        <v>0.05</v>
      </c>
      <c r="D135">
        <f>IF(RawData!F258="","",RawData!F258)</f>
        <v>3323.05</v>
      </c>
      <c r="E135">
        <f>IF(OR(C135="",D135=""),"",C135+D135)</f>
        <v>3323.1000000000004</v>
      </c>
    </row>
    <row r="136" spans="1:5" x14ac:dyDescent="0.25">
      <c r="A136" t="str">
        <f>IF(B136=$B$4,"ATM","")</f>
        <v/>
      </c>
      <c r="B136">
        <v>26500</v>
      </c>
      <c r="C136">
        <f>IF(RawData!F259="","",RawData!F259)</f>
        <v>0.05</v>
      </c>
      <c r="D136">
        <f>IF(RawData!F260="","",RawData!F260)</f>
        <v>2470.8000000000002</v>
      </c>
      <c r="E136">
        <f>IF(OR(C136="",D136=""),"",C136+D136)</f>
        <v>2470.8500000000004</v>
      </c>
    </row>
    <row r="137" spans="1:5" x14ac:dyDescent="0.25">
      <c r="A137" t="str">
        <f>IF(B137=$B$4,"ATM","")</f>
        <v/>
      </c>
      <c r="B137">
        <v>26550</v>
      </c>
      <c r="C137">
        <f>IF(RawData!F261="","",RawData!F261)</f>
        <v>0.05</v>
      </c>
      <c r="D137">
        <f>IF(RawData!F262="","",RawData!F262)</f>
        <v>3421.65</v>
      </c>
      <c r="E137">
        <f>IF(OR(C137="",D137=""),"",C137+D137)</f>
        <v>3421.7000000000003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7"/>
  <sheetViews>
    <sheetView showGridLines="0"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7" t="s">
        <v>21</v>
      </c>
      <c r="B1" s="8"/>
      <c r="C1" s="8"/>
      <c r="D1" s="8"/>
      <c r="E1" s="8"/>
    </row>
    <row r="3" spans="1:5" x14ac:dyDescent="0.25">
      <c r="A3" s="2" t="s">
        <v>2</v>
      </c>
      <c r="B3" s="5">
        <v>46168</v>
      </c>
      <c r="D3" s="2" t="s">
        <v>3</v>
      </c>
      <c r="E3" s="2">
        <v>54547.05</v>
      </c>
    </row>
    <row r="4" spans="1:5" x14ac:dyDescent="0.25">
      <c r="A4" s="2" t="s">
        <v>4</v>
      </c>
      <c r="B4" s="2">
        <v>54500</v>
      </c>
      <c r="D4" s="2" t="s">
        <v>5</v>
      </c>
      <c r="E4" s="2">
        <v>2112</v>
      </c>
    </row>
    <row r="5" spans="1:5" x14ac:dyDescent="0.25">
      <c r="A5" s="2" t="s">
        <v>10</v>
      </c>
      <c r="B5" s="6">
        <v>46147.672465277778</v>
      </c>
      <c r="D5" s="2" t="s">
        <v>6</v>
      </c>
      <c r="E5" s="2" t="s">
        <v>1154</v>
      </c>
    </row>
    <row r="7" spans="1:5" x14ac:dyDescent="0.25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</row>
    <row r="8" spans="1:5" x14ac:dyDescent="0.25">
      <c r="A8" t="str">
        <f>IF(B8=$B$4,"ATM","")</f>
        <v/>
      </c>
      <c r="B8">
        <v>43000</v>
      </c>
      <c r="C8">
        <f>IF(RawData!F264="","",RawData!F264)</f>
        <v>8000</v>
      </c>
      <c r="D8">
        <f>IF(RawData!F265="","",RawData!F265)</f>
        <v>6.4</v>
      </c>
      <c r="E8">
        <f>IF(OR(C8="",D8=""),"",C8+D8)</f>
        <v>8006.4</v>
      </c>
    </row>
    <row r="9" spans="1:5" x14ac:dyDescent="0.25">
      <c r="A9" t="str">
        <f>IF(B9=$B$4,"ATM","")</f>
        <v/>
      </c>
      <c r="B9">
        <v>43500</v>
      </c>
      <c r="C9">
        <f>IF(RawData!F266="","",RawData!F266)</f>
        <v>18263.650000000001</v>
      </c>
      <c r="D9">
        <f>IF(RawData!F267="","",RawData!F267)</f>
        <v>6.45</v>
      </c>
      <c r="E9">
        <f>IF(OR(C9="",D9=""),"",C9+D9)</f>
        <v>18270.100000000002</v>
      </c>
    </row>
    <row r="10" spans="1:5" x14ac:dyDescent="0.25">
      <c r="A10" t="str">
        <f>IF(B10=$B$4,"ATM","")</f>
        <v/>
      </c>
      <c r="B10">
        <v>44000</v>
      </c>
      <c r="C10">
        <f>IF(RawData!F268="","",RawData!F268)</f>
        <v>12162</v>
      </c>
      <c r="D10">
        <f>IF(RawData!F269="","",RawData!F269)</f>
        <v>7.1</v>
      </c>
      <c r="E10">
        <f>IF(OR(C10="",D10=""),"",C10+D10)</f>
        <v>12169.1</v>
      </c>
    </row>
    <row r="11" spans="1:5" x14ac:dyDescent="0.25">
      <c r="A11" t="str">
        <f>IF(B11=$B$4,"ATM","")</f>
        <v/>
      </c>
      <c r="B11">
        <v>44500</v>
      </c>
      <c r="C11">
        <f>IF(RawData!F270="","",RawData!F270)</f>
        <v>17280.099999999999</v>
      </c>
      <c r="D11">
        <f>IF(RawData!F271="","",RawData!F271)</f>
        <v>7.75</v>
      </c>
      <c r="E11">
        <f>IF(OR(C11="",D11=""),"",C11+D11)</f>
        <v>17287.849999999999</v>
      </c>
    </row>
    <row r="12" spans="1:5" x14ac:dyDescent="0.25">
      <c r="A12" t="str">
        <f>IF(B12=$B$4,"ATM","")</f>
        <v/>
      </c>
      <c r="B12">
        <v>45000</v>
      </c>
      <c r="C12">
        <f>IF(RawData!F272="","",RawData!F272)</f>
        <v>16788.349999999999</v>
      </c>
      <c r="D12">
        <f>IF(RawData!F273="","",RawData!F273)</f>
        <v>8.1</v>
      </c>
      <c r="E12">
        <f>IF(OR(C12="",D12=""),"",C12+D12)</f>
        <v>16796.449999999997</v>
      </c>
    </row>
    <row r="13" spans="1:5" x14ac:dyDescent="0.25">
      <c r="A13" t="str">
        <f>IF(B13=$B$4,"ATM","")</f>
        <v/>
      </c>
      <c r="B13">
        <v>45300</v>
      </c>
      <c r="C13">
        <f>IF(RawData!F274="","",RawData!F274)</f>
        <v>15239</v>
      </c>
      <c r="D13">
        <f>IF(RawData!F275="","",RawData!F275)</f>
        <v>8.75</v>
      </c>
      <c r="E13">
        <f>IF(OR(C13="",D13=""),"",C13+D13)</f>
        <v>15247.75</v>
      </c>
    </row>
    <row r="14" spans="1:5" x14ac:dyDescent="0.25">
      <c r="A14" t="str">
        <f>IF(B14=$B$4,"ATM","")</f>
        <v/>
      </c>
      <c r="B14">
        <v>45400</v>
      </c>
      <c r="C14">
        <f>IF(RawData!F276="","",RawData!F276)</f>
        <v>15140.55</v>
      </c>
      <c r="D14">
        <f>IF(RawData!F277="","",RawData!F277)</f>
        <v>12.4</v>
      </c>
      <c r="E14">
        <f>IF(OR(C14="",D14=""),"",C14+D14)</f>
        <v>15152.949999999999</v>
      </c>
    </row>
    <row r="15" spans="1:5" x14ac:dyDescent="0.25">
      <c r="A15" t="str">
        <f>IF(B15=$B$4,"ATM","")</f>
        <v/>
      </c>
      <c r="B15">
        <v>45500</v>
      </c>
      <c r="C15">
        <f>IF(RawData!F278="","",RawData!F278)</f>
        <v>16296.6</v>
      </c>
      <c r="D15">
        <f>IF(RawData!F279="","",RawData!F279)</f>
        <v>10.5</v>
      </c>
      <c r="E15">
        <f>IF(OR(C15="",D15=""),"",C15+D15)</f>
        <v>16307.1</v>
      </c>
    </row>
    <row r="16" spans="1:5" x14ac:dyDescent="0.25">
      <c r="A16" t="str">
        <f>IF(B16=$B$4,"ATM","")</f>
        <v/>
      </c>
      <c r="B16">
        <v>45600</v>
      </c>
      <c r="C16">
        <f>IF(RawData!F280="","",RawData!F280)</f>
        <v>15647.5</v>
      </c>
      <c r="D16">
        <f>IF(RawData!F281="","",RawData!F281)</f>
        <v>13.2</v>
      </c>
      <c r="E16">
        <f>IF(OR(C16="",D16=""),"",C16+D16)</f>
        <v>15660.7</v>
      </c>
    </row>
    <row r="17" spans="1:5" x14ac:dyDescent="0.25">
      <c r="A17" t="str">
        <f>IF(B17=$B$4,"ATM","")</f>
        <v/>
      </c>
      <c r="B17">
        <v>45700</v>
      </c>
      <c r="C17">
        <f>IF(RawData!F282="","",RawData!F282)</f>
        <v>15549.05</v>
      </c>
      <c r="D17">
        <f>IF(RawData!F283="","",RawData!F283)</f>
        <v>14.85</v>
      </c>
      <c r="E17">
        <f>IF(OR(C17="",D17=""),"",C17+D17)</f>
        <v>15563.9</v>
      </c>
    </row>
    <row r="18" spans="1:5" x14ac:dyDescent="0.25">
      <c r="A18" t="str">
        <f>IF(B18=$B$4,"ATM","")</f>
        <v/>
      </c>
      <c r="B18">
        <v>45800</v>
      </c>
      <c r="C18">
        <f>IF(RawData!F284="","",RawData!F284)</f>
        <v>15450.65</v>
      </c>
      <c r="D18">
        <f>IF(RawData!F285="","",RawData!F285)</f>
        <v>12</v>
      </c>
      <c r="E18">
        <f>IF(OR(C18="",D18=""),"",C18+D18)</f>
        <v>15462.65</v>
      </c>
    </row>
    <row r="19" spans="1:5" x14ac:dyDescent="0.25">
      <c r="A19" t="str">
        <f>IF(B19=$B$4,"ATM","")</f>
        <v/>
      </c>
      <c r="B19">
        <v>45900</v>
      </c>
      <c r="C19">
        <f>IF(RawData!F286="","",RawData!F286)</f>
        <v>15352.25</v>
      </c>
      <c r="D19">
        <f>IF(RawData!F287="","",RawData!F287)</f>
        <v>12.5</v>
      </c>
      <c r="E19">
        <f>IF(OR(C19="",D19=""),"",C19+D19)</f>
        <v>15364.75</v>
      </c>
    </row>
    <row r="20" spans="1:5" x14ac:dyDescent="0.25">
      <c r="A20" t="str">
        <f>IF(B20=$B$4,"ATM","")</f>
        <v/>
      </c>
      <c r="B20">
        <v>46000</v>
      </c>
      <c r="C20">
        <f>IF(RawData!F288="","",RawData!F288)</f>
        <v>8721.7999999999993</v>
      </c>
      <c r="D20">
        <f>IF(RawData!F289="","",RawData!F289)</f>
        <v>11.55</v>
      </c>
      <c r="E20">
        <f>IF(OR(C20="",D20=""),"",C20+D20)</f>
        <v>8733.3499999999985</v>
      </c>
    </row>
    <row r="21" spans="1:5" x14ac:dyDescent="0.25">
      <c r="A21" t="str">
        <f>IF(B21=$B$4,"ATM","")</f>
        <v/>
      </c>
      <c r="B21">
        <v>46100</v>
      </c>
      <c r="C21">
        <f>IF(RawData!F290="","",RawData!F290)</f>
        <v>15706.55</v>
      </c>
      <c r="D21">
        <f>IF(RawData!F291="","",RawData!F291)</f>
        <v>16.8</v>
      </c>
      <c r="E21">
        <f>IF(OR(C21="",D21=""),"",C21+D21)</f>
        <v>15723.349999999999</v>
      </c>
    </row>
    <row r="22" spans="1:5" x14ac:dyDescent="0.25">
      <c r="A22" t="str">
        <f>IF(B22=$B$4,"ATM","")</f>
        <v/>
      </c>
      <c r="B22">
        <v>46200</v>
      </c>
      <c r="C22">
        <f>IF(RawData!F292="","",RawData!F292)</f>
        <v>15608.2</v>
      </c>
      <c r="D22">
        <f>IF(RawData!F293="","",RawData!F293)</f>
        <v>13</v>
      </c>
      <c r="E22">
        <f>IF(OR(C22="",D22=""),"",C22+D22)</f>
        <v>15621.2</v>
      </c>
    </row>
    <row r="23" spans="1:5" x14ac:dyDescent="0.25">
      <c r="A23" t="str">
        <f>IF(B23=$B$4,"ATM","")</f>
        <v/>
      </c>
      <c r="B23">
        <v>46300</v>
      </c>
      <c r="C23">
        <f>IF(RawData!F294="","",RawData!F294)</f>
        <v>15509.85</v>
      </c>
      <c r="D23">
        <f>IF(RawData!F295="","",RawData!F295)</f>
        <v>13.45</v>
      </c>
      <c r="E23">
        <f>IF(OR(C23="",D23=""),"",C23+D23)</f>
        <v>15523.300000000001</v>
      </c>
    </row>
    <row r="24" spans="1:5" x14ac:dyDescent="0.25">
      <c r="A24" t="str">
        <f>IF(B24=$B$4,"ATM","")</f>
        <v/>
      </c>
      <c r="B24">
        <v>46400</v>
      </c>
      <c r="C24">
        <f>IF(RawData!F296="","",RawData!F296)</f>
        <v>15411.5</v>
      </c>
      <c r="D24">
        <f>IF(RawData!F297="","",RawData!F297)</f>
        <v>15.45</v>
      </c>
      <c r="E24">
        <f>IF(OR(C24="",D24=""),"",C24+D24)</f>
        <v>15426.95</v>
      </c>
    </row>
    <row r="25" spans="1:5" x14ac:dyDescent="0.25">
      <c r="A25" t="str">
        <f>IF(B25=$B$4,"ATM","")</f>
        <v/>
      </c>
      <c r="B25">
        <v>46500</v>
      </c>
      <c r="C25">
        <f>IF(RawData!F298="","",RawData!F298)</f>
        <v>10600</v>
      </c>
      <c r="D25">
        <f>IF(RawData!F299="","",RawData!F299)</f>
        <v>14.5</v>
      </c>
      <c r="E25">
        <f>IF(OR(C25="",D25=""),"",C25+D25)</f>
        <v>10614.5</v>
      </c>
    </row>
    <row r="26" spans="1:5" x14ac:dyDescent="0.25">
      <c r="A26" t="str">
        <f>IF(B26=$B$4,"ATM","")</f>
        <v/>
      </c>
      <c r="B26">
        <v>46600</v>
      </c>
      <c r="C26">
        <f>IF(RawData!F300="","",RawData!F300)</f>
        <v>15214.8</v>
      </c>
      <c r="D26">
        <f>IF(RawData!F301="","",RawData!F301)</f>
        <v>15.05</v>
      </c>
      <c r="E26">
        <f>IF(OR(C26="",D26=""),"",C26+D26)</f>
        <v>15229.849999999999</v>
      </c>
    </row>
    <row r="27" spans="1:5" x14ac:dyDescent="0.25">
      <c r="A27" t="str">
        <f>IF(B27=$B$4,"ATM","")</f>
        <v/>
      </c>
      <c r="B27">
        <v>46700</v>
      </c>
      <c r="C27">
        <f>IF(RawData!F302="","",RawData!F302)</f>
        <v>15116.5</v>
      </c>
      <c r="D27">
        <f>IF(RawData!F303="","",RawData!F303)</f>
        <v>19.45</v>
      </c>
      <c r="E27">
        <f>IF(OR(C27="",D27=""),"",C27+D27)</f>
        <v>15135.95</v>
      </c>
    </row>
    <row r="28" spans="1:5" x14ac:dyDescent="0.25">
      <c r="A28" t="str">
        <f>IF(B28=$B$4,"ATM","")</f>
        <v/>
      </c>
      <c r="B28">
        <v>46800</v>
      </c>
      <c r="C28">
        <f>IF(RawData!F304="","",RawData!F304)</f>
        <v>15018.15</v>
      </c>
      <c r="D28">
        <f>IF(RawData!F305="","",RawData!F305)</f>
        <v>20.65</v>
      </c>
      <c r="E28">
        <f>IF(OR(C28="",D28=""),"",C28+D28)</f>
        <v>15038.8</v>
      </c>
    </row>
    <row r="29" spans="1:5" x14ac:dyDescent="0.25">
      <c r="A29" t="str">
        <f>IF(B29=$B$4,"ATM","")</f>
        <v/>
      </c>
      <c r="B29">
        <v>46900</v>
      </c>
      <c r="C29">
        <f>IF(RawData!F306="","",RawData!F306)</f>
        <v>14919.8</v>
      </c>
      <c r="D29">
        <f>IF(RawData!F307="","",RawData!F307)</f>
        <v>15.25</v>
      </c>
      <c r="E29">
        <f>IF(OR(C29="",D29=""),"",C29+D29)</f>
        <v>14935.05</v>
      </c>
    </row>
    <row r="30" spans="1:5" x14ac:dyDescent="0.25">
      <c r="A30" t="str">
        <f>IF(B30=$B$4,"ATM","")</f>
        <v/>
      </c>
      <c r="B30">
        <v>47000</v>
      </c>
      <c r="C30">
        <f>IF(RawData!F308="","",RawData!F308)</f>
        <v>7707.45</v>
      </c>
      <c r="D30">
        <f>IF(RawData!F309="","",RawData!F309)</f>
        <v>18.3</v>
      </c>
      <c r="E30">
        <f>IF(OR(C30="",D30=""),"",C30+D30)</f>
        <v>7725.75</v>
      </c>
    </row>
    <row r="31" spans="1:5" x14ac:dyDescent="0.25">
      <c r="A31" t="str">
        <f>IF(B31=$B$4,"ATM","")</f>
        <v/>
      </c>
      <c r="B31">
        <v>47100</v>
      </c>
      <c r="C31">
        <f>IF(RawData!F310="","",RawData!F310)</f>
        <v>14723.15</v>
      </c>
      <c r="D31">
        <f>IF(RawData!F311="","",RawData!F311)</f>
        <v>20.399999999999999</v>
      </c>
      <c r="E31">
        <f>IF(OR(C31="",D31=""),"",C31+D31)</f>
        <v>14743.55</v>
      </c>
    </row>
    <row r="32" spans="1:5" x14ac:dyDescent="0.25">
      <c r="A32" t="str">
        <f>IF(B32=$B$4,"ATM","")</f>
        <v/>
      </c>
      <c r="B32">
        <v>47200</v>
      </c>
      <c r="C32">
        <f>IF(RawData!F312="","",RawData!F312)</f>
        <v>14624.85</v>
      </c>
      <c r="D32">
        <f>IF(RawData!F313="","",RawData!F313)</f>
        <v>0.25</v>
      </c>
      <c r="E32">
        <f>IF(OR(C32="",D32=""),"",C32+D32)</f>
        <v>14625.1</v>
      </c>
    </row>
    <row r="33" spans="1:5" x14ac:dyDescent="0.25">
      <c r="A33" t="str">
        <f>IF(B33=$B$4,"ATM","")</f>
        <v/>
      </c>
      <c r="B33">
        <v>47300</v>
      </c>
      <c r="C33">
        <f>IF(RawData!F314="","",RawData!F314)</f>
        <v>14526.5</v>
      </c>
      <c r="D33">
        <f>IF(RawData!F315="","",RawData!F315)</f>
        <v>0.3</v>
      </c>
      <c r="E33">
        <f>IF(OR(C33="",D33=""),"",C33+D33)</f>
        <v>14526.8</v>
      </c>
    </row>
    <row r="34" spans="1:5" x14ac:dyDescent="0.25">
      <c r="A34" t="str">
        <f>IF(B34=$B$4,"ATM","")</f>
        <v/>
      </c>
      <c r="B34">
        <v>47400</v>
      </c>
      <c r="C34">
        <f>IF(RawData!F316="","",RawData!F316)</f>
        <v>14428.2</v>
      </c>
      <c r="D34">
        <f>IF(RawData!F317="","",RawData!F317)</f>
        <v>0.35</v>
      </c>
      <c r="E34">
        <f>IF(OR(C34="",D34=""),"",C34+D34)</f>
        <v>14428.550000000001</v>
      </c>
    </row>
    <row r="35" spans="1:5" x14ac:dyDescent="0.25">
      <c r="A35" t="str">
        <f>IF(B35=$B$4,"ATM","")</f>
        <v/>
      </c>
      <c r="B35">
        <v>47500</v>
      </c>
      <c r="C35">
        <f>IF(RawData!F318="","",RawData!F318)</f>
        <v>9500</v>
      </c>
      <c r="D35">
        <f>IF(RawData!F319="","",RawData!F319)</f>
        <v>21.55</v>
      </c>
      <c r="E35">
        <f>IF(OR(C35="",D35=""),"",C35+D35)</f>
        <v>9521.5499999999993</v>
      </c>
    </row>
    <row r="36" spans="1:5" x14ac:dyDescent="0.25">
      <c r="A36" t="str">
        <f>IF(B36=$B$4,"ATM","")</f>
        <v/>
      </c>
      <c r="B36">
        <v>47600</v>
      </c>
      <c r="C36">
        <f>IF(RawData!F320="","",RawData!F320)</f>
        <v>14231.55</v>
      </c>
      <c r="D36">
        <f>IF(RawData!F321="","",RawData!F321)</f>
        <v>0.4</v>
      </c>
      <c r="E36">
        <f>IF(OR(C36="",D36=""),"",C36+D36)</f>
        <v>14231.949999999999</v>
      </c>
    </row>
    <row r="37" spans="1:5" x14ac:dyDescent="0.25">
      <c r="A37" t="str">
        <f>IF(B37=$B$4,"ATM","")</f>
        <v/>
      </c>
      <c r="B37">
        <v>47700</v>
      </c>
      <c r="C37">
        <f>IF(RawData!F322="","",RawData!F322)</f>
        <v>14133.25</v>
      </c>
      <c r="D37">
        <f>IF(RawData!F323="","",RawData!F323)</f>
        <v>0.45</v>
      </c>
      <c r="E37">
        <f>IF(OR(C37="",D37=""),"",C37+D37)</f>
        <v>14133.7</v>
      </c>
    </row>
    <row r="38" spans="1:5" x14ac:dyDescent="0.25">
      <c r="A38" t="str">
        <f>IF(B38=$B$4,"ATM","")</f>
        <v/>
      </c>
      <c r="B38">
        <v>47800</v>
      </c>
      <c r="C38">
        <f>IF(RawData!F324="","",RawData!F324)</f>
        <v>14034.95</v>
      </c>
      <c r="D38">
        <f>IF(RawData!F325="","",RawData!F325)</f>
        <v>0.5</v>
      </c>
      <c r="E38">
        <f>IF(OR(C38="",D38=""),"",C38+D38)</f>
        <v>14035.45</v>
      </c>
    </row>
    <row r="39" spans="1:5" x14ac:dyDescent="0.25">
      <c r="A39" t="str">
        <f>IF(B39=$B$4,"ATM","")</f>
        <v/>
      </c>
      <c r="B39">
        <v>47900</v>
      </c>
      <c r="C39">
        <f>IF(RawData!F326="","",RawData!F326)</f>
        <v>13936.65</v>
      </c>
      <c r="D39">
        <f>IF(RawData!F327="","",RawData!F327)</f>
        <v>0.55000000000000004</v>
      </c>
      <c r="E39">
        <f>IF(OR(C39="",D39=""),"",C39+D39)</f>
        <v>13937.199999999999</v>
      </c>
    </row>
    <row r="40" spans="1:5" x14ac:dyDescent="0.25">
      <c r="A40" t="str">
        <f>IF(B40=$B$4,"ATM","")</f>
        <v/>
      </c>
      <c r="B40">
        <v>48000</v>
      </c>
      <c r="C40">
        <f>IF(RawData!F328="","",RawData!F328)</f>
        <v>6742.2</v>
      </c>
      <c r="D40">
        <f>IF(RawData!F329="","",RawData!F329)</f>
        <v>29</v>
      </c>
      <c r="E40">
        <f>IF(OR(C40="",D40=""),"",C40+D40)</f>
        <v>6771.2</v>
      </c>
    </row>
    <row r="41" spans="1:5" x14ac:dyDescent="0.25">
      <c r="A41" t="str">
        <f>IF(B41=$B$4,"ATM","")</f>
        <v/>
      </c>
      <c r="B41">
        <v>48100</v>
      </c>
      <c r="C41">
        <f>IF(RawData!F330="","",RawData!F330)</f>
        <v>13740.05</v>
      </c>
      <c r="D41">
        <f>IF(RawData!F331="","",RawData!F331)</f>
        <v>0.65</v>
      </c>
      <c r="E41">
        <f>IF(OR(C41="",D41=""),"",C41+D41)</f>
        <v>13740.699999999999</v>
      </c>
    </row>
    <row r="42" spans="1:5" x14ac:dyDescent="0.25">
      <c r="A42" t="str">
        <f>IF(B42=$B$4,"ATM","")</f>
        <v/>
      </c>
      <c r="B42">
        <v>48200</v>
      </c>
      <c r="C42">
        <f>IF(RawData!F332="","",RawData!F332)</f>
        <v>13641.75</v>
      </c>
      <c r="D42">
        <f>IF(RawData!F333="","",RawData!F333)</f>
        <v>0.75</v>
      </c>
      <c r="E42">
        <f>IF(OR(C42="",D42=""),"",C42+D42)</f>
        <v>13642.5</v>
      </c>
    </row>
    <row r="43" spans="1:5" x14ac:dyDescent="0.25">
      <c r="A43" t="str">
        <f>IF(B43=$B$4,"ATM","")</f>
        <v/>
      </c>
      <c r="B43">
        <v>48300</v>
      </c>
      <c r="C43">
        <f>IF(RawData!F334="","",RawData!F334)</f>
        <v>13543.45</v>
      </c>
      <c r="D43">
        <f>IF(RawData!F335="","",RawData!F335)</f>
        <v>0.8</v>
      </c>
      <c r="E43">
        <f>IF(OR(C43="",D43=""),"",C43+D43)</f>
        <v>13544.25</v>
      </c>
    </row>
    <row r="44" spans="1:5" x14ac:dyDescent="0.25">
      <c r="A44" t="str">
        <f>IF(B44=$B$4,"ATM","")</f>
        <v/>
      </c>
      <c r="B44">
        <v>48400</v>
      </c>
      <c r="C44">
        <f>IF(RawData!F336="","",RawData!F336)</f>
        <v>13445.2</v>
      </c>
      <c r="D44">
        <f>IF(RawData!F337="","",RawData!F337)</f>
        <v>0.9</v>
      </c>
      <c r="E44">
        <f>IF(OR(C44="",D44=""),"",C44+D44)</f>
        <v>13446.1</v>
      </c>
    </row>
    <row r="45" spans="1:5" x14ac:dyDescent="0.25">
      <c r="A45" t="str">
        <f>IF(B45=$B$4,"ATM","")</f>
        <v/>
      </c>
      <c r="B45">
        <v>48500</v>
      </c>
      <c r="C45">
        <f>IF(RawData!F338="","",RawData!F338)</f>
        <v>8150</v>
      </c>
      <c r="D45">
        <f>IF(RawData!F339="","",RawData!F339)</f>
        <v>37</v>
      </c>
      <c r="E45">
        <f>IF(OR(C45="",D45=""),"",C45+D45)</f>
        <v>8187</v>
      </c>
    </row>
    <row r="46" spans="1:5" x14ac:dyDescent="0.25">
      <c r="A46" t="str">
        <f>IF(B46=$B$4,"ATM","")</f>
        <v/>
      </c>
      <c r="B46">
        <v>48600</v>
      </c>
      <c r="C46">
        <f>IF(RawData!F340="","",RawData!F340)</f>
        <v>13248.7</v>
      </c>
      <c r="D46">
        <f>IF(RawData!F341="","",RawData!F341)</f>
        <v>1.05</v>
      </c>
      <c r="E46">
        <f>IF(OR(C46="",D46=""),"",C46+D46)</f>
        <v>13249.75</v>
      </c>
    </row>
    <row r="47" spans="1:5" x14ac:dyDescent="0.25">
      <c r="A47" t="str">
        <f>IF(B47=$B$4,"ATM","")</f>
        <v/>
      </c>
      <c r="B47">
        <v>48700</v>
      </c>
      <c r="C47">
        <f>IF(RawData!F342="","",RawData!F342)</f>
        <v>13150.45</v>
      </c>
      <c r="D47">
        <f>IF(RawData!F343="","",RawData!F343)</f>
        <v>39.9</v>
      </c>
      <c r="E47">
        <f>IF(OR(C47="",D47=""),"",C47+D47)</f>
        <v>13190.35</v>
      </c>
    </row>
    <row r="48" spans="1:5" x14ac:dyDescent="0.25">
      <c r="A48" t="str">
        <f>IF(B48=$B$4,"ATM","")</f>
        <v/>
      </c>
      <c r="B48">
        <v>48800</v>
      </c>
      <c r="C48">
        <f>IF(RawData!F344="","",RawData!F344)</f>
        <v>13052.2</v>
      </c>
      <c r="D48">
        <f>IF(RawData!F345="","",RawData!F345)</f>
        <v>1.3</v>
      </c>
      <c r="E48">
        <f>IF(OR(C48="",D48=""),"",C48+D48)</f>
        <v>13053.5</v>
      </c>
    </row>
    <row r="49" spans="1:5" x14ac:dyDescent="0.25">
      <c r="A49" t="str">
        <f>IF(B49=$B$4,"ATM","")</f>
        <v/>
      </c>
      <c r="B49">
        <v>48900</v>
      </c>
      <c r="C49">
        <f>IF(RawData!F346="","",RawData!F346)</f>
        <v>7361</v>
      </c>
      <c r="D49">
        <f>IF(RawData!F347="","",RawData!F347)</f>
        <v>1.4</v>
      </c>
      <c r="E49">
        <f>IF(OR(C49="",D49=""),"",C49+D49)</f>
        <v>7362.4</v>
      </c>
    </row>
    <row r="50" spans="1:5" x14ac:dyDescent="0.25">
      <c r="A50" t="str">
        <f>IF(B50=$B$4,"ATM","")</f>
        <v/>
      </c>
      <c r="B50">
        <v>49000</v>
      </c>
      <c r="C50">
        <f>IF(RawData!F348="","",RawData!F348)</f>
        <v>6009</v>
      </c>
      <c r="D50">
        <f>IF(RawData!F349="","",RawData!F349)</f>
        <v>47.5</v>
      </c>
      <c r="E50">
        <f>IF(OR(C50="",D50=""),"",C50+D50)</f>
        <v>6056.5</v>
      </c>
    </row>
    <row r="51" spans="1:5" x14ac:dyDescent="0.25">
      <c r="A51" t="str">
        <f>IF(B51=$B$4,"ATM","")</f>
        <v/>
      </c>
      <c r="B51">
        <v>49100</v>
      </c>
      <c r="C51">
        <f>IF(RawData!F350="","",RawData!F350)</f>
        <v>7244</v>
      </c>
      <c r="D51">
        <f>IF(RawData!F351="","",RawData!F351)</f>
        <v>51.9</v>
      </c>
      <c r="E51">
        <f>IF(OR(C51="",D51=""),"",C51+D51)</f>
        <v>7295.9</v>
      </c>
    </row>
    <row r="52" spans="1:5" x14ac:dyDescent="0.25">
      <c r="A52" t="str">
        <f>IF(B52=$B$4,"ATM","")</f>
        <v/>
      </c>
      <c r="B52">
        <v>49200</v>
      </c>
      <c r="C52">
        <f>IF(RawData!F352="","",RawData!F352)</f>
        <v>12659.35</v>
      </c>
      <c r="D52">
        <f>IF(RawData!F353="","",RawData!F353)</f>
        <v>52.05</v>
      </c>
      <c r="E52">
        <f>IF(OR(C52="",D52=""),"",C52+D52)</f>
        <v>12711.4</v>
      </c>
    </row>
    <row r="53" spans="1:5" x14ac:dyDescent="0.25">
      <c r="A53" t="str">
        <f>IF(B53=$B$4,"ATM","")</f>
        <v/>
      </c>
      <c r="B53">
        <v>49300</v>
      </c>
      <c r="C53">
        <f>IF(RawData!F354="","",RawData!F354)</f>
        <v>12561.2</v>
      </c>
      <c r="D53">
        <f>IF(RawData!F355="","",RawData!F355)</f>
        <v>2.0499999999999998</v>
      </c>
      <c r="E53">
        <f>IF(OR(C53="",D53=""),"",C53+D53)</f>
        <v>12563.25</v>
      </c>
    </row>
    <row r="54" spans="1:5" x14ac:dyDescent="0.25">
      <c r="A54" t="str">
        <f>IF(B54=$B$4,"ATM","")</f>
        <v/>
      </c>
      <c r="B54">
        <v>49400</v>
      </c>
      <c r="C54">
        <f>IF(RawData!F356="","",RawData!F356)</f>
        <v>3202.1</v>
      </c>
      <c r="D54">
        <f>IF(RawData!F357="","",RawData!F357)</f>
        <v>2.25</v>
      </c>
      <c r="E54">
        <f>IF(OR(C54="",D54=""),"",C54+D54)</f>
        <v>3204.35</v>
      </c>
    </row>
    <row r="55" spans="1:5" x14ac:dyDescent="0.25">
      <c r="A55" t="str">
        <f>IF(B55=$B$4,"ATM","")</f>
        <v/>
      </c>
      <c r="B55">
        <v>49500</v>
      </c>
      <c r="C55">
        <f>IF(RawData!F358="","",RawData!F358)</f>
        <v>5530</v>
      </c>
      <c r="D55">
        <f>IF(RawData!F359="","",RawData!F359)</f>
        <v>62.6</v>
      </c>
      <c r="E55">
        <f>IF(OR(C55="",D55=""),"",C55+D55)</f>
        <v>5592.6</v>
      </c>
    </row>
    <row r="56" spans="1:5" x14ac:dyDescent="0.25">
      <c r="A56" t="str">
        <f>IF(B56=$B$4,"ATM","")</f>
        <v/>
      </c>
      <c r="B56">
        <v>49600</v>
      </c>
      <c r="C56">
        <f>IF(RawData!F360="","",RawData!F360)</f>
        <v>5849</v>
      </c>
      <c r="D56">
        <f>IF(RawData!F361="","",RawData!F361)</f>
        <v>65.2</v>
      </c>
      <c r="E56">
        <f>IF(OR(C56="",D56=""),"",C56+D56)</f>
        <v>5914.2</v>
      </c>
    </row>
    <row r="57" spans="1:5" x14ac:dyDescent="0.25">
      <c r="A57" t="str">
        <f>IF(B57=$B$4,"ATM","")</f>
        <v/>
      </c>
      <c r="B57">
        <v>49700</v>
      </c>
      <c r="C57">
        <f>IF(RawData!F362="","",RawData!F362)</f>
        <v>12168.65</v>
      </c>
      <c r="D57">
        <f>IF(RawData!F363="","",RawData!F363)</f>
        <v>70.150000000000006</v>
      </c>
      <c r="E57">
        <f>IF(OR(C57="",D57=""),"",C57+D57)</f>
        <v>12238.8</v>
      </c>
    </row>
    <row r="58" spans="1:5" x14ac:dyDescent="0.25">
      <c r="A58" t="str">
        <f>IF(B58=$B$4,"ATM","")</f>
        <v/>
      </c>
      <c r="B58">
        <v>49800</v>
      </c>
      <c r="C58">
        <f>IF(RawData!F364="","",RawData!F364)</f>
        <v>5672.7</v>
      </c>
      <c r="D58">
        <f>IF(RawData!F365="","",RawData!F365)</f>
        <v>73.75</v>
      </c>
      <c r="E58">
        <f>IF(OR(C58="",D58=""),"",C58+D58)</f>
        <v>5746.45</v>
      </c>
    </row>
    <row r="59" spans="1:5" x14ac:dyDescent="0.25">
      <c r="A59" t="str">
        <f>IF(B59=$B$4,"ATM","")</f>
        <v/>
      </c>
      <c r="B59">
        <v>49900</v>
      </c>
      <c r="C59">
        <f>IF(RawData!F366="","",RawData!F366)</f>
        <v>11972.5</v>
      </c>
      <c r="D59">
        <f>IF(RawData!F367="","",RawData!F367)</f>
        <v>80.5</v>
      </c>
      <c r="E59">
        <f>IF(OR(C59="",D59=""),"",C59+D59)</f>
        <v>12053</v>
      </c>
    </row>
    <row r="60" spans="1:5" x14ac:dyDescent="0.25">
      <c r="A60" t="str">
        <f>IF(B60=$B$4,"ATM","")</f>
        <v/>
      </c>
      <c r="B60">
        <v>50000</v>
      </c>
      <c r="C60">
        <f>IF(RawData!F368="","",RawData!F368)</f>
        <v>4896.8999999999996</v>
      </c>
      <c r="D60">
        <f>IF(RawData!F369="","",RawData!F369)</f>
        <v>83.05</v>
      </c>
      <c r="E60">
        <f>IF(OR(C60="",D60=""),"",C60+D60)</f>
        <v>4979.95</v>
      </c>
    </row>
    <row r="61" spans="1:5" x14ac:dyDescent="0.25">
      <c r="A61" t="str">
        <f>IF(B61=$B$4,"ATM","")</f>
        <v/>
      </c>
      <c r="B61">
        <v>50100</v>
      </c>
      <c r="C61">
        <f>IF(RawData!F370="","",RawData!F370)</f>
        <v>11776.45</v>
      </c>
      <c r="D61">
        <f>IF(RawData!F371="","",RawData!F371)</f>
        <v>89.65</v>
      </c>
      <c r="E61">
        <f>IF(OR(C61="",D61=""),"",C61+D61)</f>
        <v>11866.1</v>
      </c>
    </row>
    <row r="62" spans="1:5" x14ac:dyDescent="0.25">
      <c r="A62" t="str">
        <f>IF(B62=$B$4,"ATM","")</f>
        <v/>
      </c>
      <c r="B62">
        <v>50200</v>
      </c>
      <c r="C62">
        <f>IF(RawData!F372="","",RawData!F372)</f>
        <v>4547.3</v>
      </c>
      <c r="D62">
        <f>IF(RawData!F373="","",RawData!F373)</f>
        <v>95.4</v>
      </c>
      <c r="E62">
        <f>IF(OR(C62="",D62=""),"",C62+D62)</f>
        <v>4642.7</v>
      </c>
    </row>
    <row r="63" spans="1:5" x14ac:dyDescent="0.25">
      <c r="A63" t="str">
        <f>IF(B63=$B$4,"ATM","")</f>
        <v/>
      </c>
      <c r="B63">
        <v>50300</v>
      </c>
      <c r="C63">
        <f>IF(RawData!F374="","",RawData!F374)</f>
        <v>4200</v>
      </c>
      <c r="D63">
        <f>IF(RawData!F375="","",RawData!F375)</f>
        <v>99</v>
      </c>
      <c r="E63">
        <f>IF(OR(C63="",D63=""),"",C63+D63)</f>
        <v>4299</v>
      </c>
    </row>
    <row r="64" spans="1:5" x14ac:dyDescent="0.25">
      <c r="A64" t="str">
        <f>IF(B64=$B$4,"ATM","")</f>
        <v/>
      </c>
      <c r="B64">
        <v>50400</v>
      </c>
      <c r="C64">
        <f>IF(RawData!F376="","",RawData!F376)</f>
        <v>3633.85</v>
      </c>
      <c r="D64">
        <f>IF(RawData!F377="","",RawData!F377)</f>
        <v>106.15</v>
      </c>
      <c r="E64">
        <f>IF(OR(C64="",D64=""),"",C64+D64)</f>
        <v>3740</v>
      </c>
    </row>
    <row r="65" spans="1:5" x14ac:dyDescent="0.25">
      <c r="A65" t="str">
        <f>IF(B65=$B$4,"ATM","")</f>
        <v/>
      </c>
      <c r="B65">
        <v>50500</v>
      </c>
      <c r="C65">
        <f>IF(RawData!F378="","",RawData!F378)</f>
        <v>4315</v>
      </c>
      <c r="D65">
        <f>IF(RawData!F379="","",RawData!F379)</f>
        <v>110</v>
      </c>
      <c r="E65">
        <f>IF(OR(C65="",D65=""),"",C65+D65)</f>
        <v>4425</v>
      </c>
    </row>
    <row r="66" spans="1:5" x14ac:dyDescent="0.25">
      <c r="A66" t="str">
        <f>IF(B66=$B$4,"ATM","")</f>
        <v/>
      </c>
      <c r="B66">
        <v>50600</v>
      </c>
      <c r="C66">
        <f>IF(RawData!F380="","",RawData!F380)</f>
        <v>7075</v>
      </c>
      <c r="D66">
        <f>IF(RawData!F381="","",RawData!F381)</f>
        <v>119.35</v>
      </c>
      <c r="E66">
        <f>IF(OR(C66="",D66=""),"",C66+D66)</f>
        <v>7194.35</v>
      </c>
    </row>
    <row r="67" spans="1:5" x14ac:dyDescent="0.25">
      <c r="A67" t="str">
        <f>IF(B67=$B$4,"ATM","")</f>
        <v/>
      </c>
      <c r="B67">
        <v>50700</v>
      </c>
      <c r="C67">
        <f>IF(RawData!F382="","",RawData!F382)</f>
        <v>5411.1</v>
      </c>
      <c r="D67">
        <f>IF(RawData!F383="","",RawData!F383)</f>
        <v>124.8</v>
      </c>
      <c r="E67">
        <f>IF(OR(C67="",D67=""),"",C67+D67)</f>
        <v>5535.9000000000005</v>
      </c>
    </row>
    <row r="68" spans="1:5" x14ac:dyDescent="0.25">
      <c r="A68" t="str">
        <f>IF(B68=$B$4,"ATM","")</f>
        <v/>
      </c>
      <c r="B68">
        <v>50800</v>
      </c>
      <c r="C68">
        <f>IF(RawData!F384="","",RawData!F384)</f>
        <v>5393.7</v>
      </c>
      <c r="D68">
        <f>IF(RawData!F385="","",RawData!F385)</f>
        <v>132.4</v>
      </c>
      <c r="E68">
        <f>IF(OR(C68="",D68=""),"",C68+D68)</f>
        <v>5526.0999999999995</v>
      </c>
    </row>
    <row r="69" spans="1:5" x14ac:dyDescent="0.25">
      <c r="A69" t="str">
        <f>IF(B69=$B$4,"ATM","")</f>
        <v/>
      </c>
      <c r="B69">
        <v>50900</v>
      </c>
      <c r="C69">
        <f>IF(RawData!F386="","",RawData!F386)</f>
        <v>5000</v>
      </c>
      <c r="D69">
        <f>IF(RawData!F387="","",RawData!F387)</f>
        <v>143</v>
      </c>
      <c r="E69">
        <f>IF(OR(C69="",D69=""),"",C69+D69)</f>
        <v>5143</v>
      </c>
    </row>
    <row r="70" spans="1:5" x14ac:dyDescent="0.25">
      <c r="A70" t="str">
        <f>IF(B70=$B$4,"ATM","")</f>
        <v/>
      </c>
      <c r="B70">
        <v>51000</v>
      </c>
      <c r="C70">
        <f>IF(RawData!F388="","",RawData!F388)</f>
        <v>3916</v>
      </c>
      <c r="D70">
        <f>IF(RawData!F389="","",RawData!F389)</f>
        <v>149</v>
      </c>
      <c r="E70">
        <f>IF(OR(C70="",D70=""),"",C70+D70)</f>
        <v>4065</v>
      </c>
    </row>
    <row r="71" spans="1:5" x14ac:dyDescent="0.25">
      <c r="A71" t="str">
        <f>IF(B71=$B$4,"ATM","")</f>
        <v/>
      </c>
      <c r="B71">
        <v>51100</v>
      </c>
      <c r="C71">
        <f>IF(RawData!F390="","",RawData!F390)</f>
        <v>4090</v>
      </c>
      <c r="D71">
        <f>IF(RawData!F391="","",RawData!F391)</f>
        <v>159.44999999999999</v>
      </c>
      <c r="E71">
        <f>IF(OR(C71="",D71=""),"",C71+D71)</f>
        <v>4249.45</v>
      </c>
    </row>
    <row r="72" spans="1:5" x14ac:dyDescent="0.25">
      <c r="A72" t="str">
        <f>IF(B72=$B$4,"ATM","")</f>
        <v/>
      </c>
      <c r="B72">
        <v>51200</v>
      </c>
      <c r="C72">
        <f>IF(RawData!F392="","",RawData!F392)</f>
        <v>3723.7</v>
      </c>
      <c r="D72">
        <f>IF(RawData!F393="","",RawData!F393)</f>
        <v>168.7</v>
      </c>
      <c r="E72">
        <f>IF(OR(C72="",D72=""),"",C72+D72)</f>
        <v>3892.3999999999996</v>
      </c>
    </row>
    <row r="73" spans="1:5" x14ac:dyDescent="0.25">
      <c r="A73" t="str">
        <f>IF(B73=$B$4,"ATM","")</f>
        <v/>
      </c>
      <c r="B73">
        <v>51300</v>
      </c>
      <c r="C73">
        <f>IF(RawData!F394="","",RawData!F394)</f>
        <v>3753</v>
      </c>
      <c r="D73">
        <f>IF(RawData!F395="","",RawData!F395)</f>
        <v>175.55</v>
      </c>
      <c r="E73">
        <f>IF(OR(C73="",D73=""),"",C73+D73)</f>
        <v>3928.55</v>
      </c>
    </row>
    <row r="74" spans="1:5" x14ac:dyDescent="0.25">
      <c r="A74" t="str">
        <f>IF(B74=$B$4,"ATM","")</f>
        <v/>
      </c>
      <c r="B74">
        <v>51400</v>
      </c>
      <c r="C74">
        <f>IF(RawData!F396="","",RawData!F396)</f>
        <v>3600</v>
      </c>
      <c r="D74">
        <f>IF(RawData!F397="","",RawData!F397)</f>
        <v>187.7</v>
      </c>
      <c r="E74">
        <f>IF(OR(C74="",D74=""),"",C74+D74)</f>
        <v>3787.7</v>
      </c>
    </row>
    <row r="75" spans="1:5" x14ac:dyDescent="0.25">
      <c r="A75" t="str">
        <f>IF(B75=$B$4,"ATM","")</f>
        <v/>
      </c>
      <c r="B75">
        <v>51500</v>
      </c>
      <c r="C75">
        <f>IF(RawData!F398="","",RawData!F398)</f>
        <v>3470.85</v>
      </c>
      <c r="D75">
        <f>IF(RawData!F399="","",RawData!F399)</f>
        <v>195.85</v>
      </c>
      <c r="E75">
        <f>IF(OR(C75="",D75=""),"",C75+D75)</f>
        <v>3666.7</v>
      </c>
    </row>
    <row r="76" spans="1:5" x14ac:dyDescent="0.25">
      <c r="A76" t="str">
        <f>IF(B76=$B$4,"ATM","")</f>
        <v/>
      </c>
      <c r="B76">
        <v>51600</v>
      </c>
      <c r="C76">
        <f>IF(RawData!F400="","",RawData!F400)</f>
        <v>4361.95</v>
      </c>
      <c r="D76">
        <f>IF(RawData!F401="","",RawData!F401)</f>
        <v>207.3</v>
      </c>
      <c r="E76">
        <f>IF(OR(C76="",D76=""),"",C76+D76)</f>
        <v>4569.25</v>
      </c>
    </row>
    <row r="77" spans="1:5" x14ac:dyDescent="0.25">
      <c r="A77" t="str">
        <f>IF(B77=$B$4,"ATM","")</f>
        <v/>
      </c>
      <c r="B77">
        <v>51700</v>
      </c>
      <c r="C77">
        <f>IF(RawData!F402="","",RawData!F402)</f>
        <v>6000</v>
      </c>
      <c r="D77">
        <f>IF(RawData!F403="","",RawData!F403)</f>
        <v>221.75</v>
      </c>
      <c r="E77">
        <f>IF(OR(C77="",D77=""),"",C77+D77)</f>
        <v>6221.75</v>
      </c>
    </row>
    <row r="78" spans="1:5" x14ac:dyDescent="0.25">
      <c r="A78" t="str">
        <f>IF(B78=$B$4,"ATM","")</f>
        <v/>
      </c>
      <c r="B78">
        <v>51800</v>
      </c>
      <c r="C78">
        <f>IF(RawData!F404="","",RawData!F404)</f>
        <v>3175.3</v>
      </c>
      <c r="D78">
        <f>IF(RawData!F405="","",RawData!F405)</f>
        <v>233.5</v>
      </c>
      <c r="E78">
        <f>IF(OR(C78="",D78=""),"",C78+D78)</f>
        <v>3408.8</v>
      </c>
    </row>
    <row r="79" spans="1:5" x14ac:dyDescent="0.25">
      <c r="A79" t="str">
        <f>IF(B79=$B$4,"ATM","")</f>
        <v/>
      </c>
      <c r="B79">
        <v>51900</v>
      </c>
      <c r="C79">
        <f>IF(RawData!F406="","",RawData!F406)</f>
        <v>3900</v>
      </c>
      <c r="D79">
        <f>IF(RawData!F407="","",RawData!F407)</f>
        <v>245.35</v>
      </c>
      <c r="E79">
        <f>IF(OR(C79="",D79=""),"",C79+D79)</f>
        <v>4145.3500000000004</v>
      </c>
    </row>
    <row r="80" spans="1:5" x14ac:dyDescent="0.25">
      <c r="A80" t="str">
        <f>IF(B80=$B$4,"ATM","")</f>
        <v/>
      </c>
      <c r="B80">
        <v>52000</v>
      </c>
      <c r="C80">
        <f>IF(RawData!F408="","",RawData!F408)</f>
        <v>3050</v>
      </c>
      <c r="D80">
        <f>IF(RawData!F409="","",RawData!F409)</f>
        <v>256.8</v>
      </c>
      <c r="E80">
        <f>IF(OR(C80="",D80=""),"",C80+D80)</f>
        <v>3306.8</v>
      </c>
    </row>
    <row r="81" spans="1:5" x14ac:dyDescent="0.25">
      <c r="A81" t="str">
        <f>IF(B81=$B$4,"ATM","")</f>
        <v/>
      </c>
      <c r="B81">
        <v>52100</v>
      </c>
      <c r="C81">
        <f>IF(RawData!F410="","",RawData!F410)</f>
        <v>3222.3</v>
      </c>
      <c r="D81">
        <f>IF(RawData!F411="","",RawData!F411)</f>
        <v>271.7</v>
      </c>
      <c r="E81">
        <f>IF(OR(C81="",D81=""),"",C81+D81)</f>
        <v>3494</v>
      </c>
    </row>
    <row r="82" spans="1:5" x14ac:dyDescent="0.25">
      <c r="A82" t="str">
        <f>IF(B82=$B$4,"ATM","")</f>
        <v/>
      </c>
      <c r="B82">
        <v>52200</v>
      </c>
      <c r="C82">
        <f>IF(RawData!F412="","",RawData!F412)</f>
        <v>2769</v>
      </c>
      <c r="D82">
        <f>IF(RawData!F413="","",RawData!F413)</f>
        <v>291.14999999999998</v>
      </c>
      <c r="E82">
        <f>IF(OR(C82="",D82=""),"",C82+D82)</f>
        <v>3060.15</v>
      </c>
    </row>
    <row r="83" spans="1:5" x14ac:dyDescent="0.25">
      <c r="A83" t="str">
        <f>IF(B83=$B$4,"ATM","")</f>
        <v/>
      </c>
      <c r="B83">
        <v>52300</v>
      </c>
      <c r="C83">
        <f>IF(RawData!F414="","",RawData!F414)</f>
        <v>2800</v>
      </c>
      <c r="D83">
        <f>IF(RawData!F415="","",RawData!F415)</f>
        <v>303.75</v>
      </c>
      <c r="E83">
        <f>IF(OR(C83="",D83=""),"",C83+D83)</f>
        <v>3103.75</v>
      </c>
    </row>
    <row r="84" spans="1:5" x14ac:dyDescent="0.25">
      <c r="A84" t="str">
        <f>IF(B84=$B$4,"ATM","")</f>
        <v/>
      </c>
      <c r="B84">
        <v>52400</v>
      </c>
      <c r="C84">
        <f>IF(RawData!F416="","",RawData!F416)</f>
        <v>4183.5</v>
      </c>
      <c r="D84">
        <f>IF(RawData!F417="","",RawData!F417)</f>
        <v>323</v>
      </c>
      <c r="E84">
        <f>IF(OR(C84="",D84=""),"",C84+D84)</f>
        <v>4506.5</v>
      </c>
    </row>
    <row r="85" spans="1:5" x14ac:dyDescent="0.25">
      <c r="A85" t="str">
        <f>IF(B85=$B$4,"ATM","")</f>
        <v/>
      </c>
      <c r="B85">
        <v>52500</v>
      </c>
      <c r="C85">
        <f>IF(RawData!F418="","",RawData!F418)</f>
        <v>2631.25</v>
      </c>
      <c r="D85">
        <f>IF(RawData!F419="","",RawData!F419)</f>
        <v>334.45</v>
      </c>
      <c r="E85">
        <f>IF(OR(C85="",D85=""),"",C85+D85)</f>
        <v>2965.7</v>
      </c>
    </row>
    <row r="86" spans="1:5" x14ac:dyDescent="0.25">
      <c r="A86" t="str">
        <f>IF(B86=$B$4,"ATM","")</f>
        <v/>
      </c>
      <c r="B86">
        <v>52600</v>
      </c>
      <c r="C86">
        <f>IF(RawData!F420="","",RawData!F420)</f>
        <v>2600</v>
      </c>
      <c r="D86">
        <f>IF(RawData!F421="","",RawData!F421)</f>
        <v>358</v>
      </c>
      <c r="E86">
        <f>IF(OR(C86="",D86=""),"",C86+D86)</f>
        <v>2958</v>
      </c>
    </row>
    <row r="87" spans="1:5" x14ac:dyDescent="0.25">
      <c r="A87" t="str">
        <f>IF(B87=$B$4,"ATM","")</f>
        <v/>
      </c>
      <c r="B87">
        <v>52700</v>
      </c>
      <c r="C87">
        <f>IF(RawData!F422="","",RawData!F422)</f>
        <v>2650</v>
      </c>
      <c r="D87">
        <f>IF(RawData!F423="","",RawData!F423)</f>
        <v>371.25</v>
      </c>
      <c r="E87">
        <f>IF(OR(C87="",D87=""),"",C87+D87)</f>
        <v>3021.25</v>
      </c>
    </row>
    <row r="88" spans="1:5" x14ac:dyDescent="0.25">
      <c r="A88" t="str">
        <f>IF(B88=$B$4,"ATM","")</f>
        <v/>
      </c>
      <c r="B88">
        <v>52800</v>
      </c>
      <c r="C88">
        <f>IF(RawData!F424="","",RawData!F424)</f>
        <v>2561.0500000000002</v>
      </c>
      <c r="D88">
        <f>IF(RawData!F425="","",RawData!F425)</f>
        <v>393.35</v>
      </c>
      <c r="E88">
        <f>IF(OR(C88="",D88=""),"",C88+D88)</f>
        <v>2954.4</v>
      </c>
    </row>
    <row r="89" spans="1:5" x14ac:dyDescent="0.25">
      <c r="A89" t="str">
        <f>IF(B89=$B$4,"ATM","")</f>
        <v/>
      </c>
      <c r="B89">
        <v>52900</v>
      </c>
      <c r="C89">
        <f>IF(RawData!F426="","",RawData!F426)</f>
        <v>2525</v>
      </c>
      <c r="D89">
        <f>IF(RawData!F427="","",RawData!F427)</f>
        <v>415.5</v>
      </c>
      <c r="E89">
        <f>IF(OR(C89="",D89=""),"",C89+D89)</f>
        <v>2940.5</v>
      </c>
    </row>
    <row r="90" spans="1:5" x14ac:dyDescent="0.25">
      <c r="A90" t="str">
        <f>IF(B90=$B$4,"ATM","")</f>
        <v/>
      </c>
      <c r="B90">
        <v>53000</v>
      </c>
      <c r="C90">
        <f>IF(RawData!F428="","",RawData!F428)</f>
        <v>2208.1</v>
      </c>
      <c r="D90">
        <f>IF(RawData!F429="","",RawData!F429)</f>
        <v>435</v>
      </c>
      <c r="E90">
        <f>IF(OR(C90="",D90=""),"",C90+D90)</f>
        <v>2643.1</v>
      </c>
    </row>
    <row r="91" spans="1:5" x14ac:dyDescent="0.25">
      <c r="A91" t="str">
        <f>IF(B91=$B$4,"ATM","")</f>
        <v/>
      </c>
      <c r="B91">
        <v>53100</v>
      </c>
      <c r="C91">
        <f>IF(RawData!F430="","",RawData!F430)</f>
        <v>2639.35</v>
      </c>
      <c r="D91">
        <f>IF(RawData!F431="","",RawData!F431)</f>
        <v>463.85</v>
      </c>
      <c r="E91">
        <f>IF(OR(C91="",D91=""),"",C91+D91)</f>
        <v>3103.2</v>
      </c>
    </row>
    <row r="92" spans="1:5" x14ac:dyDescent="0.25">
      <c r="A92" t="str">
        <f>IF(B92=$B$4,"ATM","")</f>
        <v/>
      </c>
      <c r="B92">
        <v>53200</v>
      </c>
      <c r="C92">
        <f>IF(RawData!F432="","",RawData!F432)</f>
        <v>2308.85</v>
      </c>
      <c r="D92">
        <f>IF(RawData!F433="","",RawData!F433)</f>
        <v>480.75</v>
      </c>
      <c r="E92">
        <f>IF(OR(C92="",D92=""),"",C92+D92)</f>
        <v>2789.6</v>
      </c>
    </row>
    <row r="93" spans="1:5" x14ac:dyDescent="0.25">
      <c r="A93" t="str">
        <f>IF(B93=$B$4,"ATM","")</f>
        <v/>
      </c>
      <c r="B93">
        <v>53300</v>
      </c>
      <c r="C93">
        <f>IF(RawData!F434="","",RawData!F434)</f>
        <v>2018.9</v>
      </c>
      <c r="D93">
        <f>IF(RawData!F435="","",RawData!F435)</f>
        <v>513.20000000000005</v>
      </c>
      <c r="E93">
        <f>IF(OR(C93="",D93=""),"",C93+D93)</f>
        <v>2532.1000000000004</v>
      </c>
    </row>
    <row r="94" spans="1:5" x14ac:dyDescent="0.25">
      <c r="A94" t="str">
        <f>IF(B94=$B$4,"ATM","")</f>
        <v/>
      </c>
      <c r="B94">
        <v>53400</v>
      </c>
      <c r="C94">
        <f>IF(RawData!F436="","",RawData!F436)</f>
        <v>2090.5500000000002</v>
      </c>
      <c r="D94">
        <f>IF(RawData!F437="","",RawData!F437)</f>
        <v>533.54999999999995</v>
      </c>
      <c r="E94">
        <f>IF(OR(C94="",D94=""),"",C94+D94)</f>
        <v>2624.1000000000004</v>
      </c>
    </row>
    <row r="95" spans="1:5" x14ac:dyDescent="0.25">
      <c r="A95" t="str">
        <f>IF(B95=$B$4,"ATM","")</f>
        <v/>
      </c>
      <c r="B95">
        <v>53500</v>
      </c>
      <c r="C95">
        <f>IF(RawData!F438="","",RawData!F438)</f>
        <v>1830.45</v>
      </c>
      <c r="D95">
        <f>IF(RawData!F439="","",RawData!F439)</f>
        <v>559.54999999999995</v>
      </c>
      <c r="E95">
        <f>IF(OR(C95="",D95=""),"",C95+D95)</f>
        <v>2390</v>
      </c>
    </row>
    <row r="96" spans="1:5" x14ac:dyDescent="0.25">
      <c r="A96" t="str">
        <f>IF(B96=$B$4,"ATM","")</f>
        <v/>
      </c>
      <c r="B96">
        <v>53600</v>
      </c>
      <c r="C96">
        <f>IF(RawData!F440="","",RawData!F440)</f>
        <v>1765.6</v>
      </c>
      <c r="D96">
        <f>IF(RawData!F441="","",RawData!F441)</f>
        <v>591</v>
      </c>
      <c r="E96">
        <f>IF(OR(C96="",D96=""),"",C96+D96)</f>
        <v>2356.6</v>
      </c>
    </row>
    <row r="97" spans="1:5" x14ac:dyDescent="0.25">
      <c r="A97" t="str">
        <f>IF(B97=$B$4,"ATM","")</f>
        <v/>
      </c>
      <c r="B97">
        <v>53700</v>
      </c>
      <c r="C97">
        <f>IF(RawData!F442="","",RawData!F442)</f>
        <v>1693.85</v>
      </c>
      <c r="D97">
        <f>IF(RawData!F443="","",RawData!F443)</f>
        <v>619.6</v>
      </c>
      <c r="E97">
        <f>IF(OR(C97="",D97=""),"",C97+D97)</f>
        <v>2313.4499999999998</v>
      </c>
    </row>
    <row r="98" spans="1:5" x14ac:dyDescent="0.25">
      <c r="A98" t="str">
        <f>IF(B98=$B$4,"ATM","")</f>
        <v/>
      </c>
      <c r="B98">
        <v>53800</v>
      </c>
      <c r="C98">
        <f>IF(RawData!F444="","",RawData!F444)</f>
        <v>1677.2</v>
      </c>
      <c r="D98">
        <f>IF(RawData!F445="","",RawData!F445)</f>
        <v>643.75</v>
      </c>
      <c r="E98">
        <f>IF(OR(C98="",D98=""),"",C98+D98)</f>
        <v>2320.9499999999998</v>
      </c>
    </row>
    <row r="99" spans="1:5" x14ac:dyDescent="0.25">
      <c r="A99" t="str">
        <f>IF(B99=$B$4,"ATM","")</f>
        <v/>
      </c>
      <c r="B99">
        <v>53900</v>
      </c>
      <c r="C99">
        <f>IF(RawData!F446="","",RawData!F446)</f>
        <v>1600.05</v>
      </c>
      <c r="D99">
        <f>IF(RawData!F447="","",RawData!F447)</f>
        <v>691.1</v>
      </c>
      <c r="E99">
        <f>IF(OR(C99="",D99=""),"",C99+D99)</f>
        <v>2291.15</v>
      </c>
    </row>
    <row r="100" spans="1:5" x14ac:dyDescent="0.25">
      <c r="A100" t="str">
        <f>IF(B100=$B$4,"ATM","")</f>
        <v/>
      </c>
      <c r="B100">
        <v>54000</v>
      </c>
      <c r="C100">
        <f>IF(RawData!F448="","",RawData!F448)</f>
        <v>1506</v>
      </c>
      <c r="D100">
        <f>IF(RawData!F449="","",RawData!F449)</f>
        <v>715.2</v>
      </c>
      <c r="E100">
        <f>IF(OR(C100="",D100=""),"",C100+D100)</f>
        <v>2221.1999999999998</v>
      </c>
    </row>
    <row r="101" spans="1:5" x14ac:dyDescent="0.25">
      <c r="A101" t="str">
        <f>IF(B101=$B$4,"ATM","")</f>
        <v/>
      </c>
      <c r="B101">
        <v>54100</v>
      </c>
      <c r="C101">
        <f>IF(RawData!F450="","",RawData!F450)</f>
        <v>1460.2</v>
      </c>
      <c r="D101">
        <f>IF(RawData!F451="","",RawData!F451)</f>
        <v>751.75</v>
      </c>
      <c r="E101">
        <f>IF(OR(C101="",D101=""),"",C101+D101)</f>
        <v>2211.9499999999998</v>
      </c>
    </row>
    <row r="102" spans="1:5" x14ac:dyDescent="0.25">
      <c r="A102" t="str">
        <f>IF(B102=$B$4,"ATM","")</f>
        <v/>
      </c>
      <c r="B102">
        <v>54200</v>
      </c>
      <c r="C102">
        <f>IF(RawData!F452="","",RawData!F452)</f>
        <v>1373.5</v>
      </c>
      <c r="D102">
        <f>IF(RawData!F453="","",RawData!F453)</f>
        <v>787.05</v>
      </c>
      <c r="E102">
        <f>IF(OR(C102="",D102=""),"",C102+D102)</f>
        <v>2160.5500000000002</v>
      </c>
    </row>
    <row r="103" spans="1:5" x14ac:dyDescent="0.25">
      <c r="A103" t="str">
        <f>IF(B103=$B$4,"ATM","")</f>
        <v/>
      </c>
      <c r="B103">
        <v>54300</v>
      </c>
      <c r="C103">
        <f>IF(RawData!F454="","",RawData!F454)</f>
        <v>1335.8</v>
      </c>
      <c r="D103">
        <f>IF(RawData!F455="","",RawData!F455)</f>
        <v>826.5</v>
      </c>
      <c r="E103">
        <f>IF(OR(C103="",D103=""),"",C103+D103)</f>
        <v>2162.3000000000002</v>
      </c>
    </row>
    <row r="104" spans="1:5" x14ac:dyDescent="0.25">
      <c r="A104" t="str">
        <f>IF(B104=$B$4,"ATM","")</f>
        <v/>
      </c>
      <c r="B104">
        <v>54400</v>
      </c>
      <c r="C104">
        <f>IF(RawData!F456="","",RawData!F456)</f>
        <v>1252.1500000000001</v>
      </c>
      <c r="D104">
        <f>IF(RawData!F457="","",RawData!F457)</f>
        <v>866.3</v>
      </c>
      <c r="E104">
        <f>IF(OR(C104="",D104=""),"",C104+D104)</f>
        <v>2118.4499999999998</v>
      </c>
    </row>
    <row r="105" spans="1:5" x14ac:dyDescent="0.25">
      <c r="A105" t="str">
        <f>IF(B105=$B$4,"ATM","")</f>
        <v>ATM</v>
      </c>
      <c r="B105">
        <v>54500</v>
      </c>
      <c r="C105">
        <f>IF(RawData!F458="","",RawData!F458)</f>
        <v>1200</v>
      </c>
      <c r="D105">
        <f>IF(RawData!F459="","",RawData!F459)</f>
        <v>912</v>
      </c>
      <c r="E105">
        <f>IF(OR(C105="",D105=""),"",C105+D105)</f>
        <v>2112</v>
      </c>
    </row>
    <row r="106" spans="1:5" x14ac:dyDescent="0.25">
      <c r="A106" t="str">
        <f>IF(B106=$B$4,"ATM","")</f>
        <v/>
      </c>
      <c r="B106">
        <v>54600</v>
      </c>
      <c r="C106">
        <f>IF(RawData!F460="","",RawData!F460)</f>
        <v>1142</v>
      </c>
      <c r="D106">
        <f>IF(RawData!F461="","",RawData!F461)</f>
        <v>953.35</v>
      </c>
      <c r="E106">
        <f>IF(OR(C106="",D106=""),"",C106+D106)</f>
        <v>2095.35</v>
      </c>
    </row>
    <row r="107" spans="1:5" x14ac:dyDescent="0.25">
      <c r="A107" t="str">
        <f>IF(B107=$B$4,"ATM","")</f>
        <v/>
      </c>
      <c r="B107">
        <v>54700</v>
      </c>
      <c r="C107">
        <f>IF(RawData!F462="","",RawData!F462)</f>
        <v>1089.95</v>
      </c>
      <c r="D107">
        <f>IF(RawData!F463="","",RawData!F463)</f>
        <v>992.25</v>
      </c>
      <c r="E107">
        <f>IF(OR(C107="",D107=""),"",C107+D107)</f>
        <v>2082.1999999999998</v>
      </c>
    </row>
    <row r="108" spans="1:5" x14ac:dyDescent="0.25">
      <c r="A108" t="str">
        <f>IF(B108=$B$4,"ATM","")</f>
        <v/>
      </c>
      <c r="B108">
        <v>54800</v>
      </c>
      <c r="C108">
        <f>IF(RawData!F464="","",RawData!F464)</f>
        <v>1034.1500000000001</v>
      </c>
      <c r="D108">
        <f>IF(RawData!F465="","",RawData!F465)</f>
        <v>1038.8</v>
      </c>
      <c r="E108">
        <f>IF(OR(C108="",D108=""),"",C108+D108)</f>
        <v>2072.9499999999998</v>
      </c>
    </row>
    <row r="109" spans="1:5" x14ac:dyDescent="0.25">
      <c r="A109" t="str">
        <f>IF(B109=$B$4,"ATM","")</f>
        <v/>
      </c>
      <c r="B109">
        <v>54900</v>
      </c>
      <c r="C109">
        <f>IF(RawData!F466="","",RawData!F466)</f>
        <v>976.15</v>
      </c>
      <c r="D109">
        <f>IF(RawData!F467="","",RawData!F467)</f>
        <v>1085.1500000000001</v>
      </c>
      <c r="E109">
        <f>IF(OR(C109="",D109=""),"",C109+D109)</f>
        <v>2061.3000000000002</v>
      </c>
    </row>
    <row r="110" spans="1:5" x14ac:dyDescent="0.25">
      <c r="A110" t="str">
        <f>IF(B110=$B$4,"ATM","")</f>
        <v/>
      </c>
      <c r="B110">
        <v>55000</v>
      </c>
      <c r="C110">
        <f>IF(RawData!F468="","",RawData!F468)</f>
        <v>934.9</v>
      </c>
      <c r="D110">
        <f>IF(RawData!F469="","",RawData!F469)</f>
        <v>1145.5</v>
      </c>
      <c r="E110">
        <f>IF(OR(C110="",D110=""),"",C110+D110)</f>
        <v>2080.4</v>
      </c>
    </row>
    <row r="111" spans="1:5" x14ac:dyDescent="0.25">
      <c r="A111" t="str">
        <f>IF(B111=$B$4,"ATM","")</f>
        <v/>
      </c>
      <c r="B111">
        <v>55100</v>
      </c>
      <c r="C111">
        <f>IF(RawData!F470="","",RawData!F470)</f>
        <v>882.95</v>
      </c>
      <c r="D111">
        <f>IF(RawData!F471="","",RawData!F471)</f>
        <v>1191.55</v>
      </c>
      <c r="E111">
        <f>IF(OR(C111="",D111=""),"",C111+D111)</f>
        <v>2074.5</v>
      </c>
    </row>
    <row r="112" spans="1:5" x14ac:dyDescent="0.25">
      <c r="A112" t="str">
        <f>IF(B112=$B$4,"ATM","")</f>
        <v/>
      </c>
      <c r="B112">
        <v>55200</v>
      </c>
      <c r="C112">
        <f>IF(RawData!F472="","",RawData!F472)</f>
        <v>843.05</v>
      </c>
      <c r="D112">
        <f>IF(RawData!F473="","",RawData!F473)</f>
        <v>1231.9000000000001</v>
      </c>
      <c r="E112">
        <f>IF(OR(C112="",D112=""),"",C112+D112)</f>
        <v>2074.9499999999998</v>
      </c>
    </row>
    <row r="113" spans="1:5" x14ac:dyDescent="0.25">
      <c r="A113" t="str">
        <f>IF(B113=$B$4,"ATM","")</f>
        <v/>
      </c>
      <c r="B113">
        <v>55300</v>
      </c>
      <c r="C113">
        <f>IF(RawData!F474="","",RawData!F474)</f>
        <v>795.35</v>
      </c>
      <c r="D113">
        <f>IF(RawData!F475="","",RawData!F475)</f>
        <v>1300.05</v>
      </c>
      <c r="E113">
        <f>IF(OR(C113="",D113=""),"",C113+D113)</f>
        <v>2095.4</v>
      </c>
    </row>
    <row r="114" spans="1:5" x14ac:dyDescent="0.25">
      <c r="A114" t="str">
        <f>IF(B114=$B$4,"ATM","")</f>
        <v/>
      </c>
      <c r="B114">
        <v>55400</v>
      </c>
      <c r="C114">
        <f>IF(RawData!F476="","",RawData!F476)</f>
        <v>745.5</v>
      </c>
      <c r="D114">
        <f>IF(RawData!F477="","",RawData!F477)</f>
        <v>1338.05</v>
      </c>
      <c r="E114">
        <f>IF(OR(C114="",D114=""),"",C114+D114)</f>
        <v>2083.5500000000002</v>
      </c>
    </row>
    <row r="115" spans="1:5" x14ac:dyDescent="0.25">
      <c r="A115" t="str">
        <f>IF(B115=$B$4,"ATM","")</f>
        <v/>
      </c>
      <c r="B115">
        <v>55500</v>
      </c>
      <c r="C115">
        <f>IF(RawData!F478="","",RawData!F478)</f>
        <v>703.7</v>
      </c>
      <c r="D115">
        <f>IF(RawData!F479="","",RawData!F479)</f>
        <v>1394.65</v>
      </c>
      <c r="E115">
        <f>IF(OR(C115="",D115=""),"",C115+D115)</f>
        <v>2098.3500000000004</v>
      </c>
    </row>
    <row r="116" spans="1:5" x14ac:dyDescent="0.25">
      <c r="A116" t="str">
        <f>IF(B116=$B$4,"ATM","")</f>
        <v/>
      </c>
      <c r="B116">
        <v>55600</v>
      </c>
      <c r="C116">
        <f>IF(RawData!F480="","",RawData!F480)</f>
        <v>668.25</v>
      </c>
      <c r="D116">
        <f>IF(RawData!F481="","",RawData!F481)</f>
        <v>1464</v>
      </c>
      <c r="E116">
        <f>IF(OR(C116="",D116=""),"",C116+D116)</f>
        <v>2132.25</v>
      </c>
    </row>
    <row r="117" spans="1:5" x14ac:dyDescent="0.25">
      <c r="A117" t="str">
        <f>IF(B117=$B$4,"ATM","")</f>
        <v/>
      </c>
      <c r="B117">
        <v>55700</v>
      </c>
      <c r="C117">
        <f>IF(RawData!F482="","",RawData!F482)</f>
        <v>631.4</v>
      </c>
      <c r="D117">
        <f>IF(RawData!F483="","",RawData!F483)</f>
        <v>1532.8</v>
      </c>
      <c r="E117">
        <f>IF(OR(C117="",D117=""),"",C117+D117)</f>
        <v>2164.1999999999998</v>
      </c>
    </row>
    <row r="118" spans="1:5" x14ac:dyDescent="0.25">
      <c r="A118" t="str">
        <f>IF(B118=$B$4,"ATM","")</f>
        <v/>
      </c>
      <c r="B118">
        <v>55800</v>
      </c>
      <c r="C118">
        <f>IF(RawData!F484="","",RawData!F484)</f>
        <v>590.54999999999995</v>
      </c>
      <c r="D118">
        <f>IF(RawData!F485="","",RawData!F485)</f>
        <v>1588.3</v>
      </c>
      <c r="E118">
        <f>IF(OR(C118="",D118=""),"",C118+D118)</f>
        <v>2178.85</v>
      </c>
    </row>
    <row r="119" spans="1:5" x14ac:dyDescent="0.25">
      <c r="A119" t="str">
        <f>IF(B119=$B$4,"ATM","")</f>
        <v/>
      </c>
      <c r="B119">
        <v>55900</v>
      </c>
      <c r="C119">
        <f>IF(RawData!F486="","",RawData!F486)</f>
        <v>550.15</v>
      </c>
      <c r="D119">
        <f>IF(RawData!F487="","",RawData!F487)</f>
        <v>1660.5</v>
      </c>
      <c r="E119">
        <f>IF(OR(C119="",D119=""),"",C119+D119)</f>
        <v>2210.65</v>
      </c>
    </row>
    <row r="120" spans="1:5" x14ac:dyDescent="0.25">
      <c r="A120" t="str">
        <f>IF(B120=$B$4,"ATM","")</f>
        <v/>
      </c>
      <c r="B120">
        <v>56000</v>
      </c>
      <c r="C120">
        <f>IF(RawData!F488="","",RawData!F488)</f>
        <v>519.9</v>
      </c>
      <c r="D120">
        <f>IF(RawData!F489="","",RawData!F489)</f>
        <v>1707.9</v>
      </c>
      <c r="E120">
        <f>IF(OR(C120="",D120=""),"",C120+D120)</f>
        <v>2227.8000000000002</v>
      </c>
    </row>
    <row r="121" spans="1:5" x14ac:dyDescent="0.25">
      <c r="A121" t="str">
        <f>IF(B121=$B$4,"ATM","")</f>
        <v/>
      </c>
      <c r="B121">
        <v>56100</v>
      </c>
      <c r="C121">
        <f>IF(RawData!F490="","",RawData!F490)</f>
        <v>491.45</v>
      </c>
      <c r="D121">
        <f>IF(RawData!F491="","",RawData!F491)</f>
        <v>1634.35</v>
      </c>
      <c r="E121">
        <f>IF(OR(C121="",D121=""),"",C121+D121)</f>
        <v>2125.7999999999997</v>
      </c>
    </row>
    <row r="122" spans="1:5" x14ac:dyDescent="0.25">
      <c r="A122" t="str">
        <f>IF(B122=$B$4,"ATM","")</f>
        <v/>
      </c>
      <c r="B122">
        <v>56200</v>
      </c>
      <c r="C122">
        <f>IF(RawData!F492="","",RawData!F492)</f>
        <v>459.65</v>
      </c>
      <c r="D122">
        <f>IF(RawData!F493="","",RawData!F493)</f>
        <v>1853.6</v>
      </c>
      <c r="E122">
        <f>IF(OR(C122="",D122=""),"",C122+D122)</f>
        <v>2313.25</v>
      </c>
    </row>
    <row r="123" spans="1:5" x14ac:dyDescent="0.25">
      <c r="A123" t="str">
        <f>IF(B123=$B$4,"ATM","")</f>
        <v/>
      </c>
      <c r="B123">
        <v>56300</v>
      </c>
      <c r="C123">
        <f>IF(RawData!F494="","",RawData!F494)</f>
        <v>428.8</v>
      </c>
      <c r="D123">
        <f>IF(RawData!F495="","",RawData!F495)</f>
        <v>1910.55</v>
      </c>
      <c r="E123">
        <f>IF(OR(C123="",D123=""),"",C123+D123)</f>
        <v>2339.35</v>
      </c>
    </row>
    <row r="124" spans="1:5" x14ac:dyDescent="0.25">
      <c r="A124" t="str">
        <f>IF(B124=$B$4,"ATM","")</f>
        <v/>
      </c>
      <c r="B124">
        <v>56400</v>
      </c>
      <c r="C124">
        <f>IF(RawData!F496="","",RawData!F496)</f>
        <v>404.4</v>
      </c>
      <c r="D124">
        <f>IF(RawData!F497="","",RawData!F497)</f>
        <v>1959.55</v>
      </c>
      <c r="E124">
        <f>IF(OR(C124="",D124=""),"",C124+D124)</f>
        <v>2363.9499999999998</v>
      </c>
    </row>
    <row r="125" spans="1:5" x14ac:dyDescent="0.25">
      <c r="A125" t="str">
        <f>IF(B125=$B$4,"ATM","")</f>
        <v/>
      </c>
      <c r="B125">
        <v>56500</v>
      </c>
      <c r="C125">
        <f>IF(RawData!F498="","",RawData!F498)</f>
        <v>375.8</v>
      </c>
      <c r="D125">
        <f>IF(RawData!F499="","",RawData!F499)</f>
        <v>2078.65</v>
      </c>
      <c r="E125">
        <f>IF(OR(C125="",D125=""),"",C125+D125)</f>
        <v>2454.4500000000003</v>
      </c>
    </row>
    <row r="126" spans="1:5" x14ac:dyDescent="0.25">
      <c r="A126" t="str">
        <f>IF(B126=$B$4,"ATM","")</f>
        <v/>
      </c>
      <c r="B126">
        <v>56600</v>
      </c>
      <c r="C126">
        <f>IF(RawData!F500="","",RawData!F500)</f>
        <v>350</v>
      </c>
      <c r="D126">
        <f>IF(RawData!F501="","",RawData!F501)</f>
        <v>2265</v>
      </c>
      <c r="E126">
        <f>IF(OR(C126="",D126=""),"",C126+D126)</f>
        <v>2615</v>
      </c>
    </row>
    <row r="127" spans="1:5" x14ac:dyDescent="0.25">
      <c r="A127" t="str">
        <f>IF(B127=$B$4,"ATM","")</f>
        <v/>
      </c>
      <c r="B127">
        <v>56700</v>
      </c>
      <c r="C127">
        <f>IF(RawData!F502="","",RawData!F502)</f>
        <v>326.14999999999998</v>
      </c>
      <c r="D127">
        <f>IF(RawData!F503="","",RawData!F503)</f>
        <v>2211.8000000000002</v>
      </c>
      <c r="E127">
        <f>IF(OR(C127="",D127=""),"",C127+D127)</f>
        <v>2537.9500000000003</v>
      </c>
    </row>
    <row r="128" spans="1:5" x14ac:dyDescent="0.25">
      <c r="A128" t="str">
        <f>IF(B128=$B$4,"ATM","")</f>
        <v/>
      </c>
      <c r="B128">
        <v>56800</v>
      </c>
      <c r="C128">
        <f>IF(RawData!F504="","",RawData!F504)</f>
        <v>307.10000000000002</v>
      </c>
      <c r="D128">
        <f>IF(RawData!F505="","",RawData!F505)</f>
        <v>2293.1999999999998</v>
      </c>
      <c r="E128">
        <f>IF(OR(C128="",D128=""),"",C128+D128)</f>
        <v>2600.2999999999997</v>
      </c>
    </row>
    <row r="129" spans="1:5" x14ac:dyDescent="0.25">
      <c r="A129" t="str">
        <f>IF(B129=$B$4,"ATM","")</f>
        <v/>
      </c>
      <c r="B129">
        <v>56900</v>
      </c>
      <c r="C129">
        <f>IF(RawData!F506="","",RawData!F506)</f>
        <v>285.60000000000002</v>
      </c>
      <c r="D129">
        <f>IF(RawData!F507="","",RawData!F507)</f>
        <v>2165</v>
      </c>
      <c r="E129">
        <f>IF(OR(C129="",D129=""),"",C129+D129)</f>
        <v>2450.6</v>
      </c>
    </row>
    <row r="130" spans="1:5" x14ac:dyDescent="0.25">
      <c r="A130" t="str">
        <f>IF(B130=$B$4,"ATM","")</f>
        <v/>
      </c>
      <c r="B130">
        <v>57000</v>
      </c>
      <c r="C130">
        <f>IF(RawData!F508="","",RawData!F508)</f>
        <v>266.89999999999998</v>
      </c>
      <c r="D130">
        <f>IF(RawData!F509="","",RawData!F509)</f>
        <v>2467</v>
      </c>
      <c r="E130">
        <f>IF(OR(C130="",D130=""),"",C130+D130)</f>
        <v>2733.9</v>
      </c>
    </row>
    <row r="131" spans="1:5" x14ac:dyDescent="0.25">
      <c r="A131" t="str">
        <f>IF(B131=$B$4,"ATM","")</f>
        <v/>
      </c>
      <c r="B131">
        <v>57100</v>
      </c>
      <c r="C131">
        <f>IF(RawData!F510="","",RawData!F510)</f>
        <v>247</v>
      </c>
      <c r="D131">
        <f>IF(RawData!F511="","",RawData!F511)</f>
        <v>2550</v>
      </c>
      <c r="E131">
        <f>IF(OR(C131="",D131=""),"",C131+D131)</f>
        <v>2797</v>
      </c>
    </row>
    <row r="132" spans="1:5" x14ac:dyDescent="0.25">
      <c r="A132" t="str">
        <f>IF(B132=$B$4,"ATM","")</f>
        <v/>
      </c>
      <c r="B132">
        <v>57200</v>
      </c>
      <c r="C132">
        <f>IF(RawData!F512="","",RawData!F512)</f>
        <v>233.85</v>
      </c>
      <c r="D132">
        <f>IF(RawData!F513="","",RawData!F513)</f>
        <v>2900</v>
      </c>
      <c r="E132">
        <f>IF(OR(C132="",D132=""),"",C132+D132)</f>
        <v>3133.85</v>
      </c>
    </row>
    <row r="133" spans="1:5" x14ac:dyDescent="0.25">
      <c r="A133" t="str">
        <f>IF(B133=$B$4,"ATM","")</f>
        <v/>
      </c>
      <c r="B133">
        <v>57300</v>
      </c>
      <c r="C133">
        <f>IF(RawData!F514="","",RawData!F514)</f>
        <v>215</v>
      </c>
      <c r="D133">
        <f>IF(RawData!F515="","",RawData!F515)</f>
        <v>2500.4499999999998</v>
      </c>
      <c r="E133">
        <f>IF(OR(C133="",D133=""),"",C133+D133)</f>
        <v>2715.45</v>
      </c>
    </row>
    <row r="134" spans="1:5" x14ac:dyDescent="0.25">
      <c r="A134" t="str">
        <f>IF(B134=$B$4,"ATM","")</f>
        <v/>
      </c>
      <c r="B134">
        <v>57400</v>
      </c>
      <c r="C134">
        <f>IF(RawData!F516="","",RawData!F516)</f>
        <v>200.25</v>
      </c>
      <c r="D134">
        <f>IF(RawData!F517="","",RawData!F517)</f>
        <v>2829.25</v>
      </c>
      <c r="E134">
        <f>IF(OR(C134="",D134=""),"",C134+D134)</f>
        <v>3029.5</v>
      </c>
    </row>
    <row r="135" spans="1:5" x14ac:dyDescent="0.25">
      <c r="A135" t="str">
        <f>IF(B135=$B$4,"ATM","")</f>
        <v/>
      </c>
      <c r="B135">
        <v>57500</v>
      </c>
      <c r="C135">
        <f>IF(RawData!F518="","",RawData!F518)</f>
        <v>190.15</v>
      </c>
      <c r="D135">
        <f>IF(RawData!F519="","",RawData!F519)</f>
        <v>2874.9</v>
      </c>
      <c r="E135">
        <f>IF(OR(C135="",D135=""),"",C135+D135)</f>
        <v>3065.05</v>
      </c>
    </row>
    <row r="136" spans="1:5" x14ac:dyDescent="0.25">
      <c r="A136" t="str">
        <f>IF(B136=$B$4,"ATM","")</f>
        <v/>
      </c>
      <c r="B136">
        <v>57600</v>
      </c>
      <c r="C136">
        <f>IF(RawData!F520="","",RawData!F520)</f>
        <v>175.65</v>
      </c>
      <c r="D136">
        <f>IF(RawData!F521="","",RawData!F521)</f>
        <v>2915.2</v>
      </c>
      <c r="E136">
        <f>IF(OR(C136="",D136=""),"",C136+D136)</f>
        <v>3090.85</v>
      </c>
    </row>
    <row r="137" spans="1:5" x14ac:dyDescent="0.25">
      <c r="A137" t="str">
        <f>IF(B137=$B$4,"ATM","")</f>
        <v/>
      </c>
      <c r="B137">
        <v>57700</v>
      </c>
      <c r="C137">
        <f>IF(RawData!F522="","",RawData!F522)</f>
        <v>163</v>
      </c>
      <c r="D137">
        <f>IF(RawData!F523="","",RawData!F523)</f>
        <v>3080</v>
      </c>
      <c r="E137">
        <f>IF(OR(C137="",D137=""),"",C137+D137)</f>
        <v>3243</v>
      </c>
    </row>
    <row r="138" spans="1:5" x14ac:dyDescent="0.25">
      <c r="A138" t="str">
        <f>IF(B138=$B$4,"ATM","")</f>
        <v/>
      </c>
      <c r="B138">
        <v>57800</v>
      </c>
      <c r="C138">
        <f>IF(RawData!F524="","",RawData!F524)</f>
        <v>152.94999999999999</v>
      </c>
      <c r="D138">
        <f>IF(RawData!F525="","",RawData!F525)</f>
        <v>3149.45</v>
      </c>
      <c r="E138">
        <f>IF(OR(C138="",D138=""),"",C138+D138)</f>
        <v>3302.3999999999996</v>
      </c>
    </row>
    <row r="139" spans="1:5" x14ac:dyDescent="0.25">
      <c r="A139" t="str">
        <f>IF(B139=$B$4,"ATM","")</f>
        <v/>
      </c>
      <c r="B139">
        <v>57900</v>
      </c>
      <c r="C139">
        <f>IF(RawData!F526="","",RawData!F526)</f>
        <v>143.44999999999999</v>
      </c>
      <c r="D139">
        <f>IF(RawData!F527="","",RawData!F527)</f>
        <v>2860.35</v>
      </c>
      <c r="E139">
        <f>IF(OR(C139="",D139=""),"",C139+D139)</f>
        <v>3003.7999999999997</v>
      </c>
    </row>
    <row r="140" spans="1:5" x14ac:dyDescent="0.25">
      <c r="A140" t="str">
        <f>IF(B140=$B$4,"ATM","")</f>
        <v/>
      </c>
      <c r="B140">
        <v>58000</v>
      </c>
      <c r="C140">
        <f>IF(RawData!F528="","",RawData!F528)</f>
        <v>132</v>
      </c>
      <c r="D140">
        <f>IF(RawData!F529="","",RawData!F529)</f>
        <v>3271</v>
      </c>
      <c r="E140">
        <f>IF(OR(C140="",D140=""),"",C140+D140)</f>
        <v>3403</v>
      </c>
    </row>
    <row r="141" spans="1:5" x14ac:dyDescent="0.25">
      <c r="A141" t="str">
        <f>IF(B141=$B$4,"ATM","")</f>
        <v/>
      </c>
      <c r="B141">
        <v>58100</v>
      </c>
      <c r="C141">
        <f>IF(RawData!F530="","",RawData!F530)</f>
        <v>124.6</v>
      </c>
      <c r="D141">
        <f>IF(RawData!F531="","",RawData!F531)</f>
        <v>3697.9</v>
      </c>
      <c r="E141">
        <f>IF(OR(C141="",D141=""),"",C141+D141)</f>
        <v>3822.5</v>
      </c>
    </row>
    <row r="142" spans="1:5" x14ac:dyDescent="0.25">
      <c r="A142" t="str">
        <f>IF(B142=$B$4,"ATM","")</f>
        <v/>
      </c>
      <c r="B142">
        <v>58200</v>
      </c>
      <c r="C142">
        <f>IF(RawData!F532="","",RawData!F532)</f>
        <v>116.75</v>
      </c>
      <c r="D142">
        <f>IF(RawData!F533="","",RawData!F533)</f>
        <v>3647.1</v>
      </c>
      <c r="E142">
        <f>IF(OR(C142="",D142=""),"",C142+D142)</f>
        <v>3763.85</v>
      </c>
    </row>
    <row r="143" spans="1:5" x14ac:dyDescent="0.25">
      <c r="A143" t="str">
        <f>IF(B143=$B$4,"ATM","")</f>
        <v/>
      </c>
      <c r="B143">
        <v>58300</v>
      </c>
      <c r="C143">
        <f>IF(RawData!F534="","",RawData!F534)</f>
        <v>108</v>
      </c>
      <c r="D143">
        <f>IF(RawData!F535="","",RawData!F535)</f>
        <v>3545.05</v>
      </c>
      <c r="E143">
        <f>IF(OR(C143="",D143=""),"",C143+D143)</f>
        <v>3653.05</v>
      </c>
    </row>
    <row r="144" spans="1:5" x14ac:dyDescent="0.25">
      <c r="A144" t="str">
        <f>IF(B144=$B$4,"ATM","")</f>
        <v/>
      </c>
      <c r="B144">
        <v>58400</v>
      </c>
      <c r="C144">
        <f>IF(RawData!F536="","",RawData!F536)</f>
        <v>99.7</v>
      </c>
      <c r="D144">
        <f>IF(RawData!F537="","",RawData!F537)</f>
        <v>3784.65</v>
      </c>
      <c r="E144">
        <f>IF(OR(C144="",D144=""),"",C144+D144)</f>
        <v>3884.35</v>
      </c>
    </row>
    <row r="145" spans="1:5" x14ac:dyDescent="0.25">
      <c r="A145" t="str">
        <f>IF(B145=$B$4,"ATM","")</f>
        <v/>
      </c>
      <c r="B145">
        <v>58500</v>
      </c>
      <c r="C145">
        <f>IF(RawData!F538="","",RawData!F538)</f>
        <v>93.6</v>
      </c>
      <c r="D145">
        <f>IF(RawData!F539="","",RawData!F539)</f>
        <v>4045.35</v>
      </c>
      <c r="E145">
        <f>IF(OR(C145="",D145=""),"",C145+D145)</f>
        <v>4138.95</v>
      </c>
    </row>
    <row r="146" spans="1:5" x14ac:dyDescent="0.25">
      <c r="A146" t="str">
        <f>IF(B146=$B$4,"ATM","")</f>
        <v/>
      </c>
      <c r="B146">
        <v>58600</v>
      </c>
      <c r="C146">
        <f>IF(RawData!F540="","",RawData!F540)</f>
        <v>88.5</v>
      </c>
      <c r="D146">
        <f>IF(RawData!F541="","",RawData!F541)</f>
        <v>3866.85</v>
      </c>
      <c r="E146">
        <f>IF(OR(C146="",D146=""),"",C146+D146)</f>
        <v>3955.35</v>
      </c>
    </row>
    <row r="147" spans="1:5" x14ac:dyDescent="0.25">
      <c r="A147" t="str">
        <f>IF(B147=$B$4,"ATM","")</f>
        <v/>
      </c>
      <c r="B147">
        <v>58700</v>
      </c>
      <c r="C147">
        <f>IF(RawData!F542="","",RawData!F542)</f>
        <v>82</v>
      </c>
      <c r="D147">
        <f>IF(RawData!F543="","",RawData!F543)</f>
        <v>3970.85</v>
      </c>
      <c r="E147">
        <f>IF(OR(C147="",D147=""),"",C147+D147)</f>
        <v>4052.85</v>
      </c>
    </row>
    <row r="148" spans="1:5" x14ac:dyDescent="0.25">
      <c r="A148" t="str">
        <f>IF(B148=$B$4,"ATM","")</f>
        <v/>
      </c>
      <c r="B148">
        <v>58800</v>
      </c>
      <c r="C148">
        <f>IF(RawData!F544="","",RawData!F544)</f>
        <v>76.099999999999994</v>
      </c>
      <c r="D148">
        <f>IF(RawData!F545="","",RawData!F545)</f>
        <v>4027.15</v>
      </c>
      <c r="E148">
        <f>IF(OR(C148="",D148=""),"",C148+D148)</f>
        <v>4103.25</v>
      </c>
    </row>
    <row r="149" spans="1:5" x14ac:dyDescent="0.25">
      <c r="A149" t="str">
        <f>IF(B149=$B$4,"ATM","")</f>
        <v/>
      </c>
      <c r="B149">
        <v>58900</v>
      </c>
      <c r="C149">
        <f>IF(RawData!F546="","",RawData!F546)</f>
        <v>71.2</v>
      </c>
      <c r="D149">
        <f>IF(RawData!F547="","",RawData!F547)</f>
        <v>3573.9</v>
      </c>
      <c r="E149">
        <f>IF(OR(C149="",D149=""),"",C149+D149)</f>
        <v>3645.1</v>
      </c>
    </row>
    <row r="150" spans="1:5" x14ac:dyDescent="0.25">
      <c r="A150" t="str">
        <f>IF(B150=$B$4,"ATM","")</f>
        <v/>
      </c>
      <c r="B150">
        <v>59000</v>
      </c>
      <c r="C150">
        <f>IF(RawData!F548="","",RawData!F548)</f>
        <v>66.150000000000006</v>
      </c>
      <c r="D150">
        <f>IF(RawData!F549="","",RawData!F549)</f>
        <v>4230</v>
      </c>
      <c r="E150">
        <f>IF(OR(C150="",D150=""),"",C150+D150)</f>
        <v>4296.1499999999996</v>
      </c>
    </row>
    <row r="151" spans="1:5" x14ac:dyDescent="0.25">
      <c r="A151" t="str">
        <f>IF(B151=$B$4,"ATM","")</f>
        <v/>
      </c>
      <c r="B151">
        <v>59100</v>
      </c>
      <c r="C151">
        <f>IF(RawData!F550="","",RawData!F550)</f>
        <v>63.1</v>
      </c>
      <c r="D151">
        <f>IF(RawData!F551="","",RawData!F551)</f>
        <v>3746.65</v>
      </c>
      <c r="E151">
        <f>IF(OR(C151="",D151=""),"",C151+D151)</f>
        <v>3809.75</v>
      </c>
    </row>
    <row r="152" spans="1:5" x14ac:dyDescent="0.25">
      <c r="A152" t="str">
        <f>IF(B152=$B$4,"ATM","")</f>
        <v/>
      </c>
      <c r="B152">
        <v>59200</v>
      </c>
      <c r="C152">
        <f>IF(RawData!F552="","",RawData!F552)</f>
        <v>59.35</v>
      </c>
      <c r="D152">
        <f>IF(RawData!F553="","",RawData!F553)</f>
        <v>3723.05</v>
      </c>
      <c r="E152">
        <f>IF(OR(C152="",D152=""),"",C152+D152)</f>
        <v>3782.4</v>
      </c>
    </row>
    <row r="153" spans="1:5" x14ac:dyDescent="0.25">
      <c r="A153" t="str">
        <f>IF(B153=$B$4,"ATM","")</f>
        <v/>
      </c>
      <c r="B153">
        <v>59300</v>
      </c>
      <c r="C153">
        <f>IF(RawData!F554="","",RawData!F554)</f>
        <v>55.8</v>
      </c>
      <c r="D153">
        <f>IF(RawData!F555="","",RawData!F555)</f>
        <v>3164.65</v>
      </c>
      <c r="E153">
        <f>IF(OR(C153="",D153=""),"",C153+D153)</f>
        <v>3220.4500000000003</v>
      </c>
    </row>
    <row r="154" spans="1:5" x14ac:dyDescent="0.25">
      <c r="A154" t="str">
        <f>IF(B154=$B$4,"ATM","")</f>
        <v/>
      </c>
      <c r="B154">
        <v>59400</v>
      </c>
      <c r="C154">
        <f>IF(RawData!F556="","",RawData!F556)</f>
        <v>50.65</v>
      </c>
      <c r="D154">
        <f>IF(RawData!F557="","",RawData!F557)</f>
        <v>4259.75</v>
      </c>
      <c r="E154">
        <f>IF(OR(C154="",D154=""),"",C154+D154)</f>
        <v>4310.3999999999996</v>
      </c>
    </row>
    <row r="155" spans="1:5" x14ac:dyDescent="0.25">
      <c r="A155" t="str">
        <f>IF(B155=$B$4,"ATM","")</f>
        <v/>
      </c>
      <c r="B155">
        <v>59500</v>
      </c>
      <c r="C155">
        <f>IF(RawData!F558="","",RawData!F558)</f>
        <v>48.45</v>
      </c>
      <c r="D155">
        <f>IF(RawData!F559="","",RawData!F559)</f>
        <v>5037</v>
      </c>
      <c r="E155">
        <f>IF(OR(C155="",D155=""),"",C155+D155)</f>
        <v>5085.45</v>
      </c>
    </row>
    <row r="156" spans="1:5" x14ac:dyDescent="0.25">
      <c r="A156" t="str">
        <f>IF(B156=$B$4,"ATM","")</f>
        <v/>
      </c>
      <c r="B156">
        <v>59600</v>
      </c>
      <c r="C156">
        <f>IF(RawData!F560="","",RawData!F560)</f>
        <v>44.2</v>
      </c>
      <c r="D156">
        <f>IF(RawData!F561="","",RawData!F561)</f>
        <v>3627.55</v>
      </c>
      <c r="E156">
        <f>IF(OR(C156="",D156=""),"",C156+D156)</f>
        <v>3671.75</v>
      </c>
    </row>
    <row r="157" spans="1:5" x14ac:dyDescent="0.25">
      <c r="A157" t="str">
        <f>IF(B157=$B$4,"ATM","")</f>
        <v/>
      </c>
      <c r="B157">
        <v>59700</v>
      </c>
      <c r="C157">
        <f>IF(RawData!F562="","",RawData!F562)</f>
        <v>42.25</v>
      </c>
      <c r="D157">
        <f>IF(RawData!F563="","",RawData!F563)</f>
        <v>3620</v>
      </c>
      <c r="E157">
        <f>IF(OR(C157="",D157=""),"",C157+D157)</f>
        <v>3662.25</v>
      </c>
    </row>
    <row r="158" spans="1:5" x14ac:dyDescent="0.25">
      <c r="A158" t="str">
        <f>IF(B158=$B$4,"ATM","")</f>
        <v/>
      </c>
      <c r="B158">
        <v>59800</v>
      </c>
      <c r="C158">
        <f>IF(RawData!F564="","",RawData!F564)</f>
        <v>39.25</v>
      </c>
      <c r="D158">
        <f>IF(RawData!F565="","",RawData!F565)</f>
        <v>3280</v>
      </c>
      <c r="E158">
        <f>IF(OR(C158="",D158=""),"",C158+D158)</f>
        <v>3319.25</v>
      </c>
    </row>
    <row r="159" spans="1:5" x14ac:dyDescent="0.25">
      <c r="A159" t="str">
        <f>IF(B159=$B$4,"ATM","")</f>
        <v/>
      </c>
      <c r="B159">
        <v>59900</v>
      </c>
      <c r="C159">
        <f>IF(RawData!F566="","",RawData!F566)</f>
        <v>38.4</v>
      </c>
      <c r="D159">
        <f>IF(RawData!F567="","",RawData!F567)</f>
        <v>3649.85</v>
      </c>
      <c r="E159">
        <f>IF(OR(C159="",D159=""),"",C159+D159)</f>
        <v>3688.25</v>
      </c>
    </row>
    <row r="160" spans="1:5" x14ac:dyDescent="0.25">
      <c r="A160" t="str">
        <f>IF(B160=$B$4,"ATM","")</f>
        <v/>
      </c>
      <c r="B160">
        <v>60000</v>
      </c>
      <c r="C160">
        <f>IF(RawData!F568="","",RawData!F568)</f>
        <v>34.85</v>
      </c>
      <c r="D160">
        <f>IF(RawData!F569="","",RawData!F569)</f>
        <v>5191.7</v>
      </c>
      <c r="E160">
        <f>IF(OR(C160="",D160=""),"",C160+D160)</f>
        <v>5226.55</v>
      </c>
    </row>
    <row r="161" spans="1:5" x14ac:dyDescent="0.25">
      <c r="A161" t="str">
        <f>IF(B161=$B$4,"ATM","")</f>
        <v/>
      </c>
      <c r="B161">
        <v>60100</v>
      </c>
      <c r="C161">
        <f>IF(RawData!F570="","",RawData!F570)</f>
        <v>32.049999999999997</v>
      </c>
      <c r="D161">
        <f>IF(RawData!F571="","",RawData!F571)</f>
        <v>4892.5</v>
      </c>
      <c r="E161">
        <f>IF(OR(C161="",D161=""),"",C161+D161)</f>
        <v>4924.55</v>
      </c>
    </row>
    <row r="162" spans="1:5" x14ac:dyDescent="0.25">
      <c r="A162" t="str">
        <f>IF(B162=$B$4,"ATM","")</f>
        <v/>
      </c>
      <c r="B162">
        <v>60200</v>
      </c>
      <c r="C162">
        <f>IF(RawData!F572="","",RawData!F572)</f>
        <v>30.9</v>
      </c>
      <c r="D162">
        <f>IF(RawData!F573="","",RawData!F573)</f>
        <v>4220</v>
      </c>
      <c r="E162">
        <f>IF(OR(C162="",D162=""),"",C162+D162)</f>
        <v>4250.8999999999996</v>
      </c>
    </row>
    <row r="163" spans="1:5" x14ac:dyDescent="0.25">
      <c r="A163" t="str">
        <f>IF(B163=$B$4,"ATM","")</f>
        <v/>
      </c>
      <c r="B163">
        <v>60300</v>
      </c>
      <c r="C163">
        <f>IF(RawData!F574="","",RawData!F574)</f>
        <v>29</v>
      </c>
      <c r="D163">
        <f>IF(RawData!F575="","",RawData!F575)</f>
        <v>3930.55</v>
      </c>
      <c r="E163">
        <f>IF(OR(C163="",D163=""),"",C163+D163)</f>
        <v>3959.55</v>
      </c>
    </row>
    <row r="164" spans="1:5" x14ac:dyDescent="0.25">
      <c r="A164" t="str">
        <f>IF(B164=$B$4,"ATM","")</f>
        <v/>
      </c>
      <c r="B164">
        <v>60400</v>
      </c>
      <c r="C164">
        <f>IF(RawData!F576="","",RawData!F576)</f>
        <v>28.25</v>
      </c>
      <c r="D164">
        <f>IF(RawData!F577="","",RawData!F577)</f>
        <v>4130</v>
      </c>
      <c r="E164">
        <f>IF(OR(C164="",D164=""),"",C164+D164)</f>
        <v>4158.25</v>
      </c>
    </row>
    <row r="165" spans="1:5" x14ac:dyDescent="0.25">
      <c r="A165" t="str">
        <f>IF(B165=$B$4,"ATM","")</f>
        <v/>
      </c>
      <c r="B165">
        <v>60500</v>
      </c>
      <c r="C165">
        <f>IF(RawData!F578="","",RawData!F578)</f>
        <v>24</v>
      </c>
      <c r="D165">
        <f>IF(RawData!F579="","",RawData!F579)</f>
        <v>5342.75</v>
      </c>
      <c r="E165">
        <f>IF(OR(C165="",D165=""),"",C165+D165)</f>
        <v>5366.75</v>
      </c>
    </row>
    <row r="166" spans="1:5" x14ac:dyDescent="0.25">
      <c r="A166" t="str">
        <f>IF(B166=$B$4,"ATM","")</f>
        <v/>
      </c>
      <c r="B166">
        <v>60600</v>
      </c>
      <c r="C166">
        <f>IF(RawData!F580="","",RawData!F580)</f>
        <v>24.3</v>
      </c>
      <c r="D166">
        <f>IF(RawData!F581="","",RawData!F581)</f>
        <v>5117.6000000000004</v>
      </c>
      <c r="E166">
        <f>IF(OR(C166="",D166=""),"",C166+D166)</f>
        <v>5141.9000000000005</v>
      </c>
    </row>
    <row r="167" spans="1:5" x14ac:dyDescent="0.25">
      <c r="A167" t="str">
        <f>IF(B167=$B$4,"ATM","")</f>
        <v/>
      </c>
      <c r="B167">
        <v>60700</v>
      </c>
      <c r="C167">
        <f>IF(RawData!F582="","",RawData!F582)</f>
        <v>22.3</v>
      </c>
      <c r="D167">
        <f>IF(RawData!F583="","",RawData!F583)</f>
        <v>4710.3999999999996</v>
      </c>
      <c r="E167">
        <f>IF(OR(C167="",D167=""),"",C167+D167)</f>
        <v>4732.7</v>
      </c>
    </row>
    <row r="168" spans="1:5" x14ac:dyDescent="0.25">
      <c r="A168" t="str">
        <f>IF(B168=$B$4,"ATM","")</f>
        <v/>
      </c>
      <c r="B168">
        <v>60800</v>
      </c>
      <c r="C168">
        <f>IF(RawData!F584="","",RawData!F584)</f>
        <v>22.4</v>
      </c>
      <c r="D168">
        <f>IF(RawData!F585="","",RawData!F585)</f>
        <v>6000</v>
      </c>
      <c r="E168">
        <f>IF(OR(C168="",D168=""),"",C168+D168)</f>
        <v>6022.4</v>
      </c>
    </row>
    <row r="169" spans="1:5" x14ac:dyDescent="0.25">
      <c r="A169" t="str">
        <f>IF(B169=$B$4,"ATM","")</f>
        <v/>
      </c>
      <c r="B169">
        <v>60900</v>
      </c>
      <c r="C169">
        <f>IF(RawData!F586="","",RawData!F586)</f>
        <v>20.85</v>
      </c>
      <c r="D169">
        <f>IF(RawData!F587="","",RawData!F587)</f>
        <v>7396.6</v>
      </c>
      <c r="E169">
        <f>IF(OR(C169="",D169=""),"",C169+D169)</f>
        <v>7417.4500000000007</v>
      </c>
    </row>
    <row r="170" spans="1:5" x14ac:dyDescent="0.25">
      <c r="A170" t="str">
        <f>IF(B170=$B$4,"ATM","")</f>
        <v/>
      </c>
      <c r="B170">
        <v>61000</v>
      </c>
      <c r="C170">
        <f>IF(RawData!F588="","",RawData!F588)</f>
        <v>16.600000000000001</v>
      </c>
      <c r="D170">
        <f>IF(RawData!F589="","",RawData!F589)</f>
        <v>6129.2</v>
      </c>
      <c r="E170">
        <f>IF(OR(C170="",D170=""),"",C170+D170)</f>
        <v>6145.8</v>
      </c>
    </row>
    <row r="171" spans="1:5" x14ac:dyDescent="0.25">
      <c r="A171" t="str">
        <f>IF(B171=$B$4,"ATM","")</f>
        <v/>
      </c>
      <c r="B171">
        <v>61100</v>
      </c>
      <c r="C171">
        <f>IF(RawData!F590="","",RawData!F590)</f>
        <v>18.25</v>
      </c>
      <c r="D171">
        <f>IF(RawData!F591="","",RawData!F591)</f>
        <v>8733.6</v>
      </c>
      <c r="E171">
        <f>IF(OR(C171="",D171=""),"",C171+D171)</f>
        <v>8751.85</v>
      </c>
    </row>
    <row r="172" spans="1:5" x14ac:dyDescent="0.25">
      <c r="A172" t="str">
        <f>IF(B172=$B$4,"ATM","")</f>
        <v/>
      </c>
      <c r="B172">
        <v>61200</v>
      </c>
      <c r="C172">
        <f>IF(RawData!F592="","",RawData!F592)</f>
        <v>17.95</v>
      </c>
      <c r="D172">
        <f>IF(RawData!F593="","",RawData!F593)</f>
        <v>8804.9</v>
      </c>
      <c r="E172">
        <f>IF(OR(C172="",D172=""),"",C172+D172)</f>
        <v>8822.85</v>
      </c>
    </row>
    <row r="173" spans="1:5" x14ac:dyDescent="0.25">
      <c r="A173" t="str">
        <f>IF(B173=$B$4,"ATM","")</f>
        <v/>
      </c>
      <c r="B173">
        <v>61300</v>
      </c>
      <c r="C173">
        <f>IF(RawData!F594="","",RawData!F594)</f>
        <v>15.45</v>
      </c>
      <c r="D173">
        <f>IF(RawData!F595="","",RawData!F595)</f>
        <v>3600</v>
      </c>
      <c r="E173">
        <f>IF(OR(C173="",D173=""),"",C173+D173)</f>
        <v>3615.45</v>
      </c>
    </row>
    <row r="174" spans="1:5" x14ac:dyDescent="0.25">
      <c r="A174" t="str">
        <f>IF(B174=$B$4,"ATM","")</f>
        <v/>
      </c>
      <c r="B174">
        <v>61400</v>
      </c>
      <c r="C174">
        <f>IF(RawData!F596="","",RawData!F596)</f>
        <v>16.05</v>
      </c>
      <c r="D174">
        <f>IF(RawData!F597="","",RawData!F597)</f>
        <v>6667.6</v>
      </c>
      <c r="E174">
        <f>IF(OR(C174="",D174=""),"",C174+D174)</f>
        <v>6683.6500000000005</v>
      </c>
    </row>
    <row r="175" spans="1:5" x14ac:dyDescent="0.25">
      <c r="A175" t="str">
        <f>IF(B175=$B$4,"ATM","")</f>
        <v/>
      </c>
      <c r="B175">
        <v>61500</v>
      </c>
      <c r="C175">
        <f>IF(RawData!F598="","",RawData!F598)</f>
        <v>13.6</v>
      </c>
      <c r="D175">
        <f>IF(RawData!F599="","",RawData!F599)</f>
        <v>6320.75</v>
      </c>
      <c r="E175">
        <f>IF(OR(C175="",D175=""),"",C175+D175)</f>
        <v>6334.35</v>
      </c>
    </row>
    <row r="176" spans="1:5" x14ac:dyDescent="0.25">
      <c r="A176" t="str">
        <f>IF(B176=$B$4,"ATM","")</f>
        <v/>
      </c>
      <c r="B176">
        <v>61600</v>
      </c>
      <c r="C176">
        <f>IF(RawData!F600="","",RawData!F600)</f>
        <v>13.1</v>
      </c>
      <c r="D176">
        <f>IF(RawData!F601="","",RawData!F601)</f>
        <v>6857.3</v>
      </c>
      <c r="E176">
        <f>IF(OR(C176="",D176=""),"",C176+D176)</f>
        <v>6870.4000000000005</v>
      </c>
    </row>
    <row r="177" spans="1:5" x14ac:dyDescent="0.25">
      <c r="A177" t="str">
        <f>IF(B177=$B$4,"ATM","")</f>
        <v/>
      </c>
      <c r="B177">
        <v>61700</v>
      </c>
      <c r="C177">
        <f>IF(RawData!F602="","",RawData!F602)</f>
        <v>13.9</v>
      </c>
      <c r="D177">
        <f>IF(RawData!F603="","",RawData!F603)</f>
        <v>6951.45</v>
      </c>
      <c r="E177">
        <f>IF(OR(C177="",D177=""),"",C177+D177)</f>
        <v>6965.3499999999995</v>
      </c>
    </row>
    <row r="178" spans="1:5" x14ac:dyDescent="0.25">
      <c r="A178" t="str">
        <f>IF(B178=$B$4,"ATM","")</f>
        <v/>
      </c>
      <c r="B178">
        <v>61800</v>
      </c>
      <c r="C178">
        <f>IF(RawData!F604="","",RawData!F604)</f>
        <v>13.2</v>
      </c>
      <c r="D178">
        <f>IF(RawData!F605="","",RawData!F605)</f>
        <v>7051</v>
      </c>
      <c r="E178">
        <f>IF(OR(C178="",D178=""),"",C178+D178)</f>
        <v>7064.2</v>
      </c>
    </row>
    <row r="179" spans="1:5" x14ac:dyDescent="0.25">
      <c r="A179" t="str">
        <f>IF(B179=$B$4,"ATM","")</f>
        <v/>
      </c>
      <c r="B179">
        <v>61900</v>
      </c>
      <c r="C179">
        <f>IF(RawData!F606="","",RawData!F606)</f>
        <v>12.9</v>
      </c>
      <c r="D179">
        <f>IF(RawData!F607="","",RawData!F607)</f>
        <v>7146.4</v>
      </c>
      <c r="E179">
        <f>IF(OR(C179="",D179=""),"",C179+D179)</f>
        <v>7159.2999999999993</v>
      </c>
    </row>
    <row r="180" spans="1:5" x14ac:dyDescent="0.25">
      <c r="A180" t="str">
        <f>IF(B180=$B$4,"ATM","")</f>
        <v/>
      </c>
      <c r="B180">
        <v>62000</v>
      </c>
      <c r="C180">
        <f>IF(RawData!F608="","",RawData!F608)</f>
        <v>11.7</v>
      </c>
      <c r="D180">
        <f>IF(RawData!F609="","",RawData!F609)</f>
        <v>7092.75</v>
      </c>
      <c r="E180">
        <f>IF(OR(C180="",D180=""),"",C180+D180)</f>
        <v>7104.45</v>
      </c>
    </row>
    <row r="181" spans="1:5" x14ac:dyDescent="0.25">
      <c r="A181" t="str">
        <f>IF(B181=$B$4,"ATM","")</f>
        <v/>
      </c>
      <c r="B181">
        <v>62100</v>
      </c>
      <c r="C181">
        <f>IF(RawData!F610="","",RawData!F610)</f>
        <v>12.2</v>
      </c>
      <c r="D181">
        <f>IF(RawData!F611="","",RawData!F611)</f>
        <v>7339.75</v>
      </c>
      <c r="E181">
        <f>IF(OR(C181="",D181=""),"",C181+D181)</f>
        <v>7351.95</v>
      </c>
    </row>
    <row r="182" spans="1:5" x14ac:dyDescent="0.25">
      <c r="A182" t="str">
        <f>IF(B182=$B$4,"ATM","")</f>
        <v/>
      </c>
      <c r="B182">
        <v>62200</v>
      </c>
      <c r="C182">
        <f>IF(RawData!F612="","",RawData!F612)</f>
        <v>10.95</v>
      </c>
      <c r="D182">
        <f>IF(RawData!F613="","",RawData!F613)</f>
        <v>7439.85</v>
      </c>
      <c r="E182">
        <f>IF(OR(C182="",D182=""),"",C182+D182)</f>
        <v>7450.8</v>
      </c>
    </row>
    <row r="183" spans="1:5" x14ac:dyDescent="0.25">
      <c r="A183" t="str">
        <f>IF(B183=$B$4,"ATM","")</f>
        <v/>
      </c>
      <c r="B183">
        <v>62300</v>
      </c>
      <c r="C183">
        <f>IF(RawData!F614="","",RawData!F614)</f>
        <v>10.65</v>
      </c>
      <c r="D183">
        <f>IF(RawData!F615="","",RawData!F615)</f>
        <v>7536.9</v>
      </c>
      <c r="E183">
        <f>IF(OR(C183="",D183=""),"",C183+D183)</f>
        <v>7547.5499999999993</v>
      </c>
    </row>
    <row r="184" spans="1:5" x14ac:dyDescent="0.25">
      <c r="A184" t="str">
        <f>IF(B184=$B$4,"ATM","")</f>
        <v/>
      </c>
      <c r="B184">
        <v>62400</v>
      </c>
      <c r="C184">
        <f>IF(RawData!F616="","",RawData!F616)</f>
        <v>9.9499999999999993</v>
      </c>
      <c r="D184">
        <f>IF(RawData!F617="","",RawData!F617)</f>
        <v>7634.05</v>
      </c>
      <c r="E184">
        <f>IF(OR(C184="",D184=""),"",C184+D184)</f>
        <v>7644</v>
      </c>
    </row>
    <row r="185" spans="1:5" x14ac:dyDescent="0.25">
      <c r="A185" t="str">
        <f>IF(B185=$B$4,"ATM","")</f>
        <v/>
      </c>
      <c r="B185">
        <v>62500</v>
      </c>
      <c r="C185">
        <f>IF(RawData!F618="","",RawData!F618)</f>
        <v>9.1999999999999993</v>
      </c>
      <c r="D185">
        <f>IF(RawData!F619="","",RawData!F619)</f>
        <v>8000</v>
      </c>
      <c r="E185">
        <f>IF(OR(C185="",D185=""),"",C185+D185)</f>
        <v>8009.2</v>
      </c>
    </row>
    <row r="186" spans="1:5" x14ac:dyDescent="0.25">
      <c r="A186" t="str">
        <f>IF(B186=$B$4,"ATM","")</f>
        <v/>
      </c>
      <c r="B186">
        <v>62600</v>
      </c>
      <c r="C186">
        <f>IF(RawData!F620="","",RawData!F620)</f>
        <v>9.1999999999999993</v>
      </c>
      <c r="D186">
        <f>IF(RawData!F621="","",RawData!F621)</f>
        <v>9296.1</v>
      </c>
      <c r="E186">
        <f>IF(OR(C186="",D186=""),"",C186+D186)</f>
        <v>9305.3000000000011</v>
      </c>
    </row>
    <row r="187" spans="1:5" x14ac:dyDescent="0.25">
      <c r="A187" t="str">
        <f>IF(B187=$B$4,"ATM","")</f>
        <v/>
      </c>
      <c r="B187">
        <v>62700</v>
      </c>
      <c r="C187">
        <f>IF(RawData!F622="","",RawData!F622)</f>
        <v>8.8000000000000007</v>
      </c>
      <c r="D187">
        <f>IF(RawData!F623="","",RawData!F623)</f>
        <v>9390.5</v>
      </c>
      <c r="E187">
        <f>IF(OR(C187="",D187=""),"",C187+D187)</f>
        <v>9399.2999999999993</v>
      </c>
    </row>
    <row r="188" spans="1:5" x14ac:dyDescent="0.25">
      <c r="A188" t="str">
        <f>IF(B188=$B$4,"ATM","")</f>
        <v/>
      </c>
      <c r="B188">
        <v>62800</v>
      </c>
      <c r="C188">
        <f>IF(RawData!F624="","",RawData!F624)</f>
        <v>7.85</v>
      </c>
      <c r="D188">
        <f>IF(RawData!F625="","",RawData!F625)</f>
        <v>9484.15</v>
      </c>
      <c r="E188">
        <f>IF(OR(C188="",D188=""),"",C188+D188)</f>
        <v>9492</v>
      </c>
    </row>
    <row r="189" spans="1:5" x14ac:dyDescent="0.25">
      <c r="A189" t="str">
        <f>IF(B189=$B$4,"ATM","")</f>
        <v/>
      </c>
      <c r="B189">
        <v>62900</v>
      </c>
      <c r="C189">
        <f>IF(RawData!F626="","",RawData!F626)</f>
        <v>8.35</v>
      </c>
      <c r="D189">
        <f>IF(RawData!F627="","",RawData!F627)</f>
        <v>6473.5</v>
      </c>
      <c r="E189">
        <f>IF(OR(C189="",D189=""),"",C189+D189)</f>
        <v>6481.85</v>
      </c>
    </row>
    <row r="190" spans="1:5" x14ac:dyDescent="0.25">
      <c r="A190" t="str">
        <f>IF(B190=$B$4,"ATM","")</f>
        <v/>
      </c>
      <c r="B190">
        <v>63000</v>
      </c>
      <c r="C190">
        <f>IF(RawData!F628="","",RawData!F628)</f>
        <v>8.4</v>
      </c>
      <c r="D190">
        <f>IF(RawData!F629="","",RawData!F629)</f>
        <v>8060.25</v>
      </c>
      <c r="E190">
        <f>IF(OR(C190="",D190=""),"",C190+D190)</f>
        <v>8068.65</v>
      </c>
    </row>
    <row r="191" spans="1:5" x14ac:dyDescent="0.25">
      <c r="A191" t="str">
        <f>IF(B191=$B$4,"ATM","")</f>
        <v/>
      </c>
      <c r="B191">
        <v>63100</v>
      </c>
      <c r="C191">
        <f>IF(RawData!F630="","",RawData!F630)</f>
        <v>8</v>
      </c>
      <c r="D191">
        <f>IF(RawData!F631="","",RawData!F631)</f>
        <v>6570</v>
      </c>
      <c r="E191">
        <f>IF(OR(C191="",D191=""),"",C191+D191)</f>
        <v>6578</v>
      </c>
    </row>
    <row r="192" spans="1:5" x14ac:dyDescent="0.25">
      <c r="A192" t="str">
        <f>IF(B192=$B$4,"ATM","")</f>
        <v/>
      </c>
      <c r="B192">
        <v>63200</v>
      </c>
      <c r="C192">
        <f>IF(RawData!F632="","",RawData!F632)</f>
        <v>7.9</v>
      </c>
      <c r="D192">
        <f>IF(RawData!F633="","",RawData!F633)</f>
        <v>9865.35</v>
      </c>
      <c r="E192">
        <f>IF(OR(C192="",D192=""),"",C192+D192)</f>
        <v>9873.25</v>
      </c>
    </row>
    <row r="193" spans="1:5" x14ac:dyDescent="0.25">
      <c r="A193" t="str">
        <f>IF(B193=$B$4,"ATM","")</f>
        <v/>
      </c>
      <c r="B193">
        <v>63300</v>
      </c>
      <c r="C193">
        <f>IF(RawData!F634="","",RawData!F634)</f>
        <v>7.3</v>
      </c>
      <c r="D193">
        <f>IF(RawData!F635="","",RawData!F635)</f>
        <v>9961</v>
      </c>
      <c r="E193">
        <f>IF(OR(C193="",D193=""),"",C193+D193)</f>
        <v>9968.2999999999993</v>
      </c>
    </row>
    <row r="194" spans="1:5" x14ac:dyDescent="0.25">
      <c r="A194" t="str">
        <f>IF(B194=$B$4,"ATM","")</f>
        <v/>
      </c>
      <c r="B194">
        <v>63400</v>
      </c>
      <c r="C194">
        <f>IF(RawData!F636="","",RawData!F636)</f>
        <v>7.45</v>
      </c>
      <c r="D194">
        <f>IF(RawData!F637="","",RawData!F637)</f>
        <v>10056.450000000001</v>
      </c>
      <c r="E194">
        <f>IF(OR(C194="",D194=""),"",C194+D194)</f>
        <v>10063.900000000001</v>
      </c>
    </row>
    <row r="195" spans="1:5" x14ac:dyDescent="0.25">
      <c r="A195" t="str">
        <f>IF(B195=$B$4,"ATM","")</f>
        <v/>
      </c>
      <c r="B195">
        <v>63500</v>
      </c>
      <c r="C195">
        <f>IF(RawData!F638="","",RawData!F638)</f>
        <v>6.35</v>
      </c>
      <c r="D195">
        <f>IF(RawData!F639="","",RawData!F639)</f>
        <v>7069.55</v>
      </c>
      <c r="E195">
        <f>IF(OR(C195="",D195=""),"",C195+D195)</f>
        <v>7075.9000000000005</v>
      </c>
    </row>
    <row r="196" spans="1:5" x14ac:dyDescent="0.25">
      <c r="A196" t="str">
        <f>IF(B196=$B$4,"ATM","")</f>
        <v/>
      </c>
      <c r="B196">
        <v>63600</v>
      </c>
      <c r="C196">
        <f>IF(RawData!F640="","",RawData!F640)</f>
        <v>6</v>
      </c>
      <c r="D196">
        <f>IF(RawData!F641="","",RawData!F641)</f>
        <v>10249.1</v>
      </c>
      <c r="E196">
        <f>IF(OR(C196="",D196=""),"",C196+D196)</f>
        <v>10255.1</v>
      </c>
    </row>
    <row r="197" spans="1:5" x14ac:dyDescent="0.25">
      <c r="A197" t="str">
        <f>IF(B197=$B$4,"ATM","")</f>
        <v/>
      </c>
      <c r="B197">
        <v>63700</v>
      </c>
      <c r="C197">
        <f>IF(RawData!F642="","",RawData!F642)</f>
        <v>6.7</v>
      </c>
      <c r="D197">
        <f>IF(RawData!F643="","",RawData!F643)</f>
        <v>10342.9</v>
      </c>
      <c r="E197">
        <f>IF(OR(C197="",D197=""),"",C197+D197)</f>
        <v>10349.6</v>
      </c>
    </row>
    <row r="198" spans="1:5" x14ac:dyDescent="0.25">
      <c r="A198" t="str">
        <f>IF(B198=$B$4,"ATM","")</f>
        <v/>
      </c>
      <c r="B198">
        <v>63800</v>
      </c>
      <c r="C198">
        <f>IF(RawData!F644="","",RawData!F644)</f>
        <v>5.45</v>
      </c>
      <c r="D198">
        <f>IF(RawData!F645="","",RawData!F645)</f>
        <v>10438.4</v>
      </c>
      <c r="E198">
        <f>IF(OR(C198="",D198=""),"",C198+D198)</f>
        <v>10443.85</v>
      </c>
    </row>
    <row r="199" spans="1:5" x14ac:dyDescent="0.25">
      <c r="A199" t="str">
        <f>IF(B199=$B$4,"ATM","")</f>
        <v/>
      </c>
      <c r="B199">
        <v>63900</v>
      </c>
      <c r="C199">
        <f>IF(RawData!F646="","",RawData!F646)</f>
        <v>6.2</v>
      </c>
      <c r="D199">
        <f>IF(RawData!F647="","",RawData!F647)</f>
        <v>10549.5</v>
      </c>
      <c r="E199">
        <f>IF(OR(C199="",D199=""),"",C199+D199)</f>
        <v>10555.7</v>
      </c>
    </row>
    <row r="200" spans="1:5" x14ac:dyDescent="0.25">
      <c r="A200" t="str">
        <f>IF(B200=$B$4,"ATM","")</f>
        <v/>
      </c>
      <c r="B200">
        <v>64000</v>
      </c>
      <c r="C200">
        <f>IF(RawData!F648="","",RawData!F648)</f>
        <v>4.75</v>
      </c>
      <c r="D200">
        <f>IF(RawData!F649="","",RawData!F649)</f>
        <v>8123.4</v>
      </c>
      <c r="E200">
        <f>IF(OR(C200="",D200=""),"",C200+D200)</f>
        <v>8128.15</v>
      </c>
    </row>
    <row r="201" spans="1:5" x14ac:dyDescent="0.25">
      <c r="A201" t="str">
        <f>IF(B201=$B$4,"ATM","")</f>
        <v/>
      </c>
      <c r="B201">
        <v>64100</v>
      </c>
      <c r="C201">
        <f>IF(RawData!F650="","",RawData!F650)</f>
        <v>5.2</v>
      </c>
      <c r="D201">
        <f>IF(RawData!F651="","",RawData!F651)</f>
        <v>10727.5</v>
      </c>
      <c r="E201">
        <f>IF(OR(C201="",D201=""),"",C201+D201)</f>
        <v>10732.7</v>
      </c>
    </row>
    <row r="202" spans="1:5" x14ac:dyDescent="0.25">
      <c r="A202" t="str">
        <f>IF(B202=$B$4,"ATM","")</f>
        <v/>
      </c>
      <c r="B202">
        <v>64200</v>
      </c>
      <c r="C202">
        <f>IF(RawData!F652="","",RawData!F652)</f>
        <v>4.95</v>
      </c>
      <c r="D202">
        <f>IF(RawData!F653="","",RawData!F653)</f>
        <v>10822.75</v>
      </c>
      <c r="E202">
        <f>IF(OR(C202="",D202=""),"",C202+D202)</f>
        <v>10827.7</v>
      </c>
    </row>
    <row r="203" spans="1:5" x14ac:dyDescent="0.25">
      <c r="A203" t="str">
        <f>IF(B203=$B$4,"ATM","")</f>
        <v/>
      </c>
      <c r="B203">
        <v>64300</v>
      </c>
      <c r="C203">
        <f>IF(RawData!F654="","",RawData!F654)</f>
        <v>4.5</v>
      </c>
      <c r="D203">
        <f>IF(RawData!F655="","",RawData!F655)</f>
        <v>10935.2</v>
      </c>
      <c r="E203">
        <f>IF(OR(C203="",D203=""),"",C203+D203)</f>
        <v>10939.7</v>
      </c>
    </row>
    <row r="204" spans="1:5" x14ac:dyDescent="0.25">
      <c r="A204" t="str">
        <f>IF(B204=$B$4,"ATM","")</f>
        <v/>
      </c>
      <c r="B204">
        <v>64400</v>
      </c>
      <c r="C204">
        <f>IF(RawData!F656="","",RawData!F656)</f>
        <v>4.5</v>
      </c>
      <c r="D204">
        <f>IF(RawData!F657="","",RawData!F657)</f>
        <v>7000.05</v>
      </c>
      <c r="E204">
        <f>IF(OR(C204="",D204=""),"",C204+D204)</f>
        <v>7004.55</v>
      </c>
    </row>
    <row r="205" spans="1:5" x14ac:dyDescent="0.25">
      <c r="A205" t="str">
        <f>IF(B205=$B$4,"ATM","")</f>
        <v/>
      </c>
      <c r="B205">
        <v>64500</v>
      </c>
      <c r="C205">
        <f>IF(RawData!F658="","",RawData!F658)</f>
        <v>4.6500000000000004</v>
      </c>
      <c r="D205">
        <f>IF(RawData!F659="","",RawData!F659)</f>
        <v>11127.6</v>
      </c>
      <c r="E205">
        <f>IF(OR(C205="",D205=""),"",C205+D205)</f>
        <v>11132.25</v>
      </c>
    </row>
    <row r="206" spans="1:5" x14ac:dyDescent="0.25">
      <c r="A206" t="str">
        <f>IF(B206=$B$4,"ATM","")</f>
        <v/>
      </c>
      <c r="B206">
        <v>64600</v>
      </c>
      <c r="C206">
        <f>IF(RawData!F660="","",RawData!F660)</f>
        <v>4.4000000000000004</v>
      </c>
      <c r="D206">
        <f>IF(RawData!F661="","",RawData!F661)</f>
        <v>11223.95</v>
      </c>
      <c r="E206">
        <f>IF(OR(C206="",D206=""),"",C206+D206)</f>
        <v>11228.35</v>
      </c>
    </row>
    <row r="207" spans="1:5" x14ac:dyDescent="0.25">
      <c r="A207" t="str">
        <f>IF(B207=$B$4,"ATM","")</f>
        <v/>
      </c>
      <c r="B207">
        <v>64700</v>
      </c>
      <c r="C207">
        <f>IF(RawData!F662="","",RawData!F662)</f>
        <v>3.7</v>
      </c>
      <c r="D207">
        <f>IF(RawData!F663="","",RawData!F663)</f>
        <v>11320.55</v>
      </c>
      <c r="E207">
        <f>IF(OR(C207="",D207=""),"",C207+D207)</f>
        <v>11324.25</v>
      </c>
    </row>
    <row r="208" spans="1:5" x14ac:dyDescent="0.25">
      <c r="A208" t="str">
        <f>IF(B208=$B$4,"ATM","")</f>
        <v/>
      </c>
      <c r="B208">
        <v>64800</v>
      </c>
      <c r="C208">
        <f>IF(RawData!F664="","",RawData!F664)</f>
        <v>4</v>
      </c>
      <c r="D208">
        <f>IF(RawData!F665="","",RawData!F665)</f>
        <v>11417.5</v>
      </c>
      <c r="E208">
        <f>IF(OR(C208="",D208=""),"",C208+D208)</f>
        <v>11421.5</v>
      </c>
    </row>
    <row r="209" spans="1:5" x14ac:dyDescent="0.25">
      <c r="A209" t="str">
        <f>IF(B209=$B$4,"ATM","")</f>
        <v/>
      </c>
      <c r="B209">
        <v>64900</v>
      </c>
      <c r="C209">
        <f>IF(RawData!F666="","",RawData!F666)</f>
        <v>3.7</v>
      </c>
      <c r="D209">
        <f>IF(RawData!F667="","",RawData!F667)</f>
        <v>11514.05</v>
      </c>
      <c r="E209">
        <f>IF(OR(C209="",D209=""),"",C209+D209)</f>
        <v>11517.75</v>
      </c>
    </row>
    <row r="210" spans="1:5" x14ac:dyDescent="0.25">
      <c r="A210" t="str">
        <f>IF(B210=$B$4,"ATM","")</f>
        <v/>
      </c>
      <c r="B210">
        <v>65000</v>
      </c>
      <c r="C210">
        <f>IF(RawData!F668="","",RawData!F668)</f>
        <v>4.2</v>
      </c>
      <c r="D210">
        <f>IF(RawData!F669="","",RawData!F669)</f>
        <v>9865.4</v>
      </c>
      <c r="E210">
        <f>IF(OR(C210="",D210=""),"",C210+D210)</f>
        <v>9869.6</v>
      </c>
    </row>
    <row r="211" spans="1:5" x14ac:dyDescent="0.25">
      <c r="A211" t="str">
        <f>IF(B211=$B$4,"ATM","")</f>
        <v/>
      </c>
      <c r="B211">
        <v>65100</v>
      </c>
      <c r="C211">
        <f>IF(RawData!F670="","",RawData!F670)</f>
        <v>3.4</v>
      </c>
      <c r="D211">
        <f>IF(RawData!F671="","",RawData!F671)</f>
        <v>10464.85</v>
      </c>
      <c r="E211">
        <f>IF(OR(C211="",D211=""),"",C211+D211)</f>
        <v>10468.25</v>
      </c>
    </row>
    <row r="212" spans="1:5" x14ac:dyDescent="0.25">
      <c r="A212" t="str">
        <f>IF(B212=$B$4,"ATM","")</f>
        <v/>
      </c>
      <c r="B212">
        <v>65200</v>
      </c>
      <c r="C212">
        <f>IF(RawData!F672="","",RawData!F672)</f>
        <v>3.45</v>
      </c>
      <c r="D212">
        <f>IF(RawData!F673="","",RawData!F673)</f>
        <v>10572.45</v>
      </c>
      <c r="E212">
        <f>IF(OR(C212="",D212=""),"",C212+D212)</f>
        <v>10575.900000000001</v>
      </c>
    </row>
    <row r="213" spans="1:5" x14ac:dyDescent="0.25">
      <c r="A213" t="str">
        <f>IF(B213=$B$4,"ATM","")</f>
        <v/>
      </c>
      <c r="B213">
        <v>65300</v>
      </c>
      <c r="C213">
        <f>IF(RawData!F674="","",RawData!F674)</f>
        <v>5.55</v>
      </c>
      <c r="D213">
        <f>IF(RawData!F675="","",RawData!F675)</f>
        <v>7350</v>
      </c>
      <c r="E213">
        <f>IF(OR(C213="",D213=""),"",C213+D213)</f>
        <v>7355.55</v>
      </c>
    </row>
    <row r="214" spans="1:5" x14ac:dyDescent="0.25">
      <c r="A214" t="str">
        <f>IF(B214=$B$4,"ATM","")</f>
        <v/>
      </c>
      <c r="B214">
        <v>65400</v>
      </c>
      <c r="C214">
        <f>IF(RawData!F676="","",RawData!F676)</f>
        <v>5.15</v>
      </c>
      <c r="D214">
        <f>IF(RawData!F677="","",RawData!F677)</f>
        <v>10104.75</v>
      </c>
      <c r="E214">
        <f>IF(OR(C214="",D214=""),"",C214+D214)</f>
        <v>10109.9</v>
      </c>
    </row>
    <row r="215" spans="1:5" x14ac:dyDescent="0.25">
      <c r="A215" t="str">
        <f>IF(B215=$B$4,"ATM","")</f>
        <v/>
      </c>
      <c r="B215">
        <v>65500</v>
      </c>
      <c r="C215">
        <f>IF(RawData!F678="","",RawData!F678)</f>
        <v>4</v>
      </c>
      <c r="D215">
        <f>IF(RawData!F679="","",RawData!F679)</f>
        <v>10851.45</v>
      </c>
      <c r="E215">
        <f>IF(OR(C215="",D215=""),"",C215+D215)</f>
        <v>10855.45</v>
      </c>
    </row>
    <row r="216" spans="1:5" x14ac:dyDescent="0.25">
      <c r="A216" t="str">
        <f>IF(B216=$B$4,"ATM","")</f>
        <v/>
      </c>
      <c r="B216">
        <v>65600</v>
      </c>
      <c r="C216">
        <f>IF(RawData!F680="","",RawData!F680)</f>
        <v>6</v>
      </c>
      <c r="D216">
        <f>IF(RawData!F681="","",RawData!F681)</f>
        <v>10948.45</v>
      </c>
      <c r="E216">
        <f>IF(OR(C216="",D216=""),"",C216+D216)</f>
        <v>10954.45</v>
      </c>
    </row>
    <row r="217" spans="1:5" x14ac:dyDescent="0.25">
      <c r="A217" t="str">
        <f>IF(B217=$B$4,"ATM","")</f>
        <v/>
      </c>
      <c r="B217">
        <v>65700</v>
      </c>
      <c r="C217">
        <f>IF(RawData!F682="","",RawData!F682)</f>
        <v>4.5</v>
      </c>
      <c r="D217">
        <f>IF(RawData!F683="","",RawData!F683)</f>
        <v>11045.75</v>
      </c>
      <c r="E217">
        <f>IF(OR(C217="",D217=""),"",C217+D217)</f>
        <v>11050.25</v>
      </c>
    </row>
    <row r="218" spans="1:5" x14ac:dyDescent="0.25">
      <c r="A218" t="str">
        <f>IF(B218=$B$4,"ATM","")</f>
        <v/>
      </c>
      <c r="B218">
        <v>65800</v>
      </c>
      <c r="C218">
        <f>IF(RawData!F684="","",RawData!F684)</f>
        <v>3.65</v>
      </c>
      <c r="D218">
        <f>IF(RawData!F685="","",RawData!F685)</f>
        <v>11153.9</v>
      </c>
      <c r="E218">
        <f>IF(OR(C218="",D218=""),"",C218+D218)</f>
        <v>11157.55</v>
      </c>
    </row>
    <row r="219" spans="1:5" x14ac:dyDescent="0.25">
      <c r="A219" t="str">
        <f>IF(B219=$B$4,"ATM","")</f>
        <v/>
      </c>
      <c r="B219">
        <v>65900</v>
      </c>
      <c r="C219">
        <f>IF(RawData!F686="","",RawData!F686)</f>
        <v>4.05</v>
      </c>
      <c r="D219">
        <f>IF(RawData!F687="","",RawData!F687)</f>
        <v>11256</v>
      </c>
      <c r="E219">
        <f>IF(OR(C219="",D219=""),"",C219+D219)</f>
        <v>11260.05</v>
      </c>
    </row>
    <row r="220" spans="1:5" x14ac:dyDescent="0.25">
      <c r="A220" t="str">
        <f>IF(B220=$B$4,"ATM","")</f>
        <v/>
      </c>
      <c r="B220">
        <v>66000</v>
      </c>
      <c r="C220">
        <f>IF(RawData!F688="","",RawData!F688)</f>
        <v>3.35</v>
      </c>
      <c r="D220">
        <f>IF(RawData!F689="","",RawData!F689)</f>
        <v>11050</v>
      </c>
      <c r="E220">
        <f>IF(OR(C220="",D220=""),"",C220+D220)</f>
        <v>11053.35</v>
      </c>
    </row>
    <row r="221" spans="1:5" x14ac:dyDescent="0.25">
      <c r="A221" t="str">
        <f>IF(B221=$B$4,"ATM","")</f>
        <v/>
      </c>
      <c r="B221">
        <v>66100</v>
      </c>
      <c r="C221">
        <f>IF(RawData!F690="","",RawData!F690)</f>
        <v>4.5</v>
      </c>
      <c r="D221">
        <f>IF(RawData!F691="","",RawData!F691)</f>
        <v>8550</v>
      </c>
      <c r="E221">
        <f>IF(OR(C221="",D221=""),"",C221+D221)</f>
        <v>8554.5</v>
      </c>
    </row>
    <row r="222" spans="1:5" x14ac:dyDescent="0.25">
      <c r="A222" t="str">
        <f>IF(B222=$B$4,"ATM","")</f>
        <v/>
      </c>
      <c r="B222">
        <v>66200</v>
      </c>
      <c r="C222">
        <f>IF(RawData!F692="","",RawData!F692)</f>
        <v>3.95</v>
      </c>
      <c r="D222">
        <f>IF(RawData!F693="","",RawData!F693)</f>
        <v>10450.450000000001</v>
      </c>
      <c r="E222">
        <f>IF(OR(C222="",D222=""),"",C222+D222)</f>
        <v>10454.400000000001</v>
      </c>
    </row>
    <row r="223" spans="1:5" x14ac:dyDescent="0.25">
      <c r="A223" t="str">
        <f>IF(B223=$B$4,"ATM","")</f>
        <v/>
      </c>
      <c r="B223">
        <v>66500</v>
      </c>
      <c r="C223">
        <f>IF(RawData!F694="","",RawData!F694)</f>
        <v>3.35</v>
      </c>
      <c r="D223">
        <f>IF(RawData!F695="","",RawData!F695)</f>
        <v>9643</v>
      </c>
      <c r="E223">
        <f>IF(OR(C223="",D223=""),"",C223+D223)</f>
        <v>9646.35</v>
      </c>
    </row>
    <row r="224" spans="1:5" x14ac:dyDescent="0.25">
      <c r="A224" t="str">
        <f>IF(B224=$B$4,"ATM","")</f>
        <v/>
      </c>
      <c r="B224">
        <v>67000</v>
      </c>
      <c r="C224">
        <f>IF(RawData!F696="","",RawData!F696)</f>
        <v>2.85</v>
      </c>
      <c r="D224">
        <f>IF(RawData!F697="","",RawData!F697)</f>
        <v>5284.5</v>
      </c>
      <c r="E224">
        <f>IF(OR(C224="",D224=""),"",C224+D224)</f>
        <v>5287.35</v>
      </c>
    </row>
    <row r="225" spans="1:5" x14ac:dyDescent="0.25">
      <c r="A225" t="str">
        <f>IF(B225=$B$4,"ATM","")</f>
        <v/>
      </c>
      <c r="B225">
        <v>67500</v>
      </c>
      <c r="C225">
        <f>IF(RawData!F698="","",RawData!F698)</f>
        <v>2.75</v>
      </c>
      <c r="D225">
        <f>IF(RawData!F699="","",RawData!F699)</f>
        <v>9388</v>
      </c>
      <c r="E225">
        <f>IF(OR(C225="",D225=""),"",C225+D225)</f>
        <v>9390.75</v>
      </c>
    </row>
    <row r="226" spans="1:5" x14ac:dyDescent="0.25">
      <c r="A226" t="str">
        <f>IF(B226=$B$4,"ATM","")</f>
        <v/>
      </c>
      <c r="B226">
        <v>68000</v>
      </c>
      <c r="C226">
        <f>IF(RawData!F700="","",RawData!F700)</f>
        <v>2.6</v>
      </c>
      <c r="D226">
        <f>IF(RawData!F701="","",RawData!F701)</f>
        <v>12789.75</v>
      </c>
      <c r="E226">
        <f>IF(OR(C226="",D226=""),"",C226+D226)</f>
        <v>12792.35</v>
      </c>
    </row>
    <row r="227" spans="1:5" x14ac:dyDescent="0.25">
      <c r="A227" t="str">
        <f>IF(B227=$B$4,"ATM","")</f>
        <v/>
      </c>
      <c r="B227">
        <v>68500</v>
      </c>
      <c r="C227">
        <f>IF(RawData!F702="","",RawData!F702)</f>
        <v>2.6</v>
      </c>
      <c r="D227">
        <f>IF(RawData!F703="","",RawData!F703)</f>
        <v>10900</v>
      </c>
      <c r="E227">
        <f>IF(OR(C227="",D227=""),"",C227+D227)</f>
        <v>10902.6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2"/>
  <sheetViews>
    <sheetView showGridLines="0" workbookViewId="0">
      <pane ySplit="7" topLeftCell="A8" activePane="bottomLeft" state="frozen"/>
      <selection pane="bottomLeft"/>
    </sheetView>
  </sheetViews>
  <sheetFormatPr defaultRowHeight="15" x14ac:dyDescent="0.25"/>
  <cols>
    <col min="1" max="1" width="10" customWidth="1"/>
    <col min="2" max="4" width="14" customWidth="1"/>
    <col min="5" max="5" width="16" customWidth="1"/>
  </cols>
  <sheetData>
    <row r="1" spans="1:5" ht="21" x14ac:dyDescent="0.35">
      <c r="A1" s="7" t="s">
        <v>22</v>
      </c>
      <c r="B1" s="8"/>
      <c r="C1" s="8"/>
      <c r="D1" s="8"/>
      <c r="E1" s="8"/>
    </row>
    <row r="3" spans="1:5" x14ac:dyDescent="0.25">
      <c r="A3" s="2" t="s">
        <v>2</v>
      </c>
      <c r="B3" s="5">
        <v>46149</v>
      </c>
      <c r="D3" s="2" t="s">
        <v>3</v>
      </c>
      <c r="E3" s="2">
        <v>77017.789999999994</v>
      </c>
    </row>
    <row r="4" spans="1:5" x14ac:dyDescent="0.25">
      <c r="A4" s="2" t="s">
        <v>4</v>
      </c>
      <c r="B4" s="2">
        <v>77000</v>
      </c>
      <c r="D4" s="2" t="s">
        <v>5</v>
      </c>
      <c r="E4" s="2">
        <v>827.7</v>
      </c>
    </row>
    <row r="5" spans="1:5" x14ac:dyDescent="0.25">
      <c r="A5" s="2" t="s">
        <v>10</v>
      </c>
      <c r="B5" s="6">
        <v>46147.672453703701</v>
      </c>
      <c r="D5" s="2" t="s">
        <v>6</v>
      </c>
      <c r="E5" s="2" t="s">
        <v>1155</v>
      </c>
    </row>
    <row r="7" spans="1:5" x14ac:dyDescent="0.25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</row>
    <row r="8" spans="1:5" x14ac:dyDescent="0.25">
      <c r="A8" t="str">
        <f>IF(B8=$B$4,"ATM","")</f>
        <v/>
      </c>
      <c r="B8">
        <v>64900</v>
      </c>
      <c r="C8">
        <f>IF(RawData!F705="","",RawData!F705)</f>
        <v>12398.75</v>
      </c>
      <c r="D8">
        <f>IF(RawData!F706="","",RawData!F706)</f>
        <v>0.45</v>
      </c>
      <c r="E8">
        <f>IF(OR(C8="",D8=""),"",C8+D8)</f>
        <v>12399.2</v>
      </c>
    </row>
    <row r="9" spans="1:5" x14ac:dyDescent="0.25">
      <c r="A9" t="str">
        <f>IF(B9=$B$4,"ATM","")</f>
        <v/>
      </c>
      <c r="B9">
        <v>65000</v>
      </c>
      <c r="C9">
        <f>IF(RawData!F707="","",RawData!F707)</f>
        <v>12198</v>
      </c>
      <c r="D9">
        <f>IF(RawData!F708="","",RawData!F708)</f>
        <v>0.5</v>
      </c>
      <c r="E9">
        <f>IF(OR(C9="",D9=""),"",C9+D9)</f>
        <v>12198.5</v>
      </c>
    </row>
    <row r="10" spans="1:5" x14ac:dyDescent="0.25">
      <c r="A10" t="str">
        <f>IF(B10=$B$4,"ATM","")</f>
        <v/>
      </c>
      <c r="B10">
        <v>65100</v>
      </c>
      <c r="C10">
        <f>IF(RawData!F709="","",RawData!F709)</f>
        <v>12198.8</v>
      </c>
      <c r="D10">
        <f>IF(RawData!F710="","",RawData!F710)</f>
        <v>0.5</v>
      </c>
      <c r="E10">
        <f>IF(OR(C10="",D10=""),"",C10+D10)</f>
        <v>12199.3</v>
      </c>
    </row>
    <row r="11" spans="1:5" x14ac:dyDescent="0.25">
      <c r="A11" t="str">
        <f>IF(B11=$B$4,"ATM","")</f>
        <v/>
      </c>
      <c r="B11">
        <v>65200</v>
      </c>
      <c r="C11">
        <f>IF(RawData!F711="","",RawData!F711)</f>
        <v>12098.85</v>
      </c>
      <c r="D11">
        <f>IF(RawData!F712="","",RawData!F712)</f>
        <v>0.4</v>
      </c>
      <c r="E11">
        <f>IF(OR(C11="",D11=""),"",C11+D11)</f>
        <v>12099.25</v>
      </c>
    </row>
    <row r="12" spans="1:5" x14ac:dyDescent="0.25">
      <c r="A12" t="str">
        <f>IF(B12=$B$4,"ATM","")</f>
        <v/>
      </c>
      <c r="B12">
        <v>65300</v>
      </c>
      <c r="C12">
        <f>IF(RawData!F713="","",RawData!F713)</f>
        <v>11998.9</v>
      </c>
      <c r="D12">
        <f>IF(RawData!F714="","",RawData!F714)</f>
        <v>0.4</v>
      </c>
      <c r="E12">
        <f>IF(OR(C12="",D12=""),"",C12+D12)</f>
        <v>11999.3</v>
      </c>
    </row>
    <row r="13" spans="1:5" x14ac:dyDescent="0.25">
      <c r="A13" t="str">
        <f>IF(B13=$B$4,"ATM","")</f>
        <v/>
      </c>
      <c r="B13">
        <v>65400</v>
      </c>
      <c r="C13">
        <f>IF(RawData!F715="","",RawData!F715)</f>
        <v>11898.95</v>
      </c>
      <c r="D13">
        <f>IF(RawData!F716="","",RawData!F716)</f>
        <v>0.4</v>
      </c>
      <c r="E13">
        <f>IF(OR(C13="",D13=""),"",C13+D13)</f>
        <v>11899.35</v>
      </c>
    </row>
    <row r="14" spans="1:5" x14ac:dyDescent="0.25">
      <c r="A14" t="str">
        <f>IF(B14=$B$4,"ATM","")</f>
        <v/>
      </c>
      <c r="B14">
        <v>65500</v>
      </c>
      <c r="C14">
        <f>IF(RawData!F717="","",RawData!F717)</f>
        <v>11799</v>
      </c>
      <c r="D14">
        <f>IF(RawData!F718="","",RawData!F718)</f>
        <v>0.4</v>
      </c>
      <c r="E14">
        <f>IF(OR(C14="",D14=""),"",C14+D14)</f>
        <v>11799.4</v>
      </c>
    </row>
    <row r="15" spans="1:5" x14ac:dyDescent="0.25">
      <c r="A15" t="str">
        <f>IF(B15=$B$4,"ATM","")</f>
        <v/>
      </c>
      <c r="B15">
        <v>65600</v>
      </c>
      <c r="C15">
        <f>IF(RawData!F719="","",RawData!F719)</f>
        <v>11699.05</v>
      </c>
      <c r="D15">
        <f>IF(RawData!F720="","",RawData!F720)</f>
        <v>0.5</v>
      </c>
      <c r="E15">
        <f>IF(OR(C15="",D15=""),"",C15+D15)</f>
        <v>11699.55</v>
      </c>
    </row>
    <row r="16" spans="1:5" x14ac:dyDescent="0.25">
      <c r="A16" t="str">
        <f>IF(B16=$B$4,"ATM","")</f>
        <v/>
      </c>
      <c r="B16">
        <v>65700</v>
      </c>
      <c r="C16">
        <f>IF(RawData!F721="","",RawData!F721)</f>
        <v>11599.1</v>
      </c>
      <c r="D16">
        <f>IF(RawData!F722="","",RawData!F722)</f>
        <v>0.4</v>
      </c>
      <c r="E16">
        <f>IF(OR(C16="",D16=""),"",C16+D16)</f>
        <v>11599.5</v>
      </c>
    </row>
    <row r="17" spans="1:5" x14ac:dyDescent="0.25">
      <c r="A17" t="str">
        <f>IF(B17=$B$4,"ATM","")</f>
        <v/>
      </c>
      <c r="B17">
        <v>65800</v>
      </c>
      <c r="C17">
        <f>IF(RawData!F723="","",RawData!F723)</f>
        <v>11499.15</v>
      </c>
      <c r="D17">
        <f>IF(RawData!F724="","",RawData!F724)</f>
        <v>0.4</v>
      </c>
      <c r="E17">
        <f>IF(OR(C17="",D17=""),"",C17+D17)</f>
        <v>11499.55</v>
      </c>
    </row>
    <row r="18" spans="1:5" x14ac:dyDescent="0.25">
      <c r="A18" t="str">
        <f>IF(B18=$B$4,"ATM","")</f>
        <v/>
      </c>
      <c r="B18">
        <v>65900</v>
      </c>
      <c r="C18">
        <f>IF(RawData!F725="","",RawData!F725)</f>
        <v>11399.2</v>
      </c>
      <c r="D18">
        <f>IF(RawData!F726="","",RawData!F726)</f>
        <v>0.35</v>
      </c>
      <c r="E18">
        <f>IF(OR(C18="",D18=""),"",C18+D18)</f>
        <v>11399.550000000001</v>
      </c>
    </row>
    <row r="19" spans="1:5" x14ac:dyDescent="0.25">
      <c r="A19" t="str">
        <f>IF(B19=$B$4,"ATM","")</f>
        <v/>
      </c>
      <c r="B19">
        <v>66000</v>
      </c>
      <c r="C19">
        <f>IF(RawData!F727="","",RawData!F727)</f>
        <v>11299.25</v>
      </c>
      <c r="D19">
        <f>IF(RawData!F728="","",RawData!F728)</f>
        <v>1</v>
      </c>
      <c r="E19">
        <f>IF(OR(C19="",D19=""),"",C19+D19)</f>
        <v>11300.25</v>
      </c>
    </row>
    <row r="20" spans="1:5" x14ac:dyDescent="0.25">
      <c r="A20" t="str">
        <f>IF(B20=$B$4,"ATM","")</f>
        <v/>
      </c>
      <c r="B20">
        <v>66100</v>
      </c>
      <c r="C20">
        <f>IF(RawData!F729="","",RawData!F729)</f>
        <v>11199.25</v>
      </c>
      <c r="D20">
        <f>IF(RawData!F730="","",RawData!F730)</f>
        <v>0.4</v>
      </c>
      <c r="E20">
        <f>IF(OR(C20="",D20=""),"",C20+D20)</f>
        <v>11199.65</v>
      </c>
    </row>
    <row r="21" spans="1:5" x14ac:dyDescent="0.25">
      <c r="A21" t="str">
        <f>IF(B21=$B$4,"ATM","")</f>
        <v/>
      </c>
      <c r="B21">
        <v>66200</v>
      </c>
      <c r="C21">
        <f>IF(RawData!F731="","",RawData!F731)</f>
        <v>11099.3</v>
      </c>
      <c r="D21">
        <f>IF(RawData!F732="","",RawData!F732)</f>
        <v>0.45</v>
      </c>
      <c r="E21">
        <f>IF(OR(C21="",D21=""),"",C21+D21)</f>
        <v>11099.75</v>
      </c>
    </row>
    <row r="22" spans="1:5" x14ac:dyDescent="0.25">
      <c r="A22" t="str">
        <f>IF(B22=$B$4,"ATM","")</f>
        <v/>
      </c>
      <c r="B22">
        <v>66300</v>
      </c>
      <c r="C22">
        <f>IF(RawData!F733="","",RawData!F733)</f>
        <v>10999.35</v>
      </c>
      <c r="D22">
        <f>IF(RawData!F734="","",RawData!F734)</f>
        <v>0.4</v>
      </c>
      <c r="E22">
        <f>IF(OR(C22="",D22=""),"",C22+D22)</f>
        <v>10999.75</v>
      </c>
    </row>
    <row r="23" spans="1:5" x14ac:dyDescent="0.25">
      <c r="A23" t="str">
        <f>IF(B23=$B$4,"ATM","")</f>
        <v/>
      </c>
      <c r="B23">
        <v>66400</v>
      </c>
      <c r="C23">
        <f>IF(RawData!F735="","",RawData!F735)</f>
        <v>10899.4</v>
      </c>
      <c r="D23">
        <f>IF(RawData!F736="","",RawData!F736)</f>
        <v>0.5</v>
      </c>
      <c r="E23">
        <f>IF(OR(C23="",D23=""),"",C23+D23)</f>
        <v>10899.9</v>
      </c>
    </row>
    <row r="24" spans="1:5" x14ac:dyDescent="0.25">
      <c r="A24" t="str">
        <f>IF(B24=$B$4,"ATM","")</f>
        <v/>
      </c>
      <c r="B24">
        <v>66500</v>
      </c>
      <c r="C24">
        <f>IF(RawData!F737="","",RawData!F737)</f>
        <v>10799.45</v>
      </c>
      <c r="D24">
        <f>IF(RawData!F738="","",RawData!F738)</f>
        <v>0.55000000000000004</v>
      </c>
      <c r="E24">
        <f>IF(OR(C24="",D24=""),"",C24+D24)</f>
        <v>10800</v>
      </c>
    </row>
    <row r="25" spans="1:5" x14ac:dyDescent="0.25">
      <c r="A25" t="str">
        <f>IF(B25=$B$4,"ATM","")</f>
        <v/>
      </c>
      <c r="B25">
        <v>66600</v>
      </c>
      <c r="C25">
        <f>IF(RawData!F739="","",RawData!F739)</f>
        <v>10699.5</v>
      </c>
      <c r="D25">
        <f>IF(RawData!F740="","",RawData!F740)</f>
        <v>0.75</v>
      </c>
      <c r="E25">
        <f>IF(OR(C25="",D25=""),"",C25+D25)</f>
        <v>10700.25</v>
      </c>
    </row>
    <row r="26" spans="1:5" x14ac:dyDescent="0.25">
      <c r="A26" t="str">
        <f>IF(B26=$B$4,"ATM","")</f>
        <v/>
      </c>
      <c r="B26">
        <v>66700</v>
      </c>
      <c r="C26">
        <f>IF(RawData!F741="","",RawData!F741)</f>
        <v>10599.55</v>
      </c>
      <c r="D26">
        <f>IF(RawData!F742="","",RawData!F742)</f>
        <v>0.4</v>
      </c>
      <c r="E26">
        <f>IF(OR(C26="",D26=""),"",C26+D26)</f>
        <v>10599.949999999999</v>
      </c>
    </row>
    <row r="27" spans="1:5" x14ac:dyDescent="0.25">
      <c r="A27" t="str">
        <f>IF(B27=$B$4,"ATM","")</f>
        <v/>
      </c>
      <c r="B27">
        <v>66800</v>
      </c>
      <c r="C27">
        <f>IF(RawData!F743="","",RawData!F743)</f>
        <v>10499.6</v>
      </c>
      <c r="D27">
        <f>IF(RawData!F744="","",RawData!F744)</f>
        <v>0.4</v>
      </c>
      <c r="E27">
        <f>IF(OR(C27="",D27=""),"",C27+D27)</f>
        <v>10500</v>
      </c>
    </row>
    <row r="28" spans="1:5" x14ac:dyDescent="0.25">
      <c r="A28" t="str">
        <f>IF(B28=$B$4,"ATM","")</f>
        <v/>
      </c>
      <c r="B28">
        <v>66900</v>
      </c>
      <c r="C28">
        <f>IF(RawData!F745="","",RawData!F745)</f>
        <v>10399.65</v>
      </c>
      <c r="D28">
        <f>IF(RawData!F746="","",RawData!F746)</f>
        <v>0.4</v>
      </c>
      <c r="E28">
        <f>IF(OR(C28="",D28=""),"",C28+D28)</f>
        <v>10400.049999999999</v>
      </c>
    </row>
    <row r="29" spans="1:5" x14ac:dyDescent="0.25">
      <c r="A29" t="str">
        <f>IF(B29=$B$4,"ATM","")</f>
        <v/>
      </c>
      <c r="B29">
        <v>67000</v>
      </c>
      <c r="C29">
        <f>IF(RawData!F747="","",RawData!F747)</f>
        <v>10299.700000000001</v>
      </c>
      <c r="D29">
        <f>IF(RawData!F748="","",RawData!F748)</f>
        <v>0.5</v>
      </c>
      <c r="E29">
        <f>IF(OR(C29="",D29=""),"",C29+D29)</f>
        <v>10300.200000000001</v>
      </c>
    </row>
    <row r="30" spans="1:5" x14ac:dyDescent="0.25">
      <c r="A30" t="str">
        <f>IF(B30=$B$4,"ATM","")</f>
        <v/>
      </c>
      <c r="B30">
        <v>67100</v>
      </c>
      <c r="C30">
        <f>IF(RawData!F749="","",RawData!F749)</f>
        <v>10199.75</v>
      </c>
      <c r="D30">
        <f>IF(RawData!F750="","",RawData!F750)</f>
        <v>0.65</v>
      </c>
      <c r="E30">
        <f>IF(OR(C30="",D30=""),"",C30+D30)</f>
        <v>10200.4</v>
      </c>
    </row>
    <row r="31" spans="1:5" x14ac:dyDescent="0.25">
      <c r="A31" t="str">
        <f>IF(B31=$B$4,"ATM","")</f>
        <v/>
      </c>
      <c r="B31">
        <v>67200</v>
      </c>
      <c r="C31">
        <f>IF(RawData!F751="","",RawData!F751)</f>
        <v>10099.75</v>
      </c>
      <c r="D31">
        <f>IF(RawData!F752="","",RawData!F752)</f>
        <v>0.4</v>
      </c>
      <c r="E31">
        <f>IF(OR(C31="",D31=""),"",C31+D31)</f>
        <v>10100.15</v>
      </c>
    </row>
    <row r="32" spans="1:5" x14ac:dyDescent="0.25">
      <c r="A32" t="str">
        <f>IF(B32=$B$4,"ATM","")</f>
        <v/>
      </c>
      <c r="B32">
        <v>67300</v>
      </c>
      <c r="C32">
        <f>IF(RawData!F753="","",RawData!F753)</f>
        <v>9999.7999999999993</v>
      </c>
      <c r="D32">
        <f>IF(RawData!F754="","",RawData!F754)</f>
        <v>0.4</v>
      </c>
      <c r="E32">
        <f>IF(OR(C32="",D32=""),"",C32+D32)</f>
        <v>10000.199999999999</v>
      </c>
    </row>
    <row r="33" spans="1:5" x14ac:dyDescent="0.25">
      <c r="A33" t="str">
        <f>IF(B33=$B$4,"ATM","")</f>
        <v/>
      </c>
      <c r="B33">
        <v>67400</v>
      </c>
      <c r="C33">
        <f>IF(RawData!F755="","",RawData!F755)</f>
        <v>9899.85</v>
      </c>
      <c r="D33">
        <f>IF(RawData!F756="","",RawData!F756)</f>
        <v>0.45</v>
      </c>
      <c r="E33">
        <f>IF(OR(C33="",D33=""),"",C33+D33)</f>
        <v>9900.3000000000011</v>
      </c>
    </row>
    <row r="34" spans="1:5" x14ac:dyDescent="0.25">
      <c r="A34" t="str">
        <f>IF(B34=$B$4,"ATM","")</f>
        <v/>
      </c>
      <c r="B34">
        <v>67500</v>
      </c>
      <c r="C34">
        <f>IF(RawData!F757="","",RawData!F757)</f>
        <v>9799.9</v>
      </c>
      <c r="D34">
        <f>IF(RawData!F758="","",RawData!F758)</f>
        <v>0.85</v>
      </c>
      <c r="E34">
        <f>IF(OR(C34="",D34=""),"",C34+D34)</f>
        <v>9800.75</v>
      </c>
    </row>
    <row r="35" spans="1:5" x14ac:dyDescent="0.25">
      <c r="A35" t="str">
        <f>IF(B35=$B$4,"ATM","")</f>
        <v/>
      </c>
      <c r="B35">
        <v>67600</v>
      </c>
      <c r="C35">
        <f>IF(RawData!F759="","",RawData!F759)</f>
        <v>9699.9500000000007</v>
      </c>
      <c r="D35">
        <f>IF(RawData!F760="","",RawData!F760)</f>
        <v>0.55000000000000004</v>
      </c>
      <c r="E35">
        <f>IF(OR(C35="",D35=""),"",C35+D35)</f>
        <v>9700.5</v>
      </c>
    </row>
    <row r="36" spans="1:5" x14ac:dyDescent="0.25">
      <c r="A36" t="str">
        <f>IF(B36=$B$4,"ATM","")</f>
        <v/>
      </c>
      <c r="B36">
        <v>67700</v>
      </c>
      <c r="C36">
        <f>IF(RawData!F761="","",RawData!F761)</f>
        <v>9600</v>
      </c>
      <c r="D36">
        <f>IF(RawData!F762="","",RawData!F762)</f>
        <v>0.4</v>
      </c>
      <c r="E36">
        <f>IF(OR(C36="",D36=""),"",C36+D36)</f>
        <v>9600.4</v>
      </c>
    </row>
    <row r="37" spans="1:5" x14ac:dyDescent="0.25">
      <c r="A37" t="str">
        <f>IF(B37=$B$4,"ATM","")</f>
        <v/>
      </c>
      <c r="B37">
        <v>67800</v>
      </c>
      <c r="C37">
        <f>IF(RawData!F763="","",RawData!F763)</f>
        <v>9500.0499999999993</v>
      </c>
      <c r="D37">
        <f>IF(RawData!F764="","",RawData!F764)</f>
        <v>0.5</v>
      </c>
      <c r="E37">
        <f>IF(OR(C37="",D37=""),"",C37+D37)</f>
        <v>9500.5499999999993</v>
      </c>
    </row>
    <row r="38" spans="1:5" x14ac:dyDescent="0.25">
      <c r="A38" t="str">
        <f>IF(B38=$B$4,"ATM","")</f>
        <v/>
      </c>
      <c r="B38">
        <v>67900</v>
      </c>
      <c r="C38">
        <f>IF(RawData!F765="","",RawData!F765)</f>
        <v>9400.1</v>
      </c>
      <c r="D38">
        <f>IF(RawData!F766="","",RawData!F766)</f>
        <v>0.4</v>
      </c>
      <c r="E38">
        <f>IF(OR(C38="",D38=""),"",C38+D38)</f>
        <v>9400.5</v>
      </c>
    </row>
    <row r="39" spans="1:5" x14ac:dyDescent="0.25">
      <c r="A39" t="str">
        <f>IF(B39=$B$4,"ATM","")</f>
        <v/>
      </c>
      <c r="B39">
        <v>68000</v>
      </c>
      <c r="C39">
        <f>IF(RawData!F767="","",RawData!F767)</f>
        <v>8664.9500000000007</v>
      </c>
      <c r="D39">
        <f>IF(RawData!F768="","",RawData!F768)</f>
        <v>0.8</v>
      </c>
      <c r="E39">
        <f>IF(OR(C39="",D39=""),"",C39+D39)</f>
        <v>8665.75</v>
      </c>
    </row>
    <row r="40" spans="1:5" x14ac:dyDescent="0.25">
      <c r="A40" t="str">
        <f>IF(B40=$B$4,"ATM","")</f>
        <v/>
      </c>
      <c r="B40">
        <v>68100</v>
      </c>
      <c r="C40">
        <f>IF(RawData!F769="","",RawData!F769)</f>
        <v>9200.2000000000007</v>
      </c>
      <c r="D40">
        <f>IF(RawData!F770="","",RawData!F770)</f>
        <v>0.45</v>
      </c>
      <c r="E40">
        <f>IF(OR(C40="",D40=""),"",C40+D40)</f>
        <v>9200.6500000000015</v>
      </c>
    </row>
    <row r="41" spans="1:5" x14ac:dyDescent="0.25">
      <c r="A41" t="str">
        <f>IF(B41=$B$4,"ATM","")</f>
        <v/>
      </c>
      <c r="B41">
        <v>68200</v>
      </c>
      <c r="C41">
        <f>IF(RawData!F771="","",RawData!F771)</f>
        <v>9100.2000000000007</v>
      </c>
      <c r="D41">
        <f>IF(RawData!F772="","",RawData!F772)</f>
        <v>0.6</v>
      </c>
      <c r="E41">
        <f>IF(OR(C41="",D41=""),"",C41+D41)</f>
        <v>9100.8000000000011</v>
      </c>
    </row>
    <row r="42" spans="1:5" x14ac:dyDescent="0.25">
      <c r="A42" t="str">
        <f>IF(B42=$B$4,"ATM","")</f>
        <v/>
      </c>
      <c r="B42">
        <v>68300</v>
      </c>
      <c r="C42">
        <f>IF(RawData!F773="","",RawData!F773)</f>
        <v>9000.25</v>
      </c>
      <c r="D42">
        <f>IF(RawData!F774="","",RawData!F774)</f>
        <v>0.55000000000000004</v>
      </c>
      <c r="E42">
        <f>IF(OR(C42="",D42=""),"",C42+D42)</f>
        <v>9000.7999999999993</v>
      </c>
    </row>
    <row r="43" spans="1:5" x14ac:dyDescent="0.25">
      <c r="A43" t="str">
        <f>IF(B43=$B$4,"ATM","")</f>
        <v/>
      </c>
      <c r="B43">
        <v>68400</v>
      </c>
      <c r="C43">
        <f>IF(RawData!F775="","",RawData!F775)</f>
        <v>8900.2999999999993</v>
      </c>
      <c r="D43">
        <f>IF(RawData!F776="","",RawData!F776)</f>
        <v>0.5</v>
      </c>
      <c r="E43">
        <f>IF(OR(C43="",D43=""),"",C43+D43)</f>
        <v>8900.7999999999993</v>
      </c>
    </row>
    <row r="44" spans="1:5" x14ac:dyDescent="0.25">
      <c r="A44" t="str">
        <f>IF(B44=$B$4,"ATM","")</f>
        <v/>
      </c>
      <c r="B44">
        <v>68500</v>
      </c>
      <c r="C44">
        <f>IF(RawData!F777="","",RawData!F777)</f>
        <v>8800.35</v>
      </c>
      <c r="D44">
        <f>IF(RawData!F778="","",RawData!F778)</f>
        <v>0.5</v>
      </c>
      <c r="E44">
        <f>IF(OR(C44="",D44=""),"",C44+D44)</f>
        <v>8800.85</v>
      </c>
    </row>
    <row r="45" spans="1:5" x14ac:dyDescent="0.25">
      <c r="A45" t="str">
        <f>IF(B45=$B$4,"ATM","")</f>
        <v/>
      </c>
      <c r="B45">
        <v>68600</v>
      </c>
      <c r="C45">
        <f>IF(RawData!F779="","",RawData!F779)</f>
        <v>8700.4</v>
      </c>
      <c r="D45">
        <f>IF(RawData!F780="","",RawData!F780)</f>
        <v>0.5</v>
      </c>
      <c r="E45">
        <f>IF(OR(C45="",D45=""),"",C45+D45)</f>
        <v>8700.9</v>
      </c>
    </row>
    <row r="46" spans="1:5" x14ac:dyDescent="0.25">
      <c r="A46" t="str">
        <f>IF(B46=$B$4,"ATM","")</f>
        <v/>
      </c>
      <c r="B46">
        <v>68700</v>
      </c>
      <c r="C46">
        <f>IF(RawData!F781="","",RawData!F781)</f>
        <v>8600.4500000000007</v>
      </c>
      <c r="D46">
        <f>IF(RawData!F782="","",RawData!F782)</f>
        <v>0.4</v>
      </c>
      <c r="E46">
        <f>IF(OR(C46="",D46=""),"",C46+D46)</f>
        <v>8600.85</v>
      </c>
    </row>
    <row r="47" spans="1:5" x14ac:dyDescent="0.25">
      <c r="A47" t="str">
        <f>IF(B47=$B$4,"ATM","")</f>
        <v/>
      </c>
      <c r="B47">
        <v>68800</v>
      </c>
      <c r="C47">
        <f>IF(RawData!F783="","",RawData!F783)</f>
        <v>8500.5</v>
      </c>
      <c r="D47">
        <f>IF(RawData!F784="","",RawData!F784)</f>
        <v>1</v>
      </c>
      <c r="E47">
        <f>IF(OR(C47="",D47=""),"",C47+D47)</f>
        <v>8501.5</v>
      </c>
    </row>
    <row r="48" spans="1:5" x14ac:dyDescent="0.25">
      <c r="A48" t="str">
        <f>IF(B48=$B$4,"ATM","")</f>
        <v/>
      </c>
      <c r="B48">
        <v>68900</v>
      </c>
      <c r="C48">
        <f>IF(RawData!F785="","",RawData!F785)</f>
        <v>8400.5499999999993</v>
      </c>
      <c r="D48">
        <f>IF(RawData!F786="","",RawData!F786)</f>
        <v>0.45</v>
      </c>
      <c r="E48">
        <f>IF(OR(C48="",D48=""),"",C48+D48)</f>
        <v>8401</v>
      </c>
    </row>
    <row r="49" spans="1:5" x14ac:dyDescent="0.25">
      <c r="A49" t="str">
        <f>IF(B49=$B$4,"ATM","")</f>
        <v/>
      </c>
      <c r="B49">
        <v>69000</v>
      </c>
      <c r="C49">
        <f>IF(RawData!F787="","",RawData!F787)</f>
        <v>8300.6</v>
      </c>
      <c r="D49">
        <f>IF(RawData!F788="","",RawData!F788)</f>
        <v>0.5</v>
      </c>
      <c r="E49">
        <f>IF(OR(C49="",D49=""),"",C49+D49)</f>
        <v>8301.1</v>
      </c>
    </row>
    <row r="50" spans="1:5" x14ac:dyDescent="0.25">
      <c r="A50" t="str">
        <f>IF(B50=$B$4,"ATM","")</f>
        <v/>
      </c>
      <c r="B50">
        <v>69100</v>
      </c>
      <c r="C50">
        <f>IF(RawData!F789="","",RawData!F789)</f>
        <v>8200.65</v>
      </c>
      <c r="D50">
        <f>IF(RawData!F790="","",RawData!F790)</f>
        <v>1</v>
      </c>
      <c r="E50">
        <f>IF(OR(C50="",D50=""),"",C50+D50)</f>
        <v>8201.65</v>
      </c>
    </row>
    <row r="51" spans="1:5" x14ac:dyDescent="0.25">
      <c r="A51" t="str">
        <f>IF(B51=$B$4,"ATM","")</f>
        <v/>
      </c>
      <c r="B51">
        <v>69200</v>
      </c>
      <c r="C51">
        <f>IF(RawData!F791="","",RawData!F791)</f>
        <v>8100.65</v>
      </c>
      <c r="D51">
        <f>IF(RawData!F792="","",RawData!F792)</f>
        <v>0.6</v>
      </c>
      <c r="E51">
        <f>IF(OR(C51="",D51=""),"",C51+D51)</f>
        <v>8101.25</v>
      </c>
    </row>
    <row r="52" spans="1:5" x14ac:dyDescent="0.25">
      <c r="A52" t="str">
        <f>IF(B52=$B$4,"ATM","")</f>
        <v/>
      </c>
      <c r="B52">
        <v>69300</v>
      </c>
      <c r="C52">
        <f>IF(RawData!F793="","",RawData!F793)</f>
        <v>8000.7</v>
      </c>
      <c r="D52">
        <f>IF(RawData!F794="","",RawData!F794)</f>
        <v>1.3</v>
      </c>
      <c r="E52">
        <f>IF(OR(C52="",D52=""),"",C52+D52)</f>
        <v>8002</v>
      </c>
    </row>
    <row r="53" spans="1:5" x14ac:dyDescent="0.25">
      <c r="A53" t="str">
        <f>IF(B53=$B$4,"ATM","")</f>
        <v/>
      </c>
      <c r="B53">
        <v>69400</v>
      </c>
      <c r="C53">
        <f>IF(RawData!F795="","",RawData!F795)</f>
        <v>7900.75</v>
      </c>
      <c r="D53">
        <f>IF(RawData!F796="","",RawData!F796)</f>
        <v>0.75</v>
      </c>
      <c r="E53">
        <f>IF(OR(C53="",D53=""),"",C53+D53)</f>
        <v>7901.5</v>
      </c>
    </row>
    <row r="54" spans="1:5" x14ac:dyDescent="0.25">
      <c r="A54" t="str">
        <f>IF(B54=$B$4,"ATM","")</f>
        <v/>
      </c>
      <c r="B54">
        <v>69500</v>
      </c>
      <c r="C54">
        <f>IF(RawData!F797="","",RawData!F797)</f>
        <v>7800.8</v>
      </c>
      <c r="D54">
        <f>IF(RawData!F798="","",RawData!F798)</f>
        <v>0.9</v>
      </c>
      <c r="E54">
        <f>IF(OR(C54="",D54=""),"",C54+D54)</f>
        <v>7801.7</v>
      </c>
    </row>
    <row r="55" spans="1:5" x14ac:dyDescent="0.25">
      <c r="A55" t="str">
        <f>IF(B55=$B$4,"ATM","")</f>
        <v/>
      </c>
      <c r="B55">
        <v>69600</v>
      </c>
      <c r="C55">
        <f>IF(RawData!F799="","",RawData!F799)</f>
        <v>7700.85</v>
      </c>
      <c r="D55">
        <f>IF(RawData!F800="","",RawData!F800)</f>
        <v>1.2</v>
      </c>
      <c r="E55">
        <f>IF(OR(C55="",D55=""),"",C55+D55)</f>
        <v>7702.05</v>
      </c>
    </row>
    <row r="56" spans="1:5" x14ac:dyDescent="0.25">
      <c r="A56" t="str">
        <f>IF(B56=$B$4,"ATM","")</f>
        <v/>
      </c>
      <c r="B56">
        <v>69700</v>
      </c>
      <c r="C56">
        <f>IF(RawData!F801="","",RawData!F801)</f>
        <v>7600.9</v>
      </c>
      <c r="D56">
        <f>IF(RawData!F802="","",RawData!F802)</f>
        <v>0.55000000000000004</v>
      </c>
      <c r="E56">
        <f>IF(OR(C56="",D56=""),"",C56+D56)</f>
        <v>7601.45</v>
      </c>
    </row>
    <row r="57" spans="1:5" x14ac:dyDescent="0.25">
      <c r="A57" t="str">
        <f>IF(B57=$B$4,"ATM","")</f>
        <v/>
      </c>
      <c r="B57">
        <v>69800</v>
      </c>
      <c r="C57">
        <f>IF(RawData!F803="","",RawData!F803)</f>
        <v>7500.95</v>
      </c>
      <c r="D57">
        <f>IF(RawData!F804="","",RawData!F804)</f>
        <v>1.1000000000000001</v>
      </c>
      <c r="E57">
        <f>IF(OR(C57="",D57=""),"",C57+D57)</f>
        <v>7502.05</v>
      </c>
    </row>
    <row r="58" spans="1:5" x14ac:dyDescent="0.25">
      <c r="A58" t="str">
        <f>IF(B58=$B$4,"ATM","")</f>
        <v/>
      </c>
      <c r="B58">
        <v>69900</v>
      </c>
      <c r="C58">
        <f>IF(RawData!F805="","",RawData!F805)</f>
        <v>7401</v>
      </c>
      <c r="D58">
        <f>IF(RawData!F806="","",RawData!F806)</f>
        <v>0.7</v>
      </c>
      <c r="E58">
        <f>IF(OR(C58="",D58=""),"",C58+D58)</f>
        <v>7401.7</v>
      </c>
    </row>
    <row r="59" spans="1:5" x14ac:dyDescent="0.25">
      <c r="A59" t="str">
        <f>IF(B59=$B$4,"ATM","")</f>
        <v/>
      </c>
      <c r="B59">
        <v>70000</v>
      </c>
      <c r="C59">
        <f>IF(RawData!F807="","",RawData!F807)</f>
        <v>7301.05</v>
      </c>
      <c r="D59">
        <f>IF(RawData!F808="","",RawData!F808)</f>
        <v>0.85</v>
      </c>
      <c r="E59">
        <f>IF(OR(C59="",D59=""),"",C59+D59)</f>
        <v>7301.9000000000005</v>
      </c>
    </row>
    <row r="60" spans="1:5" x14ac:dyDescent="0.25">
      <c r="A60" t="str">
        <f>IF(B60=$B$4,"ATM","")</f>
        <v/>
      </c>
      <c r="B60">
        <v>70100</v>
      </c>
      <c r="C60">
        <f>IF(RawData!F809="","",RawData!F809)</f>
        <v>7201.1</v>
      </c>
      <c r="D60">
        <f>IF(RawData!F810="","",RawData!F810)</f>
        <v>0.6</v>
      </c>
      <c r="E60">
        <f>IF(OR(C60="",D60=""),"",C60+D60)</f>
        <v>7201.7000000000007</v>
      </c>
    </row>
    <row r="61" spans="1:5" x14ac:dyDescent="0.25">
      <c r="A61" t="str">
        <f>IF(B61=$B$4,"ATM","")</f>
        <v/>
      </c>
      <c r="B61">
        <v>70200</v>
      </c>
      <c r="C61">
        <f>IF(RawData!F811="","",RawData!F811)</f>
        <v>7101.15</v>
      </c>
      <c r="D61">
        <f>IF(RawData!F812="","",RawData!F812)</f>
        <v>1.1000000000000001</v>
      </c>
      <c r="E61">
        <f>IF(OR(C61="",D61=""),"",C61+D61)</f>
        <v>7102.25</v>
      </c>
    </row>
    <row r="62" spans="1:5" x14ac:dyDescent="0.25">
      <c r="A62" t="str">
        <f>IF(B62=$B$4,"ATM","")</f>
        <v/>
      </c>
      <c r="B62">
        <v>70300</v>
      </c>
      <c r="C62">
        <f>IF(RawData!F813="","",RawData!F813)</f>
        <v>7001.15</v>
      </c>
      <c r="D62">
        <f>IF(RawData!F814="","",RawData!F814)</f>
        <v>0.8</v>
      </c>
      <c r="E62">
        <f>IF(OR(C62="",D62=""),"",C62+D62)</f>
        <v>7001.95</v>
      </c>
    </row>
    <row r="63" spans="1:5" x14ac:dyDescent="0.25">
      <c r="A63" t="str">
        <f>IF(B63=$B$4,"ATM","")</f>
        <v/>
      </c>
      <c r="B63">
        <v>70400</v>
      </c>
      <c r="C63">
        <f>IF(RawData!F815="","",RawData!F815)</f>
        <v>6901.2</v>
      </c>
      <c r="D63">
        <f>IF(RawData!F816="","",RawData!F816)</f>
        <v>1.2</v>
      </c>
      <c r="E63">
        <f>IF(OR(C63="",D63=""),"",C63+D63)</f>
        <v>6902.4</v>
      </c>
    </row>
    <row r="64" spans="1:5" x14ac:dyDescent="0.25">
      <c r="A64" t="str">
        <f>IF(B64=$B$4,"ATM","")</f>
        <v/>
      </c>
      <c r="B64">
        <v>70500</v>
      </c>
      <c r="C64">
        <f>IF(RawData!F817="","",RawData!F817)</f>
        <v>6801.25</v>
      </c>
      <c r="D64">
        <f>IF(RawData!F818="","",RawData!F818)</f>
        <v>1.7</v>
      </c>
      <c r="E64">
        <f>IF(OR(C64="",D64=""),"",C64+D64)</f>
        <v>6802.95</v>
      </c>
    </row>
    <row r="65" spans="1:5" x14ac:dyDescent="0.25">
      <c r="A65" t="str">
        <f>IF(B65=$B$4,"ATM","")</f>
        <v/>
      </c>
      <c r="B65">
        <v>70600</v>
      </c>
      <c r="C65">
        <f>IF(RawData!F819="","",RawData!F819)</f>
        <v>6701.3</v>
      </c>
      <c r="D65">
        <f>IF(RawData!F820="","",RawData!F820)</f>
        <v>0.6</v>
      </c>
      <c r="E65">
        <f>IF(OR(C65="",D65=""),"",C65+D65)</f>
        <v>6701.9000000000005</v>
      </c>
    </row>
    <row r="66" spans="1:5" x14ac:dyDescent="0.25">
      <c r="A66" t="str">
        <f>IF(B66=$B$4,"ATM","")</f>
        <v/>
      </c>
      <c r="B66">
        <v>70700</v>
      </c>
      <c r="C66">
        <f>IF(RawData!F821="","",RawData!F821)</f>
        <v>6601.35</v>
      </c>
      <c r="D66">
        <f>IF(RawData!F822="","",RawData!F822)</f>
        <v>2</v>
      </c>
      <c r="E66">
        <f>IF(OR(C66="",D66=""),"",C66+D66)</f>
        <v>6603.35</v>
      </c>
    </row>
    <row r="67" spans="1:5" x14ac:dyDescent="0.25">
      <c r="A67" t="str">
        <f>IF(B67=$B$4,"ATM","")</f>
        <v/>
      </c>
      <c r="B67">
        <v>70800</v>
      </c>
      <c r="C67">
        <f>IF(RawData!F823="","",RawData!F823)</f>
        <v>6501.4</v>
      </c>
      <c r="D67">
        <f>IF(RawData!F824="","",RawData!F824)</f>
        <v>0.9</v>
      </c>
      <c r="E67">
        <f>IF(OR(C67="",D67=""),"",C67+D67)</f>
        <v>6502.2999999999993</v>
      </c>
    </row>
    <row r="68" spans="1:5" x14ac:dyDescent="0.25">
      <c r="A68" t="str">
        <f>IF(B68=$B$4,"ATM","")</f>
        <v/>
      </c>
      <c r="B68">
        <v>70900</v>
      </c>
      <c r="C68">
        <f>IF(RawData!F825="","",RawData!F825)</f>
        <v>6401.45</v>
      </c>
      <c r="D68">
        <f>IF(RawData!F826="","",RawData!F826)</f>
        <v>1.3</v>
      </c>
      <c r="E68">
        <f>IF(OR(C68="",D68=""),"",C68+D68)</f>
        <v>6402.75</v>
      </c>
    </row>
    <row r="69" spans="1:5" x14ac:dyDescent="0.25">
      <c r="A69" t="str">
        <f>IF(B69=$B$4,"ATM","")</f>
        <v/>
      </c>
      <c r="B69">
        <v>71000</v>
      </c>
      <c r="C69">
        <f>IF(RawData!F827="","",RawData!F827)</f>
        <v>6301.5</v>
      </c>
      <c r="D69">
        <f>IF(RawData!F828="","",RawData!F828)</f>
        <v>0.9</v>
      </c>
      <c r="E69">
        <f>IF(OR(C69="",D69=""),"",C69+D69)</f>
        <v>6302.4</v>
      </c>
    </row>
    <row r="70" spans="1:5" x14ac:dyDescent="0.25">
      <c r="A70" t="str">
        <f>IF(B70=$B$4,"ATM","")</f>
        <v/>
      </c>
      <c r="B70">
        <v>71100</v>
      </c>
      <c r="C70">
        <f>IF(RawData!F829="","",RawData!F829)</f>
        <v>6201.55</v>
      </c>
      <c r="D70">
        <f>IF(RawData!F830="","",RawData!F830)</f>
        <v>1.35</v>
      </c>
      <c r="E70">
        <f>IF(OR(C70="",D70=""),"",C70+D70)</f>
        <v>6202.9000000000005</v>
      </c>
    </row>
    <row r="71" spans="1:5" x14ac:dyDescent="0.25">
      <c r="A71" t="str">
        <f>IF(B71=$B$4,"ATM","")</f>
        <v/>
      </c>
      <c r="B71">
        <v>71200</v>
      </c>
      <c r="C71">
        <f>IF(RawData!F831="","",RawData!F831)</f>
        <v>6101.6</v>
      </c>
      <c r="D71">
        <f>IF(RawData!F832="","",RawData!F832)</f>
        <v>1.25</v>
      </c>
      <c r="E71">
        <f>IF(OR(C71="",D71=""),"",C71+D71)</f>
        <v>6102.85</v>
      </c>
    </row>
    <row r="72" spans="1:5" x14ac:dyDescent="0.25">
      <c r="A72" t="str">
        <f>IF(B72=$B$4,"ATM","")</f>
        <v/>
      </c>
      <c r="B72">
        <v>71300</v>
      </c>
      <c r="C72">
        <f>IF(RawData!F833="","",RawData!F833)</f>
        <v>6001.65</v>
      </c>
      <c r="D72">
        <f>IF(RawData!F834="","",RawData!F834)</f>
        <v>1</v>
      </c>
      <c r="E72">
        <f>IF(OR(C72="",D72=""),"",C72+D72)</f>
        <v>6002.65</v>
      </c>
    </row>
    <row r="73" spans="1:5" x14ac:dyDescent="0.25">
      <c r="A73" t="str">
        <f>IF(B73=$B$4,"ATM","")</f>
        <v/>
      </c>
      <c r="B73">
        <v>71400</v>
      </c>
      <c r="C73">
        <f>IF(RawData!F835="","",RawData!F835)</f>
        <v>5901.7</v>
      </c>
      <c r="D73">
        <f>IF(RawData!F836="","",RawData!F836)</f>
        <v>1.35</v>
      </c>
      <c r="E73">
        <f>IF(OR(C73="",D73=""),"",C73+D73)</f>
        <v>5903.05</v>
      </c>
    </row>
    <row r="74" spans="1:5" x14ac:dyDescent="0.25">
      <c r="A74" t="str">
        <f>IF(B74=$B$4,"ATM","")</f>
        <v/>
      </c>
      <c r="B74">
        <v>71500</v>
      </c>
      <c r="C74">
        <f>IF(RawData!F837="","",RawData!F837)</f>
        <v>5801.75</v>
      </c>
      <c r="D74">
        <f>IF(RawData!F838="","",RawData!F838)</f>
        <v>1.05</v>
      </c>
      <c r="E74">
        <f>IF(OR(C74="",D74=""),"",C74+D74)</f>
        <v>5802.8</v>
      </c>
    </row>
    <row r="75" spans="1:5" x14ac:dyDescent="0.25">
      <c r="A75" t="str">
        <f>IF(B75=$B$4,"ATM","")</f>
        <v/>
      </c>
      <c r="B75">
        <v>71600</v>
      </c>
      <c r="C75">
        <f>IF(RawData!F839="","",RawData!F839)</f>
        <v>5701.8</v>
      </c>
      <c r="D75">
        <f>IF(RawData!F840="","",RawData!F840)</f>
        <v>0.8</v>
      </c>
      <c r="E75">
        <f>IF(OR(C75="",D75=""),"",C75+D75)</f>
        <v>5702.6</v>
      </c>
    </row>
    <row r="76" spans="1:5" x14ac:dyDescent="0.25">
      <c r="A76" t="str">
        <f>IF(B76=$B$4,"ATM","")</f>
        <v/>
      </c>
      <c r="B76">
        <v>71700</v>
      </c>
      <c r="C76">
        <f>IF(RawData!F841="","",RawData!F841)</f>
        <v>5601.85</v>
      </c>
      <c r="D76">
        <f>IF(RawData!F842="","",RawData!F842)</f>
        <v>1.55</v>
      </c>
      <c r="E76">
        <f>IF(OR(C76="",D76=""),"",C76+D76)</f>
        <v>5603.4000000000005</v>
      </c>
    </row>
    <row r="77" spans="1:5" x14ac:dyDescent="0.25">
      <c r="A77" t="str">
        <f>IF(B77=$B$4,"ATM","")</f>
        <v/>
      </c>
      <c r="B77">
        <v>71800</v>
      </c>
      <c r="C77">
        <f>IF(RawData!F843="","",RawData!F843)</f>
        <v>5501.9</v>
      </c>
      <c r="D77">
        <f>IF(RawData!F844="","",RawData!F844)</f>
        <v>0.9</v>
      </c>
      <c r="E77">
        <f>IF(OR(C77="",D77=""),"",C77+D77)</f>
        <v>5502.7999999999993</v>
      </c>
    </row>
    <row r="78" spans="1:5" x14ac:dyDescent="0.25">
      <c r="A78" t="str">
        <f>IF(B78=$B$4,"ATM","")</f>
        <v/>
      </c>
      <c r="B78">
        <v>71900</v>
      </c>
      <c r="C78">
        <f>IF(RawData!F845="","",RawData!F845)</f>
        <v>5401.95</v>
      </c>
      <c r="D78">
        <f>IF(RawData!F846="","",RawData!F846)</f>
        <v>1.9</v>
      </c>
      <c r="E78">
        <f>IF(OR(C78="",D78=""),"",C78+D78)</f>
        <v>5403.8499999999995</v>
      </c>
    </row>
    <row r="79" spans="1:5" x14ac:dyDescent="0.25">
      <c r="A79" t="str">
        <f>IF(B79=$B$4,"ATM","")</f>
        <v/>
      </c>
      <c r="B79">
        <v>72000</v>
      </c>
      <c r="C79">
        <f>IF(RawData!F847="","",RawData!F847)</f>
        <v>5302</v>
      </c>
      <c r="D79">
        <f>IF(RawData!F848="","",RawData!F848)</f>
        <v>1.45</v>
      </c>
      <c r="E79">
        <f>IF(OR(C79="",D79=""),"",C79+D79)</f>
        <v>5303.45</v>
      </c>
    </row>
    <row r="80" spans="1:5" x14ac:dyDescent="0.25">
      <c r="A80" t="str">
        <f>IF(B80=$B$4,"ATM","")</f>
        <v/>
      </c>
      <c r="B80">
        <v>72100</v>
      </c>
      <c r="C80">
        <f>IF(RawData!F849="","",RawData!F849)</f>
        <v>5202.05</v>
      </c>
      <c r="D80">
        <f>IF(RawData!F850="","",RawData!F850)</f>
        <v>1.4</v>
      </c>
      <c r="E80">
        <f>IF(OR(C80="",D80=""),"",C80+D80)</f>
        <v>5203.45</v>
      </c>
    </row>
    <row r="81" spans="1:5" x14ac:dyDescent="0.25">
      <c r="A81" t="str">
        <f>IF(B81=$B$4,"ATM","")</f>
        <v/>
      </c>
      <c r="B81">
        <v>72200</v>
      </c>
      <c r="C81">
        <f>IF(RawData!F851="","",RawData!F851)</f>
        <v>5102.1499999999996</v>
      </c>
      <c r="D81">
        <f>IF(RawData!F852="","",RawData!F852)</f>
        <v>1.5</v>
      </c>
      <c r="E81">
        <f>IF(OR(C81="",D81=""),"",C81+D81)</f>
        <v>5103.6499999999996</v>
      </c>
    </row>
    <row r="82" spans="1:5" x14ac:dyDescent="0.25">
      <c r="A82" t="str">
        <f>IF(B82=$B$4,"ATM","")</f>
        <v/>
      </c>
      <c r="B82">
        <v>72300</v>
      </c>
      <c r="C82">
        <f>IF(RawData!F853="","",RawData!F853)</f>
        <v>5002.25</v>
      </c>
      <c r="D82">
        <f>IF(RawData!F854="","",RawData!F854)</f>
        <v>1.25</v>
      </c>
      <c r="E82">
        <f>IF(OR(C82="",D82=""),"",C82+D82)</f>
        <v>5003.5</v>
      </c>
    </row>
    <row r="83" spans="1:5" x14ac:dyDescent="0.25">
      <c r="A83" t="str">
        <f>IF(B83=$B$4,"ATM","")</f>
        <v/>
      </c>
      <c r="B83">
        <v>72400</v>
      </c>
      <c r="C83">
        <f>IF(RawData!F855="","",RawData!F855)</f>
        <v>4902.3</v>
      </c>
      <c r="D83">
        <f>IF(RawData!F856="","",RawData!F856)</f>
        <v>1.5</v>
      </c>
      <c r="E83">
        <f>IF(OR(C83="",D83=""),"",C83+D83)</f>
        <v>4903.8</v>
      </c>
    </row>
    <row r="84" spans="1:5" x14ac:dyDescent="0.25">
      <c r="A84" t="str">
        <f>IF(B84=$B$4,"ATM","")</f>
        <v/>
      </c>
      <c r="B84">
        <v>72500</v>
      </c>
      <c r="C84">
        <f>IF(RawData!F857="","",RawData!F857)</f>
        <v>4802.45</v>
      </c>
      <c r="D84">
        <f>IF(RawData!F858="","",RawData!F858)</f>
        <v>1.5</v>
      </c>
      <c r="E84">
        <f>IF(OR(C84="",D84=""),"",C84+D84)</f>
        <v>4803.95</v>
      </c>
    </row>
    <row r="85" spans="1:5" x14ac:dyDescent="0.25">
      <c r="A85" t="str">
        <f>IF(B85=$B$4,"ATM","")</f>
        <v/>
      </c>
      <c r="B85">
        <v>72600</v>
      </c>
      <c r="C85">
        <f>IF(RawData!F859="","",RawData!F859)</f>
        <v>4702.55</v>
      </c>
      <c r="D85">
        <f>IF(RawData!F860="","",RawData!F860)</f>
        <v>1.7</v>
      </c>
      <c r="E85">
        <f>IF(OR(C85="",D85=""),"",C85+D85)</f>
        <v>4704.25</v>
      </c>
    </row>
    <row r="86" spans="1:5" x14ac:dyDescent="0.25">
      <c r="A86" t="str">
        <f>IF(B86=$B$4,"ATM","")</f>
        <v/>
      </c>
      <c r="B86">
        <v>72700</v>
      </c>
      <c r="C86">
        <f>IF(RawData!F861="","",RawData!F861)</f>
        <v>4602.7</v>
      </c>
      <c r="D86">
        <f>IF(RawData!F862="","",RawData!F862)</f>
        <v>2.1</v>
      </c>
      <c r="E86">
        <f>IF(OR(C86="",D86=""),"",C86+D86)</f>
        <v>4604.8</v>
      </c>
    </row>
    <row r="87" spans="1:5" x14ac:dyDescent="0.25">
      <c r="A87" t="str">
        <f>IF(B87=$B$4,"ATM","")</f>
        <v/>
      </c>
      <c r="B87">
        <v>72800</v>
      </c>
      <c r="C87">
        <f>IF(RawData!F863="","",RawData!F863)</f>
        <v>4502.8500000000004</v>
      </c>
      <c r="D87">
        <f>IF(RawData!F864="","",RawData!F864)</f>
        <v>1.55</v>
      </c>
      <c r="E87">
        <f>IF(OR(C87="",D87=""),"",C87+D87)</f>
        <v>4504.4000000000005</v>
      </c>
    </row>
    <row r="88" spans="1:5" x14ac:dyDescent="0.25">
      <c r="A88" t="str">
        <f>IF(B88=$B$4,"ATM","")</f>
        <v/>
      </c>
      <c r="B88">
        <v>72900</v>
      </c>
      <c r="C88">
        <f>IF(RawData!F865="","",RawData!F865)</f>
        <v>4403.05</v>
      </c>
      <c r="D88">
        <f>IF(RawData!F866="","",RawData!F866)</f>
        <v>1.95</v>
      </c>
      <c r="E88">
        <f>IF(OR(C88="",D88=""),"",C88+D88)</f>
        <v>4405</v>
      </c>
    </row>
    <row r="89" spans="1:5" x14ac:dyDescent="0.25">
      <c r="A89" t="str">
        <f>IF(B89=$B$4,"ATM","")</f>
        <v/>
      </c>
      <c r="B89">
        <v>73000</v>
      </c>
      <c r="C89">
        <f>IF(RawData!F867="","",RawData!F867)</f>
        <v>4075</v>
      </c>
      <c r="D89">
        <f>IF(RawData!F868="","",RawData!F868)</f>
        <v>1.85</v>
      </c>
      <c r="E89">
        <f>IF(OR(C89="",D89=""),"",C89+D89)</f>
        <v>4076.85</v>
      </c>
    </row>
    <row r="90" spans="1:5" x14ac:dyDescent="0.25">
      <c r="A90" t="str">
        <f>IF(B90=$B$4,"ATM","")</f>
        <v/>
      </c>
      <c r="B90">
        <v>73100</v>
      </c>
      <c r="C90">
        <f>IF(RawData!F869="","",RawData!F869)</f>
        <v>4203.55</v>
      </c>
      <c r="D90">
        <f>IF(RawData!F870="","",RawData!F870)</f>
        <v>2.25</v>
      </c>
      <c r="E90">
        <f>IF(OR(C90="",D90=""),"",C90+D90)</f>
        <v>4205.8</v>
      </c>
    </row>
    <row r="91" spans="1:5" x14ac:dyDescent="0.25">
      <c r="A91" t="str">
        <f>IF(B91=$B$4,"ATM","")</f>
        <v/>
      </c>
      <c r="B91">
        <v>73200</v>
      </c>
      <c r="C91">
        <f>IF(RawData!F871="","",RawData!F871)</f>
        <v>4103.8999999999996</v>
      </c>
      <c r="D91">
        <f>IF(RawData!F872="","",RawData!F872)</f>
        <v>2</v>
      </c>
      <c r="E91">
        <f>IF(OR(C91="",D91=""),"",C91+D91)</f>
        <v>4105.8999999999996</v>
      </c>
    </row>
    <row r="92" spans="1:5" x14ac:dyDescent="0.25">
      <c r="A92" t="str">
        <f>IF(B92=$B$4,"ATM","")</f>
        <v/>
      </c>
      <c r="B92">
        <v>73300</v>
      </c>
      <c r="C92">
        <f>IF(RawData!F873="","",RawData!F873)</f>
        <v>4004.3</v>
      </c>
      <c r="D92">
        <f>IF(RawData!F874="","",RawData!F874)</f>
        <v>2.35</v>
      </c>
      <c r="E92">
        <f>IF(OR(C92="",D92=""),"",C92+D92)</f>
        <v>4006.65</v>
      </c>
    </row>
    <row r="93" spans="1:5" x14ac:dyDescent="0.25">
      <c r="A93" t="str">
        <f>IF(B93=$B$4,"ATM","")</f>
        <v/>
      </c>
      <c r="B93">
        <v>73400</v>
      </c>
      <c r="C93">
        <f>IF(RawData!F875="","",RawData!F875)</f>
        <v>3904.8</v>
      </c>
      <c r="D93">
        <f>IF(RawData!F876="","",RawData!F876)</f>
        <v>2.5</v>
      </c>
      <c r="E93">
        <f>IF(OR(C93="",D93=""),"",C93+D93)</f>
        <v>3907.3</v>
      </c>
    </row>
    <row r="94" spans="1:5" x14ac:dyDescent="0.25">
      <c r="A94" t="str">
        <f>IF(B94=$B$4,"ATM","")</f>
        <v/>
      </c>
      <c r="B94">
        <v>73500</v>
      </c>
      <c r="C94">
        <f>IF(RawData!F877="","",RawData!F877)</f>
        <v>3805.35</v>
      </c>
      <c r="D94">
        <f>IF(RawData!F878="","",RawData!F878)</f>
        <v>2.6</v>
      </c>
      <c r="E94">
        <f>IF(OR(C94="",D94=""),"",C94+D94)</f>
        <v>3807.95</v>
      </c>
    </row>
    <row r="95" spans="1:5" x14ac:dyDescent="0.25">
      <c r="A95" t="str">
        <f>IF(B95=$B$4,"ATM","")</f>
        <v/>
      </c>
      <c r="B95">
        <v>73600</v>
      </c>
      <c r="C95">
        <f>IF(RawData!F879="","",RawData!F879)</f>
        <v>3706.05</v>
      </c>
      <c r="D95">
        <f>IF(RawData!F880="","",RawData!F880)</f>
        <v>2.7</v>
      </c>
      <c r="E95">
        <f>IF(OR(C95="",D95=""),"",C95+D95)</f>
        <v>3708.75</v>
      </c>
    </row>
    <row r="96" spans="1:5" x14ac:dyDescent="0.25">
      <c r="A96" t="str">
        <f>IF(B96=$B$4,"ATM","")</f>
        <v/>
      </c>
      <c r="B96">
        <v>73700</v>
      </c>
      <c r="C96">
        <f>IF(RawData!F881="","",RawData!F881)</f>
        <v>3606.9</v>
      </c>
      <c r="D96">
        <f>IF(RawData!F882="","",RawData!F882)</f>
        <v>2.75</v>
      </c>
      <c r="E96">
        <f>IF(OR(C96="",D96=""),"",C96+D96)</f>
        <v>3609.65</v>
      </c>
    </row>
    <row r="97" spans="1:5" x14ac:dyDescent="0.25">
      <c r="A97" t="str">
        <f>IF(B97=$B$4,"ATM","")</f>
        <v/>
      </c>
      <c r="B97">
        <v>73800</v>
      </c>
      <c r="C97">
        <f>IF(RawData!F883="","",RawData!F883)</f>
        <v>3507.85</v>
      </c>
      <c r="D97">
        <f>IF(RawData!F884="","",RawData!F884)</f>
        <v>3.05</v>
      </c>
      <c r="E97">
        <f>IF(OR(C97="",D97=""),"",C97+D97)</f>
        <v>3510.9</v>
      </c>
    </row>
    <row r="98" spans="1:5" x14ac:dyDescent="0.25">
      <c r="A98" t="str">
        <f>IF(B98=$B$4,"ATM","")</f>
        <v/>
      </c>
      <c r="B98">
        <v>73900</v>
      </c>
      <c r="C98">
        <f>IF(RawData!F885="","",RawData!F885)</f>
        <v>3409.05</v>
      </c>
      <c r="D98">
        <f>IF(RawData!F886="","",RawData!F886)</f>
        <v>3.35</v>
      </c>
      <c r="E98">
        <f>IF(OR(C98="",D98=""),"",C98+D98)</f>
        <v>3412.4</v>
      </c>
    </row>
    <row r="99" spans="1:5" x14ac:dyDescent="0.25">
      <c r="A99" t="str">
        <f>IF(B99=$B$4,"ATM","")</f>
        <v/>
      </c>
      <c r="B99">
        <v>74000</v>
      </c>
      <c r="C99">
        <f>IF(RawData!F887="","",RawData!F887)</f>
        <v>3194.5</v>
      </c>
      <c r="D99">
        <f>IF(RawData!F888="","",RawData!F888)</f>
        <v>3.55</v>
      </c>
      <c r="E99">
        <f>IF(OR(C99="",D99=""),"",C99+D99)</f>
        <v>3198.05</v>
      </c>
    </row>
    <row r="100" spans="1:5" x14ac:dyDescent="0.25">
      <c r="A100" t="str">
        <f>IF(B100=$B$4,"ATM","")</f>
        <v/>
      </c>
      <c r="B100">
        <v>74100</v>
      </c>
      <c r="C100">
        <f>IF(RawData!F889="","",RawData!F889)</f>
        <v>3212.05</v>
      </c>
      <c r="D100">
        <f>IF(RawData!F890="","",RawData!F890)</f>
        <v>3.7</v>
      </c>
      <c r="E100">
        <f>IF(OR(C100="",D100=""),"",C100+D100)</f>
        <v>3215.75</v>
      </c>
    </row>
    <row r="101" spans="1:5" x14ac:dyDescent="0.25">
      <c r="A101" t="str">
        <f>IF(B101=$B$4,"ATM","")</f>
        <v/>
      </c>
      <c r="B101">
        <v>74200</v>
      </c>
      <c r="C101">
        <f>IF(RawData!F891="","",RawData!F891)</f>
        <v>3114</v>
      </c>
      <c r="D101">
        <f>IF(RawData!F892="","",RawData!F892)</f>
        <v>4.1500000000000004</v>
      </c>
      <c r="E101">
        <f>IF(OR(C101="",D101=""),"",C101+D101)</f>
        <v>3118.15</v>
      </c>
    </row>
    <row r="102" spans="1:5" x14ac:dyDescent="0.25">
      <c r="A102" t="str">
        <f>IF(B102=$B$4,"ATM","")</f>
        <v/>
      </c>
      <c r="B102">
        <v>74300</v>
      </c>
      <c r="C102">
        <f>IF(RawData!F893="","",RawData!F893)</f>
        <v>3016.25</v>
      </c>
      <c r="D102">
        <f>IF(RawData!F894="","",RawData!F894)</f>
        <v>4.7</v>
      </c>
      <c r="E102">
        <f>IF(OR(C102="",D102=""),"",C102+D102)</f>
        <v>3020.95</v>
      </c>
    </row>
    <row r="103" spans="1:5" x14ac:dyDescent="0.25">
      <c r="A103" t="str">
        <f>IF(B103=$B$4,"ATM","")</f>
        <v/>
      </c>
      <c r="B103">
        <v>74400</v>
      </c>
      <c r="C103">
        <f>IF(RawData!F895="","",RawData!F895)</f>
        <v>2918.9</v>
      </c>
      <c r="D103">
        <f>IF(RawData!F896="","",RawData!F896)</f>
        <v>4.75</v>
      </c>
      <c r="E103">
        <f>IF(OR(C103="",D103=""),"",C103+D103)</f>
        <v>2923.65</v>
      </c>
    </row>
    <row r="104" spans="1:5" x14ac:dyDescent="0.25">
      <c r="A104" t="str">
        <f>IF(B104=$B$4,"ATM","")</f>
        <v/>
      </c>
      <c r="B104">
        <v>74500</v>
      </c>
      <c r="C104">
        <f>IF(RawData!F897="","",RawData!F897)</f>
        <v>2986</v>
      </c>
      <c r="D104">
        <f>IF(RawData!F898="","",RawData!F898)</f>
        <v>5.95</v>
      </c>
      <c r="E104">
        <f>IF(OR(C104="",D104=""),"",C104+D104)</f>
        <v>2991.95</v>
      </c>
    </row>
    <row r="105" spans="1:5" x14ac:dyDescent="0.25">
      <c r="A105" t="str">
        <f>IF(B105=$B$4,"ATM","")</f>
        <v/>
      </c>
      <c r="B105">
        <v>74600</v>
      </c>
      <c r="C105">
        <f>IF(RawData!F899="","",RawData!F899)</f>
        <v>2725.55</v>
      </c>
      <c r="D105">
        <f>IF(RawData!F900="","",RawData!F900)</f>
        <v>6.8</v>
      </c>
      <c r="E105">
        <f>IF(OR(C105="",D105=""),"",C105+D105)</f>
        <v>2732.3500000000004</v>
      </c>
    </row>
    <row r="106" spans="1:5" x14ac:dyDescent="0.25">
      <c r="A106" t="str">
        <f>IF(B106=$B$4,"ATM","")</f>
        <v/>
      </c>
      <c r="B106">
        <v>74700</v>
      </c>
      <c r="C106">
        <f>IF(RawData!F901="","",RawData!F901)</f>
        <v>2629.65</v>
      </c>
      <c r="D106">
        <f>IF(RawData!F902="","",RawData!F902)</f>
        <v>7.7</v>
      </c>
      <c r="E106">
        <f>IF(OR(C106="",D106=""),"",C106+D106)</f>
        <v>2637.35</v>
      </c>
    </row>
    <row r="107" spans="1:5" x14ac:dyDescent="0.25">
      <c r="A107" t="str">
        <f>IF(B107=$B$4,"ATM","")</f>
        <v/>
      </c>
      <c r="B107">
        <v>74800</v>
      </c>
      <c r="C107">
        <f>IF(RawData!F903="","",RawData!F903)</f>
        <v>2534.4</v>
      </c>
      <c r="D107">
        <f>IF(RawData!F904="","",RawData!F904)</f>
        <v>9.35</v>
      </c>
      <c r="E107">
        <f>IF(OR(C107="",D107=""),"",C107+D107)</f>
        <v>2543.75</v>
      </c>
    </row>
    <row r="108" spans="1:5" x14ac:dyDescent="0.25">
      <c r="A108" t="str">
        <f>IF(B108=$B$4,"ATM","")</f>
        <v/>
      </c>
      <c r="B108">
        <v>74900</v>
      </c>
      <c r="C108">
        <f>IF(RawData!F905="","",RawData!F905)</f>
        <v>2439.85</v>
      </c>
      <c r="D108">
        <f>IF(RawData!F906="","",RawData!F906)</f>
        <v>10.45</v>
      </c>
      <c r="E108">
        <f>IF(OR(C108="",D108=""),"",C108+D108)</f>
        <v>2450.2999999999997</v>
      </c>
    </row>
    <row r="109" spans="1:5" x14ac:dyDescent="0.25">
      <c r="A109" t="str">
        <f>IF(B109=$B$4,"ATM","")</f>
        <v/>
      </c>
      <c r="B109">
        <v>75000</v>
      </c>
      <c r="C109">
        <f>IF(RawData!F907="","",RawData!F907)</f>
        <v>2217.9</v>
      </c>
      <c r="D109">
        <f>IF(RawData!F908="","",RawData!F908)</f>
        <v>12.65</v>
      </c>
      <c r="E109">
        <f>IF(OR(C109="",D109=""),"",C109+D109)</f>
        <v>2230.5500000000002</v>
      </c>
    </row>
    <row r="110" spans="1:5" x14ac:dyDescent="0.25">
      <c r="A110" t="str">
        <f>IF(B110=$B$4,"ATM","")</f>
        <v/>
      </c>
      <c r="B110">
        <v>75100</v>
      </c>
      <c r="C110">
        <f>IF(RawData!F909="","",RawData!F909)</f>
        <v>2253.15</v>
      </c>
      <c r="D110">
        <f>IF(RawData!F910="","",RawData!F910)</f>
        <v>15.1</v>
      </c>
      <c r="E110">
        <f>IF(OR(C110="",D110=""),"",C110+D110)</f>
        <v>2268.25</v>
      </c>
    </row>
    <row r="111" spans="1:5" x14ac:dyDescent="0.25">
      <c r="A111" t="str">
        <f>IF(B111=$B$4,"ATM","")</f>
        <v/>
      </c>
      <c r="B111">
        <v>75200</v>
      </c>
      <c r="C111">
        <f>IF(RawData!F911="","",RawData!F911)</f>
        <v>2002.5</v>
      </c>
      <c r="D111">
        <f>IF(RawData!F912="","",RawData!F912)</f>
        <v>17.2</v>
      </c>
      <c r="E111">
        <f>IF(OR(C111="",D111=""),"",C111+D111)</f>
        <v>2019.7</v>
      </c>
    </row>
    <row r="112" spans="1:5" x14ac:dyDescent="0.25">
      <c r="A112" t="str">
        <f>IF(B112=$B$4,"ATM","")</f>
        <v/>
      </c>
      <c r="B112">
        <v>75300</v>
      </c>
      <c r="C112">
        <f>IF(RawData!F913="","",RawData!F913)</f>
        <v>1850</v>
      </c>
      <c r="D112">
        <f>IF(RawData!F914="","",RawData!F914)</f>
        <v>20.8</v>
      </c>
      <c r="E112">
        <f>IF(OR(C112="",D112=""),"",C112+D112)</f>
        <v>1870.8</v>
      </c>
    </row>
    <row r="113" spans="1:5" x14ac:dyDescent="0.25">
      <c r="A113" t="str">
        <f>IF(B113=$B$4,"ATM","")</f>
        <v/>
      </c>
      <c r="B113">
        <v>75400</v>
      </c>
      <c r="C113">
        <f>IF(RawData!F915="","",RawData!F915)</f>
        <v>1750</v>
      </c>
      <c r="D113">
        <f>IF(RawData!F916="","",RawData!F916)</f>
        <v>24.25</v>
      </c>
      <c r="E113">
        <f>IF(OR(C113="",D113=""),"",C113+D113)</f>
        <v>1774.25</v>
      </c>
    </row>
    <row r="114" spans="1:5" x14ac:dyDescent="0.25">
      <c r="A114" t="str">
        <f>IF(B114=$B$4,"ATM","")</f>
        <v/>
      </c>
      <c r="B114">
        <v>75500</v>
      </c>
      <c r="C114">
        <f>IF(RawData!F917="","",RawData!F917)</f>
        <v>1727.05</v>
      </c>
      <c r="D114">
        <f>IF(RawData!F918="","",RawData!F918)</f>
        <v>29.3</v>
      </c>
      <c r="E114">
        <f>IF(OR(C114="",D114=""),"",C114+D114)</f>
        <v>1756.35</v>
      </c>
    </row>
    <row r="115" spans="1:5" x14ac:dyDescent="0.25">
      <c r="A115" t="str">
        <f>IF(B115=$B$4,"ATM","")</f>
        <v/>
      </c>
      <c r="B115">
        <v>75600</v>
      </c>
      <c r="C115">
        <f>IF(RawData!F919="","",RawData!F919)</f>
        <v>1637.1</v>
      </c>
      <c r="D115">
        <f>IF(RawData!F920="","",RawData!F920)</f>
        <v>35.1</v>
      </c>
      <c r="E115">
        <f>IF(OR(C115="",D115=""),"",C115+D115)</f>
        <v>1672.1999999999998</v>
      </c>
    </row>
    <row r="116" spans="1:5" x14ac:dyDescent="0.25">
      <c r="A116" t="str">
        <f>IF(B116=$B$4,"ATM","")</f>
        <v/>
      </c>
      <c r="B116">
        <v>75700</v>
      </c>
      <c r="C116">
        <f>IF(RawData!F921="","",RawData!F921)</f>
        <v>1539.6</v>
      </c>
      <c r="D116">
        <f>IF(RawData!F922="","",RawData!F922)</f>
        <v>42</v>
      </c>
      <c r="E116">
        <f>IF(OR(C116="",D116=""),"",C116+D116)</f>
        <v>1581.6</v>
      </c>
    </row>
    <row r="117" spans="1:5" x14ac:dyDescent="0.25">
      <c r="A117" t="str">
        <f>IF(B117=$B$4,"ATM","")</f>
        <v/>
      </c>
      <c r="B117">
        <v>75800</v>
      </c>
      <c r="C117">
        <f>IF(RawData!F923="","",RawData!F923)</f>
        <v>1448.65</v>
      </c>
      <c r="D117">
        <f>IF(RawData!F924="","",RawData!F924)</f>
        <v>49.25</v>
      </c>
      <c r="E117">
        <f>IF(OR(C117="",D117=""),"",C117+D117)</f>
        <v>1497.9</v>
      </c>
    </row>
    <row r="118" spans="1:5" x14ac:dyDescent="0.25">
      <c r="A118" t="str">
        <f>IF(B118=$B$4,"ATM","")</f>
        <v/>
      </c>
      <c r="B118">
        <v>75900</v>
      </c>
      <c r="C118">
        <f>IF(RawData!F925="","",RawData!F925)</f>
        <v>1362.5</v>
      </c>
      <c r="D118">
        <f>IF(RawData!F926="","",RawData!F926)</f>
        <v>58.95</v>
      </c>
      <c r="E118">
        <f>IF(OR(C118="",D118=""),"",C118+D118)</f>
        <v>1421.45</v>
      </c>
    </row>
    <row r="119" spans="1:5" x14ac:dyDescent="0.25">
      <c r="A119" t="str">
        <f>IF(B119=$B$4,"ATM","")</f>
        <v/>
      </c>
      <c r="B119">
        <v>76000</v>
      </c>
      <c r="C119">
        <f>IF(RawData!F927="","",RawData!F927)</f>
        <v>1275.3499999999999</v>
      </c>
      <c r="D119">
        <f>IF(RawData!F928="","",RawData!F928)</f>
        <v>69.900000000000006</v>
      </c>
      <c r="E119">
        <f>IF(OR(C119="",D119=""),"",C119+D119)</f>
        <v>1345.25</v>
      </c>
    </row>
    <row r="120" spans="1:5" x14ac:dyDescent="0.25">
      <c r="A120" t="str">
        <f>IF(B120=$B$4,"ATM","")</f>
        <v/>
      </c>
      <c r="B120">
        <v>76100</v>
      </c>
      <c r="C120">
        <f>IF(RawData!F929="","",RawData!F929)</f>
        <v>1186.5</v>
      </c>
      <c r="D120">
        <f>IF(RawData!F930="","",RawData!F930)</f>
        <v>83.15</v>
      </c>
      <c r="E120">
        <f>IF(OR(C120="",D120=""),"",C120+D120)</f>
        <v>1269.6500000000001</v>
      </c>
    </row>
    <row r="121" spans="1:5" x14ac:dyDescent="0.25">
      <c r="A121" t="str">
        <f>IF(B121=$B$4,"ATM","")</f>
        <v/>
      </c>
      <c r="B121">
        <v>76200</v>
      </c>
      <c r="C121">
        <f>IF(RawData!F931="","",RawData!F931)</f>
        <v>1101.3499999999999</v>
      </c>
      <c r="D121">
        <f>IF(RawData!F932="","",RawData!F932)</f>
        <v>97.4</v>
      </c>
      <c r="E121">
        <f>IF(OR(C121="",D121=""),"",C121+D121)</f>
        <v>1198.75</v>
      </c>
    </row>
    <row r="122" spans="1:5" x14ac:dyDescent="0.25">
      <c r="A122" t="str">
        <f>IF(B122=$B$4,"ATM","")</f>
        <v/>
      </c>
      <c r="B122">
        <v>76300</v>
      </c>
      <c r="C122">
        <f>IF(RawData!F933="","",RawData!F933)</f>
        <v>1013.7</v>
      </c>
      <c r="D122">
        <f>IF(RawData!F934="","",RawData!F934)</f>
        <v>113.55</v>
      </c>
      <c r="E122">
        <f>IF(OR(C122="",D122=""),"",C122+D122)</f>
        <v>1127.25</v>
      </c>
    </row>
    <row r="123" spans="1:5" x14ac:dyDescent="0.25">
      <c r="A123" t="str">
        <f>IF(B123=$B$4,"ATM","")</f>
        <v/>
      </c>
      <c r="B123">
        <v>76400</v>
      </c>
      <c r="C123">
        <f>IF(RawData!F935="","",RawData!F935)</f>
        <v>932.95</v>
      </c>
      <c r="D123">
        <f>IF(RawData!F936="","",RawData!F936)</f>
        <v>134</v>
      </c>
      <c r="E123">
        <f>IF(OR(C123="",D123=""),"",C123+D123)</f>
        <v>1066.95</v>
      </c>
    </row>
    <row r="124" spans="1:5" x14ac:dyDescent="0.25">
      <c r="A124" t="str">
        <f>IF(B124=$B$4,"ATM","")</f>
        <v/>
      </c>
      <c r="B124">
        <v>76500</v>
      </c>
      <c r="C124">
        <f>IF(RawData!F937="","",RawData!F937)</f>
        <v>857.25</v>
      </c>
      <c r="D124">
        <f>IF(RawData!F938="","",RawData!F938)</f>
        <v>155.30000000000001</v>
      </c>
      <c r="E124">
        <f>IF(OR(C124="",D124=""),"",C124+D124)</f>
        <v>1012.55</v>
      </c>
    </row>
    <row r="125" spans="1:5" x14ac:dyDescent="0.25">
      <c r="A125" t="str">
        <f>IF(B125=$B$4,"ATM","")</f>
        <v/>
      </c>
      <c r="B125">
        <v>76600</v>
      </c>
      <c r="C125">
        <f>IF(RawData!F939="","",RawData!F939)</f>
        <v>778.45</v>
      </c>
      <c r="D125">
        <f>IF(RawData!F940="","",RawData!F940)</f>
        <v>179.4</v>
      </c>
      <c r="E125">
        <f>IF(OR(C125="",D125=""),"",C125+D125)</f>
        <v>957.85</v>
      </c>
    </row>
    <row r="126" spans="1:5" x14ac:dyDescent="0.25">
      <c r="A126" t="str">
        <f>IF(B126=$B$4,"ATM","")</f>
        <v/>
      </c>
      <c r="B126">
        <v>76700</v>
      </c>
      <c r="C126">
        <f>IF(RawData!F941="","",RawData!F941)</f>
        <v>708.7</v>
      </c>
      <c r="D126">
        <f>IF(RawData!F942="","",RawData!F942)</f>
        <v>203.7</v>
      </c>
      <c r="E126">
        <f>IF(OR(C126="",D126=""),"",C126+D126)</f>
        <v>912.40000000000009</v>
      </c>
    </row>
    <row r="127" spans="1:5" x14ac:dyDescent="0.25">
      <c r="A127" t="str">
        <f>IF(B127=$B$4,"ATM","")</f>
        <v/>
      </c>
      <c r="B127">
        <v>76800</v>
      </c>
      <c r="C127">
        <f>IF(RawData!F943="","",RawData!F943)</f>
        <v>641.5</v>
      </c>
      <c r="D127">
        <f>IF(RawData!F944="","",RawData!F944)</f>
        <v>240</v>
      </c>
      <c r="E127">
        <f>IF(OR(C127="",D127=""),"",C127+D127)</f>
        <v>881.5</v>
      </c>
    </row>
    <row r="128" spans="1:5" x14ac:dyDescent="0.25">
      <c r="A128" t="str">
        <f>IF(B128=$B$4,"ATM","")</f>
        <v/>
      </c>
      <c r="B128">
        <v>76900</v>
      </c>
      <c r="C128">
        <f>IF(RawData!F945="","",RawData!F945)</f>
        <v>572.29999999999995</v>
      </c>
      <c r="D128">
        <f>IF(RawData!F946="","",RawData!F946)</f>
        <v>273.25</v>
      </c>
      <c r="E128">
        <f>IF(OR(C128="",D128=""),"",C128+D128)</f>
        <v>845.55</v>
      </c>
    </row>
    <row r="129" spans="1:5" x14ac:dyDescent="0.25">
      <c r="A129" t="str">
        <f>IF(B129=$B$4,"ATM","")</f>
        <v>ATM</v>
      </c>
      <c r="B129">
        <v>77000</v>
      </c>
      <c r="C129">
        <f>IF(RawData!F947="","",RawData!F947)</f>
        <v>513.70000000000005</v>
      </c>
      <c r="D129">
        <f>IF(RawData!F948="","",RawData!F948)</f>
        <v>314</v>
      </c>
      <c r="E129">
        <f>IF(OR(C129="",D129=""),"",C129+D129)</f>
        <v>827.7</v>
      </c>
    </row>
    <row r="130" spans="1:5" x14ac:dyDescent="0.25">
      <c r="A130" t="str">
        <f>IF(B130=$B$4,"ATM","")</f>
        <v/>
      </c>
      <c r="B130">
        <v>77100</v>
      </c>
      <c r="C130">
        <f>IF(RawData!F949="","",RawData!F949)</f>
        <v>457.15</v>
      </c>
      <c r="D130">
        <f>IF(RawData!F950="","",RawData!F950)</f>
        <v>352.15</v>
      </c>
      <c r="E130">
        <f>IF(OR(C130="",D130=""),"",C130+D130)</f>
        <v>809.3</v>
      </c>
    </row>
    <row r="131" spans="1:5" x14ac:dyDescent="0.25">
      <c r="A131" t="str">
        <f>IF(B131=$B$4,"ATM","")</f>
        <v/>
      </c>
      <c r="B131">
        <v>77200</v>
      </c>
      <c r="C131">
        <f>IF(RawData!F951="","",RawData!F951)</f>
        <v>406.6</v>
      </c>
      <c r="D131">
        <f>IF(RawData!F952="","",RawData!F952)</f>
        <v>403.5</v>
      </c>
      <c r="E131">
        <f>IF(OR(C131="",D131=""),"",C131+D131)</f>
        <v>810.1</v>
      </c>
    </row>
    <row r="132" spans="1:5" x14ac:dyDescent="0.25">
      <c r="A132" t="str">
        <f>IF(B132=$B$4,"ATM","")</f>
        <v/>
      </c>
      <c r="B132">
        <v>77300</v>
      </c>
      <c r="C132">
        <f>IF(RawData!F953="","",RawData!F953)</f>
        <v>357.55</v>
      </c>
      <c r="D132">
        <f>IF(RawData!F954="","",RawData!F954)</f>
        <v>456.4</v>
      </c>
      <c r="E132">
        <f>IF(OR(C132="",D132=""),"",C132+D132)</f>
        <v>813.95</v>
      </c>
    </row>
    <row r="133" spans="1:5" x14ac:dyDescent="0.25">
      <c r="A133" t="str">
        <f>IF(B133=$B$4,"ATM","")</f>
        <v/>
      </c>
      <c r="B133">
        <v>77400</v>
      </c>
      <c r="C133">
        <f>IF(RawData!F955="","",RawData!F955)</f>
        <v>315.25</v>
      </c>
      <c r="D133">
        <f>IF(RawData!F956="","",RawData!F956)</f>
        <v>511.7</v>
      </c>
      <c r="E133">
        <f>IF(OR(C133="",D133=""),"",C133+D133)</f>
        <v>826.95</v>
      </c>
    </row>
    <row r="134" spans="1:5" x14ac:dyDescent="0.25">
      <c r="A134" t="str">
        <f>IF(B134=$B$4,"ATM","")</f>
        <v/>
      </c>
      <c r="B134">
        <v>77500</v>
      </c>
      <c r="C134">
        <f>IF(RawData!F957="","",RawData!F957)</f>
        <v>274.75</v>
      </c>
      <c r="D134">
        <f>IF(RawData!F958="","",RawData!F958)</f>
        <v>572.15</v>
      </c>
      <c r="E134">
        <f>IF(OR(C134="",D134=""),"",C134+D134)</f>
        <v>846.9</v>
      </c>
    </row>
    <row r="135" spans="1:5" x14ac:dyDescent="0.25">
      <c r="A135" t="str">
        <f>IF(B135=$B$4,"ATM","")</f>
        <v/>
      </c>
      <c r="B135">
        <v>77600</v>
      </c>
      <c r="C135">
        <f>IF(RawData!F959="","",RawData!F959)</f>
        <v>236.75</v>
      </c>
      <c r="D135">
        <f>IF(RawData!F960="","",RawData!F960)</f>
        <v>630.95000000000005</v>
      </c>
      <c r="E135">
        <f>IF(OR(C135="",D135=""),"",C135+D135)</f>
        <v>867.7</v>
      </c>
    </row>
    <row r="136" spans="1:5" x14ac:dyDescent="0.25">
      <c r="A136" t="str">
        <f>IF(B136=$B$4,"ATM","")</f>
        <v/>
      </c>
      <c r="B136">
        <v>77700</v>
      </c>
      <c r="C136">
        <f>IF(RawData!F961="","",RawData!F961)</f>
        <v>205</v>
      </c>
      <c r="D136">
        <f>IF(RawData!F962="","",RawData!F962)</f>
        <v>702.55</v>
      </c>
      <c r="E136">
        <f>IF(OR(C136="",D136=""),"",C136+D136)</f>
        <v>907.55</v>
      </c>
    </row>
    <row r="137" spans="1:5" x14ac:dyDescent="0.25">
      <c r="A137" t="str">
        <f>IF(B137=$B$4,"ATM","")</f>
        <v/>
      </c>
      <c r="B137">
        <v>77800</v>
      </c>
      <c r="C137">
        <f>IF(RawData!F963="","",RawData!F963)</f>
        <v>172.25</v>
      </c>
      <c r="D137">
        <f>IF(RawData!F964="","",RawData!F964)</f>
        <v>769.2</v>
      </c>
      <c r="E137">
        <f>IF(OR(C137="",D137=""),"",C137+D137)</f>
        <v>941.45</v>
      </c>
    </row>
    <row r="138" spans="1:5" x14ac:dyDescent="0.25">
      <c r="A138" t="str">
        <f>IF(B138=$B$4,"ATM","")</f>
        <v/>
      </c>
      <c r="B138">
        <v>77900</v>
      </c>
      <c r="C138">
        <f>IF(RawData!F965="","",RawData!F965)</f>
        <v>148.1</v>
      </c>
      <c r="D138">
        <f>IF(RawData!F966="","",RawData!F966)</f>
        <v>846</v>
      </c>
      <c r="E138">
        <f>IF(OR(C138="",D138=""),"",C138+D138)</f>
        <v>994.1</v>
      </c>
    </row>
    <row r="139" spans="1:5" x14ac:dyDescent="0.25">
      <c r="A139" t="str">
        <f>IF(B139=$B$4,"ATM","")</f>
        <v/>
      </c>
      <c r="B139">
        <v>78000</v>
      </c>
      <c r="C139">
        <f>IF(RawData!F967="","",RawData!F967)</f>
        <v>125.5</v>
      </c>
      <c r="D139">
        <f>IF(RawData!F968="","",RawData!F968)</f>
        <v>921</v>
      </c>
      <c r="E139">
        <f>IF(OR(C139="",D139=""),"",C139+D139)</f>
        <v>1046.5</v>
      </c>
    </row>
    <row r="140" spans="1:5" x14ac:dyDescent="0.25">
      <c r="A140" t="str">
        <f>IF(B140=$B$4,"ATM","")</f>
        <v/>
      </c>
      <c r="B140">
        <v>78100</v>
      </c>
      <c r="C140">
        <f>IF(RawData!F969="","",RawData!F969)</f>
        <v>106.1</v>
      </c>
      <c r="D140">
        <f>IF(RawData!F970="","",RawData!F970)</f>
        <v>1004.5</v>
      </c>
      <c r="E140">
        <f>IF(OR(C140="",D140=""),"",C140+D140)</f>
        <v>1110.5999999999999</v>
      </c>
    </row>
    <row r="141" spans="1:5" x14ac:dyDescent="0.25">
      <c r="A141" t="str">
        <f>IF(B141=$B$4,"ATM","")</f>
        <v/>
      </c>
      <c r="B141">
        <v>78200</v>
      </c>
      <c r="C141">
        <f>IF(RawData!F971="","",RawData!F971)</f>
        <v>89.55</v>
      </c>
      <c r="D141">
        <f>IF(RawData!F972="","",RawData!F972)</f>
        <v>1080.7</v>
      </c>
      <c r="E141">
        <f>IF(OR(C141="",D141=""),"",C141+D141)</f>
        <v>1170.25</v>
      </c>
    </row>
    <row r="142" spans="1:5" x14ac:dyDescent="0.25">
      <c r="A142" t="str">
        <f>IF(B142=$B$4,"ATM","")</f>
        <v/>
      </c>
      <c r="B142">
        <v>78300</v>
      </c>
      <c r="C142">
        <f>IF(RawData!F973="","",RawData!F973)</f>
        <v>74.55</v>
      </c>
      <c r="D142">
        <f>IF(RawData!F974="","",RawData!F974)</f>
        <v>1175.6500000000001</v>
      </c>
      <c r="E142">
        <f>IF(OR(C142="",D142=""),"",C142+D142)</f>
        <v>1250.2</v>
      </c>
    </row>
    <row r="143" spans="1:5" x14ac:dyDescent="0.25">
      <c r="A143" t="str">
        <f>IF(B143=$B$4,"ATM","")</f>
        <v/>
      </c>
      <c r="B143">
        <v>78400</v>
      </c>
      <c r="C143">
        <f>IF(RawData!F975="","",RawData!F975)</f>
        <v>61.5</v>
      </c>
      <c r="D143">
        <f>IF(RawData!F976="","",RawData!F976)</f>
        <v>1260</v>
      </c>
      <c r="E143">
        <f>IF(OR(C143="",D143=""),"",C143+D143)</f>
        <v>1321.5</v>
      </c>
    </row>
    <row r="144" spans="1:5" x14ac:dyDescent="0.25">
      <c r="A144" t="str">
        <f>IF(B144=$B$4,"ATM","")</f>
        <v/>
      </c>
      <c r="B144">
        <v>78500</v>
      </c>
      <c r="C144">
        <f>IF(RawData!F977="","",RawData!F977)</f>
        <v>50.95</v>
      </c>
      <c r="D144">
        <f>IF(RawData!F978="","",RawData!F978)</f>
        <v>1350.25</v>
      </c>
      <c r="E144">
        <f>IF(OR(C144="",D144=""),"",C144+D144)</f>
        <v>1401.2</v>
      </c>
    </row>
    <row r="145" spans="1:5" x14ac:dyDescent="0.25">
      <c r="A145" t="str">
        <f>IF(B145=$B$4,"ATM","")</f>
        <v/>
      </c>
      <c r="B145">
        <v>78600</v>
      </c>
      <c r="C145">
        <f>IF(RawData!F979="","",RawData!F979)</f>
        <v>41.55</v>
      </c>
      <c r="D145">
        <f>IF(RawData!F980="","",RawData!F980)</f>
        <v>1444.45</v>
      </c>
      <c r="E145">
        <f>IF(OR(C145="",D145=""),"",C145+D145)</f>
        <v>1486</v>
      </c>
    </row>
    <row r="146" spans="1:5" x14ac:dyDescent="0.25">
      <c r="A146" t="str">
        <f>IF(B146=$B$4,"ATM","")</f>
        <v/>
      </c>
      <c r="B146">
        <v>78700</v>
      </c>
      <c r="C146">
        <f>IF(RawData!F981="","",RawData!F981)</f>
        <v>34.549999999999997</v>
      </c>
      <c r="D146">
        <f>IF(RawData!F982="","",RawData!F982)</f>
        <v>1560.3</v>
      </c>
      <c r="E146">
        <f>IF(OR(C146="",D146=""),"",C146+D146)</f>
        <v>1594.85</v>
      </c>
    </row>
    <row r="147" spans="1:5" x14ac:dyDescent="0.25">
      <c r="A147" t="str">
        <f>IF(B147=$B$4,"ATM","")</f>
        <v/>
      </c>
      <c r="B147">
        <v>78800</v>
      </c>
      <c r="C147">
        <f>IF(RawData!F983="","",RawData!F983)</f>
        <v>28.55</v>
      </c>
      <c r="D147">
        <f>IF(RawData!F984="","",RawData!F984)</f>
        <v>1618.85</v>
      </c>
      <c r="E147">
        <f>IF(OR(C147="",D147=""),"",C147+D147)</f>
        <v>1647.3999999999999</v>
      </c>
    </row>
    <row r="148" spans="1:5" x14ac:dyDescent="0.25">
      <c r="A148" t="str">
        <f>IF(B148=$B$4,"ATM","")</f>
        <v/>
      </c>
      <c r="B148">
        <v>78900</v>
      </c>
      <c r="C148">
        <f>IF(RawData!F985="","",RawData!F985)</f>
        <v>23.95</v>
      </c>
      <c r="D148">
        <f>IF(RawData!F986="","",RawData!F986)</f>
        <v>1723.25</v>
      </c>
      <c r="E148">
        <f>IF(OR(C148="",D148=""),"",C148+D148)</f>
        <v>1747.2</v>
      </c>
    </row>
    <row r="149" spans="1:5" x14ac:dyDescent="0.25">
      <c r="A149" t="str">
        <f>IF(B149=$B$4,"ATM","")</f>
        <v/>
      </c>
      <c r="B149">
        <v>79000</v>
      </c>
      <c r="C149">
        <f>IF(RawData!F987="","",RawData!F987)</f>
        <v>19.75</v>
      </c>
      <c r="D149">
        <f>IF(RawData!F988="","",RawData!F988)</f>
        <v>1820.25</v>
      </c>
      <c r="E149">
        <f>IF(OR(C149="",D149=""),"",C149+D149)</f>
        <v>1840</v>
      </c>
    </row>
    <row r="150" spans="1:5" x14ac:dyDescent="0.25">
      <c r="A150" t="str">
        <f>IF(B150=$B$4,"ATM","")</f>
        <v/>
      </c>
      <c r="B150">
        <v>79100</v>
      </c>
      <c r="C150">
        <f>IF(RawData!F989="","",RawData!F989)</f>
        <v>17.45</v>
      </c>
      <c r="D150">
        <f>IF(RawData!F990="","",RawData!F990)</f>
        <v>1946.1</v>
      </c>
      <c r="E150">
        <f>IF(OR(C150="",D150=""),"",C150+D150)</f>
        <v>1963.55</v>
      </c>
    </row>
    <row r="151" spans="1:5" x14ac:dyDescent="0.25">
      <c r="A151" t="str">
        <f>IF(B151=$B$4,"ATM","")</f>
        <v/>
      </c>
      <c r="B151">
        <v>79200</v>
      </c>
      <c r="C151">
        <f>IF(RawData!F991="","",RawData!F991)</f>
        <v>14.7</v>
      </c>
      <c r="D151">
        <f>IF(RawData!F992="","",RawData!F992)</f>
        <v>2025.75</v>
      </c>
      <c r="E151">
        <f>IF(OR(C151="",D151=""),"",C151+D151)</f>
        <v>2040.45</v>
      </c>
    </row>
    <row r="152" spans="1:5" x14ac:dyDescent="0.25">
      <c r="A152" t="str">
        <f>IF(B152=$B$4,"ATM","")</f>
        <v/>
      </c>
      <c r="B152">
        <v>79300</v>
      </c>
      <c r="C152">
        <f>IF(RawData!F993="","",RawData!F993)</f>
        <v>13.05</v>
      </c>
      <c r="D152">
        <f>IF(RawData!F994="","",RawData!F994)</f>
        <v>2125.8000000000002</v>
      </c>
      <c r="E152">
        <f>IF(OR(C152="",D152=""),"",C152+D152)</f>
        <v>2138.8500000000004</v>
      </c>
    </row>
    <row r="153" spans="1:5" x14ac:dyDescent="0.25">
      <c r="A153" t="str">
        <f>IF(B153=$B$4,"ATM","")</f>
        <v/>
      </c>
      <c r="B153">
        <v>79400</v>
      </c>
      <c r="C153">
        <f>IF(RawData!F995="","",RawData!F995)</f>
        <v>11.25</v>
      </c>
      <c r="D153">
        <f>IF(RawData!F996="","",RawData!F996)</f>
        <v>2371.9</v>
      </c>
      <c r="E153">
        <f>IF(OR(C153="",D153=""),"",C153+D153)</f>
        <v>2383.15</v>
      </c>
    </row>
    <row r="154" spans="1:5" x14ac:dyDescent="0.25">
      <c r="A154" t="str">
        <f>IF(B154=$B$4,"ATM","")</f>
        <v/>
      </c>
      <c r="B154">
        <v>79500</v>
      </c>
      <c r="C154">
        <f>IF(RawData!F997="","",RawData!F997)</f>
        <v>10.4</v>
      </c>
      <c r="D154">
        <f>IF(RawData!F998="","",RawData!F998)</f>
        <v>2315</v>
      </c>
      <c r="E154">
        <f>IF(OR(C154="",D154=""),"",C154+D154)</f>
        <v>2325.4</v>
      </c>
    </row>
    <row r="155" spans="1:5" x14ac:dyDescent="0.25">
      <c r="A155" t="str">
        <f>IF(B155=$B$4,"ATM","")</f>
        <v/>
      </c>
      <c r="B155">
        <v>79600</v>
      </c>
      <c r="C155">
        <f>IF(RawData!F999="","",RawData!F999)</f>
        <v>9.3000000000000007</v>
      </c>
      <c r="D155">
        <f>IF(RawData!F1000="","",RawData!F1000)</f>
        <v>2192.5500000000002</v>
      </c>
      <c r="E155">
        <f>IF(OR(C155="",D155=""),"",C155+D155)</f>
        <v>2201.8500000000004</v>
      </c>
    </row>
    <row r="156" spans="1:5" x14ac:dyDescent="0.25">
      <c r="A156" t="str">
        <f>IF(B156=$B$4,"ATM","")</f>
        <v/>
      </c>
      <c r="B156">
        <v>79700</v>
      </c>
      <c r="C156">
        <f>IF(RawData!F1001="","",RawData!F1001)</f>
        <v>8.6999999999999993</v>
      </c>
      <c r="D156">
        <f>IF(RawData!F1002="","",RawData!F1002)</f>
        <v>2437.35</v>
      </c>
      <c r="E156">
        <f>IF(OR(C156="",D156=""),"",C156+D156)</f>
        <v>2446.0499999999997</v>
      </c>
    </row>
    <row r="157" spans="1:5" x14ac:dyDescent="0.25">
      <c r="A157" t="str">
        <f>IF(B157=$B$4,"ATM","")</f>
        <v/>
      </c>
      <c r="B157">
        <v>79800</v>
      </c>
      <c r="C157">
        <f>IF(RawData!F1003="","",RawData!F1003)</f>
        <v>7.8</v>
      </c>
      <c r="D157">
        <f>IF(RawData!F1004="","",RawData!F1004)</f>
        <v>2531.5500000000002</v>
      </c>
      <c r="E157">
        <f>IF(OR(C157="",D157=""),"",C157+D157)</f>
        <v>2539.3500000000004</v>
      </c>
    </row>
    <row r="158" spans="1:5" x14ac:dyDescent="0.25">
      <c r="A158" t="str">
        <f>IF(B158=$B$4,"ATM","")</f>
        <v/>
      </c>
      <c r="B158">
        <v>79900</v>
      </c>
      <c r="C158">
        <f>IF(RawData!F1005="","",RawData!F1005)</f>
        <v>6.95</v>
      </c>
      <c r="D158">
        <f>IF(RawData!F1006="","",RawData!F1006)</f>
        <v>2626.35</v>
      </c>
      <c r="E158">
        <f>IF(OR(C158="",D158=""),"",C158+D158)</f>
        <v>2633.2999999999997</v>
      </c>
    </row>
    <row r="159" spans="1:5" x14ac:dyDescent="0.25">
      <c r="A159" t="str">
        <f>IF(B159=$B$4,"ATM","")</f>
        <v/>
      </c>
      <c r="B159">
        <v>80000</v>
      </c>
      <c r="C159">
        <f>IF(RawData!F1007="","",RawData!F1007)</f>
        <v>6.6</v>
      </c>
      <c r="D159">
        <f>IF(RawData!F1008="","",RawData!F1008)</f>
        <v>2813.1</v>
      </c>
      <c r="E159">
        <f>IF(OR(C159="",D159=""),"",C159+D159)</f>
        <v>2819.7</v>
      </c>
    </row>
    <row r="160" spans="1:5" x14ac:dyDescent="0.25">
      <c r="A160" t="str">
        <f>IF(B160=$B$4,"ATM","")</f>
        <v/>
      </c>
      <c r="B160">
        <v>80100</v>
      </c>
      <c r="C160">
        <f>IF(RawData!F1009="","",RawData!F1009)</f>
        <v>5.95</v>
      </c>
      <c r="D160">
        <f>IF(RawData!F1010="","",RawData!F1010)</f>
        <v>2817.9</v>
      </c>
      <c r="E160">
        <f>IF(OR(C160="",D160=""),"",C160+D160)</f>
        <v>2823.85</v>
      </c>
    </row>
    <row r="161" spans="1:5" x14ac:dyDescent="0.25">
      <c r="A161" t="str">
        <f>IF(B161=$B$4,"ATM","")</f>
        <v/>
      </c>
      <c r="B161">
        <v>80200</v>
      </c>
      <c r="C161">
        <f>IF(RawData!F1011="","",RawData!F1011)</f>
        <v>5.4</v>
      </c>
      <c r="D161">
        <f>IF(RawData!F1012="","",RawData!F1012)</f>
        <v>2914.4</v>
      </c>
      <c r="E161">
        <f>IF(OR(C161="",D161=""),"",C161+D161)</f>
        <v>2919.8</v>
      </c>
    </row>
    <row r="162" spans="1:5" x14ac:dyDescent="0.25">
      <c r="A162" t="str">
        <f>IF(B162=$B$4,"ATM","")</f>
        <v/>
      </c>
      <c r="B162">
        <v>80300</v>
      </c>
      <c r="C162">
        <f>IF(RawData!F1013="","",RawData!F1013)</f>
        <v>4.95</v>
      </c>
      <c r="D162">
        <f>IF(RawData!F1014="","",RawData!F1014)</f>
        <v>3011.4</v>
      </c>
      <c r="E162">
        <f>IF(OR(C162="",D162=""),"",C162+D162)</f>
        <v>3016.35</v>
      </c>
    </row>
    <row r="163" spans="1:5" x14ac:dyDescent="0.25">
      <c r="A163" t="str">
        <f>IF(B163=$B$4,"ATM","")</f>
        <v/>
      </c>
      <c r="B163">
        <v>80400</v>
      </c>
      <c r="C163">
        <f>IF(RawData!F1015="","",RawData!F1015)</f>
        <v>4.3</v>
      </c>
      <c r="D163">
        <f>IF(RawData!F1016="","",RawData!F1016)</f>
        <v>3108.75</v>
      </c>
      <c r="E163">
        <f>IF(OR(C163="",D163=""),"",C163+D163)</f>
        <v>3113.05</v>
      </c>
    </row>
    <row r="164" spans="1:5" x14ac:dyDescent="0.25">
      <c r="A164" t="str">
        <f>IF(B164=$B$4,"ATM","")</f>
        <v/>
      </c>
      <c r="B164">
        <v>80500</v>
      </c>
      <c r="C164">
        <f>IF(RawData!F1017="","",RawData!F1017)</f>
        <v>4.0999999999999996</v>
      </c>
      <c r="D164">
        <f>IF(RawData!F1018="","",RawData!F1018)</f>
        <v>3206.5</v>
      </c>
      <c r="E164">
        <f>IF(OR(C164="",D164=""),"",C164+D164)</f>
        <v>3210.6</v>
      </c>
    </row>
    <row r="165" spans="1:5" x14ac:dyDescent="0.25">
      <c r="A165" t="str">
        <f>IF(B165=$B$4,"ATM","")</f>
        <v/>
      </c>
      <c r="B165">
        <v>80600</v>
      </c>
      <c r="C165">
        <f>IF(RawData!F1019="","",RawData!F1019)</f>
        <v>3.55</v>
      </c>
      <c r="D165">
        <f>IF(RawData!F1020="","",RawData!F1020)</f>
        <v>3304.55</v>
      </c>
      <c r="E165">
        <f>IF(OR(C165="",D165=""),"",C165+D165)</f>
        <v>3308.1000000000004</v>
      </c>
    </row>
    <row r="166" spans="1:5" x14ac:dyDescent="0.25">
      <c r="A166" t="str">
        <f>IF(B166=$B$4,"ATM","")</f>
        <v/>
      </c>
      <c r="B166">
        <v>80700</v>
      </c>
      <c r="C166">
        <f>IF(RawData!F1021="","",RawData!F1021)</f>
        <v>2.5499999999999998</v>
      </c>
      <c r="D166">
        <f>IF(RawData!F1022="","",RawData!F1022)</f>
        <v>3402.85</v>
      </c>
      <c r="E166">
        <f>IF(OR(C166="",D166=""),"",C166+D166)</f>
        <v>3405.4</v>
      </c>
    </row>
    <row r="167" spans="1:5" x14ac:dyDescent="0.25">
      <c r="A167" t="str">
        <f>IF(B167=$B$4,"ATM","")</f>
        <v/>
      </c>
      <c r="B167">
        <v>80800</v>
      </c>
      <c r="C167">
        <f>IF(RawData!F1023="","",RawData!F1023)</f>
        <v>3</v>
      </c>
      <c r="D167">
        <f>IF(RawData!F1024="","",RawData!F1024)</f>
        <v>3501.4</v>
      </c>
      <c r="E167">
        <f>IF(OR(C167="",D167=""),"",C167+D167)</f>
        <v>3504.4</v>
      </c>
    </row>
    <row r="168" spans="1:5" x14ac:dyDescent="0.25">
      <c r="A168" t="str">
        <f>IF(B168=$B$4,"ATM","")</f>
        <v/>
      </c>
      <c r="B168">
        <v>80900</v>
      </c>
      <c r="C168">
        <f>IF(RawData!F1025="","",RawData!F1025)</f>
        <v>2.8</v>
      </c>
      <c r="D168">
        <f>IF(RawData!F1026="","",RawData!F1026)</f>
        <v>3600.15</v>
      </c>
      <c r="E168">
        <f>IF(OR(C168="",D168=""),"",C168+D168)</f>
        <v>3602.9500000000003</v>
      </c>
    </row>
    <row r="169" spans="1:5" x14ac:dyDescent="0.25">
      <c r="A169" t="str">
        <f>IF(B169=$B$4,"ATM","")</f>
        <v/>
      </c>
      <c r="B169">
        <v>81000</v>
      </c>
      <c r="C169">
        <f>IF(RawData!F1027="","",RawData!F1027)</f>
        <v>2.5</v>
      </c>
      <c r="D169">
        <f>IF(RawData!F1028="","",RawData!F1028)</f>
        <v>3805</v>
      </c>
      <c r="E169">
        <f>IF(OR(C169="",D169=""),"",C169+D169)</f>
        <v>3807.5</v>
      </c>
    </row>
    <row r="170" spans="1:5" x14ac:dyDescent="0.25">
      <c r="A170" t="str">
        <f>IF(B170=$B$4,"ATM","")</f>
        <v/>
      </c>
      <c r="B170">
        <v>81100</v>
      </c>
      <c r="C170">
        <f>IF(RawData!F1029="","",RawData!F1029)</f>
        <v>2.5499999999999998</v>
      </c>
      <c r="D170">
        <f>IF(RawData!F1030="","",RawData!F1030)</f>
        <v>3798.2</v>
      </c>
      <c r="E170">
        <f>IF(OR(C170="",D170=""),"",C170+D170)</f>
        <v>3800.75</v>
      </c>
    </row>
    <row r="171" spans="1:5" x14ac:dyDescent="0.25">
      <c r="A171" t="str">
        <f>IF(B171=$B$4,"ATM","")</f>
        <v/>
      </c>
      <c r="B171">
        <v>81200</v>
      </c>
      <c r="C171">
        <f>IF(RawData!F1031="","",RawData!F1031)</f>
        <v>2.2000000000000002</v>
      </c>
      <c r="D171">
        <f>IF(RawData!F1032="","",RawData!F1032)</f>
        <v>3897.45</v>
      </c>
      <c r="E171">
        <f>IF(OR(C171="",D171=""),"",C171+D171)</f>
        <v>3899.6499999999996</v>
      </c>
    </row>
    <row r="172" spans="1:5" x14ac:dyDescent="0.25">
      <c r="A172" t="str">
        <f>IF(B172=$B$4,"ATM","")</f>
        <v/>
      </c>
      <c r="B172">
        <v>81300</v>
      </c>
      <c r="C172">
        <f>IF(RawData!F1033="","",RawData!F1033)</f>
        <v>2.2999999999999998</v>
      </c>
      <c r="D172">
        <f>IF(RawData!F1034="","",RawData!F1034)</f>
        <v>3996.75</v>
      </c>
      <c r="E172">
        <f>IF(OR(C172="",D172=""),"",C172+D172)</f>
        <v>3999.05</v>
      </c>
    </row>
    <row r="173" spans="1:5" x14ac:dyDescent="0.25">
      <c r="A173" t="str">
        <f>IF(B173=$B$4,"ATM","")</f>
        <v/>
      </c>
      <c r="B173">
        <v>81400</v>
      </c>
      <c r="C173">
        <f>IF(RawData!F1035="","",RawData!F1035)</f>
        <v>2.25</v>
      </c>
      <c r="D173">
        <f>IF(RawData!F1036="","",RawData!F1036)</f>
        <v>4096.2</v>
      </c>
      <c r="E173">
        <f>IF(OR(C173="",D173=""),"",C173+D173)</f>
        <v>4098.45</v>
      </c>
    </row>
    <row r="174" spans="1:5" x14ac:dyDescent="0.25">
      <c r="A174" t="str">
        <f>IF(B174=$B$4,"ATM","")</f>
        <v/>
      </c>
      <c r="B174">
        <v>81500</v>
      </c>
      <c r="C174">
        <f>IF(RawData!F1037="","",RawData!F1037)</f>
        <v>1.95</v>
      </c>
      <c r="D174">
        <f>IF(RawData!F1038="","",RawData!F1038)</f>
        <v>4195.75</v>
      </c>
      <c r="E174">
        <f>IF(OR(C174="",D174=""),"",C174+D174)</f>
        <v>4197.7</v>
      </c>
    </row>
    <row r="175" spans="1:5" x14ac:dyDescent="0.25">
      <c r="A175" t="str">
        <f>IF(B175=$B$4,"ATM","")</f>
        <v/>
      </c>
      <c r="B175">
        <v>81600</v>
      </c>
      <c r="C175">
        <f>IF(RawData!F1039="","",RawData!F1039)</f>
        <v>1.65</v>
      </c>
      <c r="D175">
        <f>IF(RawData!F1040="","",RawData!F1040)</f>
        <v>4295.3500000000004</v>
      </c>
      <c r="E175">
        <f>IF(OR(C175="",D175=""),"",C175+D175)</f>
        <v>4297</v>
      </c>
    </row>
    <row r="176" spans="1:5" x14ac:dyDescent="0.25">
      <c r="A176" t="str">
        <f>IF(B176=$B$4,"ATM","")</f>
        <v/>
      </c>
      <c r="B176">
        <v>81700</v>
      </c>
      <c r="C176">
        <f>IF(RawData!F1041="","",RawData!F1041)</f>
        <v>1.7</v>
      </c>
      <c r="D176">
        <f>IF(RawData!F1042="","",RawData!F1042)</f>
        <v>4395</v>
      </c>
      <c r="E176">
        <f>IF(OR(C176="",D176=""),"",C176+D176)</f>
        <v>4396.7</v>
      </c>
    </row>
    <row r="177" spans="1:5" x14ac:dyDescent="0.25">
      <c r="A177" t="str">
        <f>IF(B177=$B$4,"ATM","")</f>
        <v/>
      </c>
      <c r="B177">
        <v>81800</v>
      </c>
      <c r="C177">
        <f>IF(RawData!F1043="","",RawData!F1043)</f>
        <v>1.45</v>
      </c>
      <c r="D177">
        <f>IF(RawData!F1044="","",RawData!F1044)</f>
        <v>4494.7</v>
      </c>
      <c r="E177">
        <f>IF(OR(C177="",D177=""),"",C177+D177)</f>
        <v>4496.1499999999996</v>
      </c>
    </row>
    <row r="178" spans="1:5" x14ac:dyDescent="0.25">
      <c r="A178" t="str">
        <f>IF(B178=$B$4,"ATM","")</f>
        <v/>
      </c>
      <c r="B178">
        <v>81900</v>
      </c>
      <c r="C178">
        <f>IF(RawData!F1045="","",RawData!F1045)</f>
        <v>1.3</v>
      </c>
      <c r="D178">
        <f>IF(RawData!F1046="","",RawData!F1046)</f>
        <v>4594.45</v>
      </c>
      <c r="E178">
        <f>IF(OR(C178="",D178=""),"",C178+D178)</f>
        <v>4595.75</v>
      </c>
    </row>
    <row r="179" spans="1:5" x14ac:dyDescent="0.25">
      <c r="A179" t="str">
        <f>IF(B179=$B$4,"ATM","")</f>
        <v/>
      </c>
      <c r="B179">
        <v>82000</v>
      </c>
      <c r="C179">
        <f>IF(RawData!F1047="","",RawData!F1047)</f>
        <v>1.6</v>
      </c>
      <c r="D179">
        <f>IF(RawData!F1048="","",RawData!F1048)</f>
        <v>4694.25</v>
      </c>
      <c r="E179">
        <f>IF(OR(C179="",D179=""),"",C179+D179)</f>
        <v>4695.8500000000004</v>
      </c>
    </row>
    <row r="180" spans="1:5" x14ac:dyDescent="0.25">
      <c r="A180" t="str">
        <f>IF(B180=$B$4,"ATM","")</f>
        <v/>
      </c>
      <c r="B180">
        <v>82100</v>
      </c>
      <c r="C180">
        <f>IF(RawData!F1049="","",RawData!F1049)</f>
        <v>1.4</v>
      </c>
      <c r="D180">
        <f>IF(RawData!F1050="","",RawData!F1050)</f>
        <v>4794.05</v>
      </c>
      <c r="E180">
        <f>IF(OR(C180="",D180=""),"",C180+D180)</f>
        <v>4795.45</v>
      </c>
    </row>
    <row r="181" spans="1:5" x14ac:dyDescent="0.25">
      <c r="A181" t="str">
        <f>IF(B181=$B$4,"ATM","")</f>
        <v/>
      </c>
      <c r="B181">
        <v>82200</v>
      </c>
      <c r="C181">
        <f>IF(RawData!F1051="","",RawData!F1051)</f>
        <v>1.65</v>
      </c>
      <c r="D181">
        <f>IF(RawData!F1052="","",RawData!F1052)</f>
        <v>4893.8999999999996</v>
      </c>
      <c r="E181">
        <f>IF(OR(C181="",D181=""),"",C181+D181)</f>
        <v>4895.5499999999993</v>
      </c>
    </row>
    <row r="182" spans="1:5" x14ac:dyDescent="0.25">
      <c r="A182" t="str">
        <f>IF(B182=$B$4,"ATM","")</f>
        <v/>
      </c>
      <c r="B182">
        <v>82300</v>
      </c>
      <c r="C182">
        <f>IF(RawData!F1053="","",RawData!F1053)</f>
        <v>1.75</v>
      </c>
      <c r="D182">
        <f>IF(RawData!F1054="","",RawData!F1054)</f>
        <v>4993.75</v>
      </c>
      <c r="E182">
        <f>IF(OR(C182="",D182=""),"",C182+D182)</f>
        <v>4995.5</v>
      </c>
    </row>
    <row r="183" spans="1:5" x14ac:dyDescent="0.25">
      <c r="A183" t="str">
        <f>IF(B183=$B$4,"ATM","")</f>
        <v/>
      </c>
      <c r="B183">
        <v>82400</v>
      </c>
      <c r="C183">
        <f>IF(RawData!F1055="","",RawData!F1055)</f>
        <v>1.4</v>
      </c>
      <c r="D183">
        <f>IF(RawData!F1056="","",RawData!F1056)</f>
        <v>5093.6499999999996</v>
      </c>
      <c r="E183">
        <f>IF(OR(C183="",D183=""),"",C183+D183)</f>
        <v>5095.0499999999993</v>
      </c>
    </row>
    <row r="184" spans="1:5" x14ac:dyDescent="0.25">
      <c r="A184" t="str">
        <f>IF(B184=$B$4,"ATM","")</f>
        <v/>
      </c>
      <c r="B184">
        <v>82500</v>
      </c>
      <c r="C184">
        <f>IF(RawData!F1057="","",RawData!F1057)</f>
        <v>1.25</v>
      </c>
      <c r="D184">
        <f>IF(RawData!F1058="","",RawData!F1058)</f>
        <v>5193.55</v>
      </c>
      <c r="E184">
        <f>IF(OR(C184="",D184=""),"",C184+D184)</f>
        <v>5194.8</v>
      </c>
    </row>
    <row r="185" spans="1:5" x14ac:dyDescent="0.25">
      <c r="A185" t="str">
        <f>IF(B185=$B$4,"ATM","")</f>
        <v/>
      </c>
      <c r="B185">
        <v>82600</v>
      </c>
      <c r="C185">
        <f>IF(RawData!F1059="","",RawData!F1059)</f>
        <v>1.5</v>
      </c>
      <c r="D185">
        <f>IF(RawData!F1060="","",RawData!F1060)</f>
        <v>5293.45</v>
      </c>
      <c r="E185">
        <f>IF(OR(C185="",D185=""),"",C185+D185)</f>
        <v>5294.95</v>
      </c>
    </row>
    <row r="186" spans="1:5" x14ac:dyDescent="0.25">
      <c r="A186" t="str">
        <f>IF(B186=$B$4,"ATM","")</f>
        <v/>
      </c>
      <c r="B186">
        <v>82700</v>
      </c>
      <c r="C186">
        <f>IF(RawData!F1061="","",RawData!F1061)</f>
        <v>1.3</v>
      </c>
      <c r="D186">
        <f>IF(RawData!F1062="","",RawData!F1062)</f>
        <v>5393.35</v>
      </c>
      <c r="E186">
        <f>IF(OR(C186="",D186=""),"",C186+D186)</f>
        <v>5394.6500000000005</v>
      </c>
    </row>
    <row r="187" spans="1:5" x14ac:dyDescent="0.25">
      <c r="A187" t="str">
        <f>IF(B187=$B$4,"ATM","")</f>
        <v/>
      </c>
      <c r="B187">
        <v>82800</v>
      </c>
      <c r="C187">
        <f>IF(RawData!F1063="","",RawData!F1063)</f>
        <v>1.4</v>
      </c>
      <c r="D187">
        <f>IF(RawData!F1064="","",RawData!F1064)</f>
        <v>5493.3</v>
      </c>
      <c r="E187">
        <f>IF(OR(C187="",D187=""),"",C187+D187)</f>
        <v>5494.7</v>
      </c>
    </row>
    <row r="188" spans="1:5" x14ac:dyDescent="0.25">
      <c r="A188" t="str">
        <f>IF(B188=$B$4,"ATM","")</f>
        <v/>
      </c>
      <c r="B188">
        <v>82900</v>
      </c>
      <c r="C188">
        <f>IF(RawData!F1065="","",RawData!F1065)</f>
        <v>1.1499999999999999</v>
      </c>
      <c r="D188">
        <f>IF(RawData!F1066="","",RawData!F1066)</f>
        <v>5593.25</v>
      </c>
      <c r="E188">
        <f>IF(OR(C188="",D188=""),"",C188+D188)</f>
        <v>5594.4</v>
      </c>
    </row>
    <row r="189" spans="1:5" x14ac:dyDescent="0.25">
      <c r="A189" t="str">
        <f>IF(B189=$B$4,"ATM","")</f>
        <v/>
      </c>
      <c r="B189">
        <v>83000</v>
      </c>
      <c r="C189">
        <f>IF(RawData!F1067="","",RawData!F1067)</f>
        <v>1</v>
      </c>
      <c r="D189">
        <f>IF(RawData!F1068="","",RawData!F1068)</f>
        <v>5821.95</v>
      </c>
      <c r="E189">
        <f>IF(OR(C189="",D189=""),"",C189+D189)</f>
        <v>5822.95</v>
      </c>
    </row>
    <row r="190" spans="1:5" x14ac:dyDescent="0.25">
      <c r="A190" t="str">
        <f>IF(B190=$B$4,"ATM","")</f>
        <v/>
      </c>
      <c r="B190">
        <v>83100</v>
      </c>
      <c r="C190">
        <f>IF(RawData!F1069="","",RawData!F1069)</f>
        <v>1.35</v>
      </c>
      <c r="D190">
        <f>IF(RawData!F1070="","",RawData!F1070)</f>
        <v>5793.1</v>
      </c>
      <c r="E190">
        <f>IF(OR(C190="",D190=""),"",C190+D190)</f>
        <v>5794.4500000000007</v>
      </c>
    </row>
    <row r="191" spans="1:5" x14ac:dyDescent="0.25">
      <c r="A191" t="str">
        <f>IF(B191=$B$4,"ATM","")</f>
        <v/>
      </c>
      <c r="B191">
        <v>83200</v>
      </c>
      <c r="C191">
        <f>IF(RawData!F1071="","",RawData!F1071)</f>
        <v>1.35</v>
      </c>
      <c r="D191">
        <f>IF(RawData!F1072="","",RawData!F1072)</f>
        <v>5893.05</v>
      </c>
      <c r="E191">
        <f>IF(OR(C191="",D191=""),"",C191+D191)</f>
        <v>5894.4000000000005</v>
      </c>
    </row>
    <row r="192" spans="1:5" x14ac:dyDescent="0.25">
      <c r="A192" t="str">
        <f>IF(B192=$B$4,"ATM","")</f>
        <v/>
      </c>
      <c r="B192">
        <v>83300</v>
      </c>
      <c r="C192">
        <f>IF(RawData!F1073="","",RawData!F1073)</f>
        <v>1</v>
      </c>
      <c r="D192">
        <f>IF(RawData!F1074="","",RawData!F1074)</f>
        <v>5993</v>
      </c>
      <c r="E192">
        <f>IF(OR(C192="",D192=""),"",C192+D192)</f>
        <v>5994</v>
      </c>
    </row>
    <row r="193" spans="1:5" x14ac:dyDescent="0.25">
      <c r="A193" t="str">
        <f>IF(B193=$B$4,"ATM","")</f>
        <v/>
      </c>
      <c r="B193">
        <v>83400</v>
      </c>
      <c r="C193">
        <f>IF(RawData!F1075="","",RawData!F1075)</f>
        <v>0.8</v>
      </c>
      <c r="D193">
        <f>IF(RawData!F1076="","",RawData!F1076)</f>
        <v>6092.95</v>
      </c>
      <c r="E193">
        <f>IF(OR(C193="",D193=""),"",C193+D193)</f>
        <v>6093.75</v>
      </c>
    </row>
    <row r="194" spans="1:5" x14ac:dyDescent="0.25">
      <c r="A194" t="str">
        <f>IF(B194=$B$4,"ATM","")</f>
        <v/>
      </c>
      <c r="B194">
        <v>83500</v>
      </c>
      <c r="C194">
        <f>IF(RawData!F1077="","",RawData!F1077)</f>
        <v>0.8</v>
      </c>
      <c r="D194">
        <f>IF(RawData!F1078="","",RawData!F1078)</f>
        <v>6192.9</v>
      </c>
      <c r="E194">
        <f>IF(OR(C194="",D194=""),"",C194+D194)</f>
        <v>6193.7</v>
      </c>
    </row>
    <row r="195" spans="1:5" x14ac:dyDescent="0.25">
      <c r="A195" t="str">
        <f>IF(B195=$B$4,"ATM","")</f>
        <v/>
      </c>
      <c r="B195">
        <v>83600</v>
      </c>
      <c r="C195">
        <f>IF(RawData!F1079="","",RawData!F1079)</f>
        <v>0.9</v>
      </c>
      <c r="D195">
        <f>IF(RawData!F1080="","",RawData!F1080)</f>
        <v>6292.85</v>
      </c>
      <c r="E195">
        <f>IF(OR(C195="",D195=""),"",C195+D195)</f>
        <v>6293.75</v>
      </c>
    </row>
    <row r="196" spans="1:5" x14ac:dyDescent="0.25">
      <c r="A196" t="str">
        <f>IF(B196=$B$4,"ATM","")</f>
        <v/>
      </c>
      <c r="B196">
        <v>83700</v>
      </c>
      <c r="C196">
        <f>IF(RawData!F1081="","",RawData!F1081)</f>
        <v>0.8</v>
      </c>
      <c r="D196">
        <f>IF(RawData!F1082="","",RawData!F1082)</f>
        <v>6392.8</v>
      </c>
      <c r="E196">
        <f>IF(OR(C196="",D196=""),"",C196+D196)</f>
        <v>6393.6</v>
      </c>
    </row>
    <row r="197" spans="1:5" x14ac:dyDescent="0.25">
      <c r="A197" t="str">
        <f>IF(B197=$B$4,"ATM","")</f>
        <v/>
      </c>
      <c r="B197">
        <v>83800</v>
      </c>
      <c r="C197">
        <f>IF(RawData!F1083="","",RawData!F1083)</f>
        <v>1</v>
      </c>
      <c r="D197">
        <f>IF(RawData!F1084="","",RawData!F1084)</f>
        <v>6492.75</v>
      </c>
      <c r="E197">
        <f>IF(OR(C197="",D197=""),"",C197+D197)</f>
        <v>6493.75</v>
      </c>
    </row>
    <row r="198" spans="1:5" x14ac:dyDescent="0.25">
      <c r="A198" t="str">
        <f>IF(B198=$B$4,"ATM","")</f>
        <v/>
      </c>
      <c r="B198">
        <v>83900</v>
      </c>
      <c r="C198">
        <f>IF(RawData!F1085="","",RawData!F1085)</f>
        <v>1.1000000000000001</v>
      </c>
      <c r="D198">
        <f>IF(RawData!F1086="","",RawData!F1086)</f>
        <v>6592.7</v>
      </c>
      <c r="E198">
        <f>IF(OR(C198="",D198=""),"",C198+D198)</f>
        <v>6593.8</v>
      </c>
    </row>
    <row r="199" spans="1:5" x14ac:dyDescent="0.25">
      <c r="A199" t="str">
        <f>IF(B199=$B$4,"ATM","")</f>
        <v/>
      </c>
      <c r="B199">
        <v>84000</v>
      </c>
      <c r="C199">
        <f>IF(RawData!F1087="","",RawData!F1087)</f>
        <v>0.65</v>
      </c>
      <c r="D199">
        <f>IF(RawData!F1088="","",RawData!F1088)</f>
        <v>6692.65</v>
      </c>
      <c r="E199">
        <f>IF(OR(C199="",D199=""),"",C199+D199)</f>
        <v>6693.2999999999993</v>
      </c>
    </row>
    <row r="200" spans="1:5" x14ac:dyDescent="0.25">
      <c r="A200" t="str">
        <f>IF(B200=$B$4,"ATM","")</f>
        <v/>
      </c>
      <c r="B200">
        <v>84100</v>
      </c>
      <c r="C200">
        <f>IF(RawData!F1089="","",RawData!F1089)</f>
        <v>0.6</v>
      </c>
      <c r="D200">
        <f>IF(RawData!F1090="","",RawData!F1090)</f>
        <v>6792.6</v>
      </c>
      <c r="E200">
        <f>IF(OR(C200="",D200=""),"",C200+D200)</f>
        <v>6793.2000000000007</v>
      </c>
    </row>
    <row r="201" spans="1:5" x14ac:dyDescent="0.25">
      <c r="A201" t="str">
        <f>IF(B201=$B$4,"ATM","")</f>
        <v/>
      </c>
      <c r="B201">
        <v>84200</v>
      </c>
      <c r="C201">
        <f>IF(RawData!F1091="","",RawData!F1091)</f>
        <v>1</v>
      </c>
      <c r="D201">
        <f>IF(RawData!F1092="","",RawData!F1092)</f>
        <v>6892.55</v>
      </c>
      <c r="E201">
        <f>IF(OR(C201="",D201=""),"",C201+D201)</f>
        <v>6893.55</v>
      </c>
    </row>
    <row r="202" spans="1:5" x14ac:dyDescent="0.25">
      <c r="A202" t="str">
        <f>IF(B202=$B$4,"ATM","")</f>
        <v/>
      </c>
      <c r="B202">
        <v>84300</v>
      </c>
      <c r="C202">
        <f>IF(RawData!F1093="","",RawData!F1093)</f>
        <v>0.9</v>
      </c>
      <c r="D202">
        <f>IF(RawData!F1094="","",RawData!F1094)</f>
        <v>6992.5</v>
      </c>
      <c r="E202">
        <f>IF(OR(C202="",D202=""),"",C202+D202)</f>
        <v>6993.4</v>
      </c>
    </row>
    <row r="203" spans="1:5" x14ac:dyDescent="0.25">
      <c r="A203" t="str">
        <f>IF(B203=$B$4,"ATM","")</f>
        <v/>
      </c>
      <c r="B203">
        <v>84400</v>
      </c>
      <c r="C203">
        <f>IF(RawData!F1095="","",RawData!F1095)</f>
        <v>0.6</v>
      </c>
      <c r="D203">
        <f>IF(RawData!F1096="","",RawData!F1096)</f>
        <v>7092.45</v>
      </c>
      <c r="E203">
        <f>IF(OR(C203="",D203=""),"",C203+D203)</f>
        <v>7093.05</v>
      </c>
    </row>
    <row r="204" spans="1:5" x14ac:dyDescent="0.25">
      <c r="A204" t="str">
        <f>IF(B204=$B$4,"ATM","")</f>
        <v/>
      </c>
      <c r="B204">
        <v>84500</v>
      </c>
      <c r="C204">
        <f>IF(RawData!F1097="","",RawData!F1097)</f>
        <v>0.75</v>
      </c>
      <c r="D204">
        <f>IF(RawData!F1098="","",RawData!F1098)</f>
        <v>7192.4</v>
      </c>
      <c r="E204">
        <f>IF(OR(C204="",D204=""),"",C204+D204)</f>
        <v>7193.15</v>
      </c>
    </row>
    <row r="205" spans="1:5" x14ac:dyDescent="0.25">
      <c r="A205" t="str">
        <f>IF(B205=$B$4,"ATM","")</f>
        <v/>
      </c>
      <c r="B205">
        <v>84600</v>
      </c>
      <c r="C205">
        <f>IF(RawData!F1099="","",RawData!F1099)</f>
        <v>0.8</v>
      </c>
      <c r="D205">
        <f>IF(RawData!F1100="","",RawData!F1100)</f>
        <v>7292.35</v>
      </c>
      <c r="E205">
        <f>IF(OR(C205="",D205=""),"",C205+D205)</f>
        <v>7293.1500000000005</v>
      </c>
    </row>
    <row r="206" spans="1:5" x14ac:dyDescent="0.25">
      <c r="A206" t="str">
        <f>IF(B206=$B$4,"ATM","")</f>
        <v/>
      </c>
      <c r="B206">
        <v>84700</v>
      </c>
      <c r="C206">
        <f>IF(RawData!F1101="","",RawData!F1101)</f>
        <v>0.85</v>
      </c>
      <c r="D206">
        <f>IF(RawData!F1102="","",RawData!F1102)</f>
        <v>7392.3</v>
      </c>
      <c r="E206">
        <f>IF(OR(C206="",D206=""),"",C206+D206)</f>
        <v>7393.1500000000005</v>
      </c>
    </row>
    <row r="207" spans="1:5" x14ac:dyDescent="0.25">
      <c r="A207" t="str">
        <f>IF(B207=$B$4,"ATM","")</f>
        <v/>
      </c>
      <c r="B207">
        <v>84800</v>
      </c>
      <c r="C207">
        <f>IF(RawData!F1103="","",RawData!F1103)</f>
        <v>0.7</v>
      </c>
      <c r="D207">
        <f>IF(RawData!F1104="","",RawData!F1104)</f>
        <v>7492.3</v>
      </c>
      <c r="E207">
        <f>IF(OR(C207="",D207=""),"",C207+D207)</f>
        <v>7493</v>
      </c>
    </row>
    <row r="208" spans="1:5" x14ac:dyDescent="0.25">
      <c r="A208" t="str">
        <f>IF(B208=$B$4,"ATM","")</f>
        <v/>
      </c>
      <c r="B208">
        <v>84900</v>
      </c>
      <c r="C208">
        <f>IF(RawData!F1105="","",RawData!F1105)</f>
        <v>0.6</v>
      </c>
      <c r="D208">
        <f>IF(RawData!F1106="","",RawData!F1106)</f>
        <v>7592.25</v>
      </c>
      <c r="E208">
        <f>IF(OR(C208="",D208=""),"",C208+D208)</f>
        <v>7592.85</v>
      </c>
    </row>
    <row r="209" spans="1:5" x14ac:dyDescent="0.25">
      <c r="A209" t="str">
        <f>IF(B209=$B$4,"ATM","")</f>
        <v/>
      </c>
      <c r="B209">
        <v>85000</v>
      </c>
      <c r="C209">
        <f>IF(RawData!F1107="","",RawData!F1107)</f>
        <v>0.55000000000000004</v>
      </c>
      <c r="D209">
        <f>IF(RawData!F1108="","",RawData!F1108)</f>
        <v>7821.2</v>
      </c>
      <c r="E209">
        <f>IF(OR(C209="",D209=""),"",C209+D209)</f>
        <v>7821.75</v>
      </c>
    </row>
    <row r="210" spans="1:5" x14ac:dyDescent="0.25">
      <c r="A210" t="str">
        <f>IF(B210=$B$4,"ATM","")</f>
        <v/>
      </c>
      <c r="B210">
        <v>85100</v>
      </c>
      <c r="C210">
        <f>IF(RawData!F1109="","",RawData!F1109)</f>
        <v>0.5</v>
      </c>
      <c r="D210">
        <f>IF(RawData!F1110="","",RawData!F1110)</f>
        <v>7792.15</v>
      </c>
      <c r="E210">
        <f>IF(OR(C210="",D210=""),"",C210+D210)</f>
        <v>7792.65</v>
      </c>
    </row>
    <row r="211" spans="1:5" x14ac:dyDescent="0.25">
      <c r="A211" t="str">
        <f>IF(B211=$B$4,"ATM","")</f>
        <v/>
      </c>
      <c r="B211">
        <v>85200</v>
      </c>
      <c r="C211">
        <f>IF(RawData!F1111="","",RawData!F1111)</f>
        <v>0.55000000000000004</v>
      </c>
      <c r="D211">
        <f>IF(RawData!F1112="","",RawData!F1112)</f>
        <v>7892.1</v>
      </c>
      <c r="E211">
        <f>IF(OR(C211="",D211=""),"",C211+D211)</f>
        <v>7892.6500000000005</v>
      </c>
    </row>
    <row r="212" spans="1:5" x14ac:dyDescent="0.25">
      <c r="A212" t="str">
        <f>IF(B212=$B$4,"ATM","")</f>
        <v/>
      </c>
      <c r="B212">
        <v>85300</v>
      </c>
      <c r="C212">
        <f>IF(RawData!F1113="","",RawData!F1113)</f>
        <v>0.7</v>
      </c>
      <c r="D212">
        <f>IF(RawData!F1114="","",RawData!F1114)</f>
        <v>7992.05</v>
      </c>
      <c r="E212">
        <f>IF(OR(C212="",D212=""),"",C212+D212)</f>
        <v>7992.75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P1114"/>
  <sheetViews>
    <sheetView showGridLines="0" tabSelected="1" workbookViewId="0">
      <pane ySplit="1" topLeftCell="A118" activePane="bottomLeft" state="frozen"/>
      <selection pane="bottomLeft" activeCell="B1" sqref="B1"/>
    </sheetView>
  </sheetViews>
  <sheetFormatPr defaultRowHeight="15" x14ac:dyDescent="0.25"/>
  <cols>
    <col min="1" max="2" width="14" customWidth="1"/>
    <col min="3" max="3" width="22" customWidth="1"/>
    <col min="4" max="5" width="12" customWidth="1"/>
    <col min="6" max="15" width="14" customWidth="1"/>
    <col min="16" max="16" width="22" customWidth="1"/>
  </cols>
  <sheetData>
    <row r="1" spans="1:16" x14ac:dyDescent="0.25">
      <c r="A1" s="3" t="s">
        <v>1</v>
      </c>
      <c r="B1" s="3" t="s">
        <v>23</v>
      </c>
      <c r="C1" s="3" t="s">
        <v>24</v>
      </c>
      <c r="D1" s="3" t="s">
        <v>17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</row>
    <row r="2" spans="1:16" x14ac:dyDescent="0.25">
      <c r="A2" t="s">
        <v>7</v>
      </c>
      <c r="B2" s="4">
        <v>46147</v>
      </c>
      <c r="C2" t="s">
        <v>38</v>
      </c>
      <c r="F2">
        <v>24032.799999999999</v>
      </c>
      <c r="K2">
        <v>24052.6</v>
      </c>
      <c r="L2">
        <v>24081.7</v>
      </c>
      <c r="M2">
        <v>23882.05</v>
      </c>
      <c r="N2">
        <v>24119.3</v>
      </c>
    </row>
    <row r="3" spans="1:16" x14ac:dyDescent="0.25">
      <c r="A3" t="s">
        <v>7</v>
      </c>
      <c r="B3" s="4">
        <v>46147</v>
      </c>
      <c r="C3" t="s">
        <v>39</v>
      </c>
      <c r="D3">
        <v>20100</v>
      </c>
      <c r="E3" t="s">
        <v>40</v>
      </c>
      <c r="F3">
        <v>2979.95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2979.95</v>
      </c>
      <c r="O3">
        <v>3723.35</v>
      </c>
      <c r="P3" s="9">
        <v>25569.229166666668</v>
      </c>
    </row>
    <row r="4" spans="1:16" x14ac:dyDescent="0.25">
      <c r="A4" t="s">
        <v>7</v>
      </c>
      <c r="B4" s="4">
        <v>46147</v>
      </c>
      <c r="C4" t="s">
        <v>41</v>
      </c>
      <c r="D4">
        <v>20100</v>
      </c>
      <c r="E4" t="s">
        <v>42</v>
      </c>
      <c r="F4">
        <v>0.05</v>
      </c>
      <c r="G4">
        <v>1246050</v>
      </c>
      <c r="H4">
        <v>563030</v>
      </c>
      <c r="I4">
        <v>768690</v>
      </c>
      <c r="J4">
        <v>536315</v>
      </c>
      <c r="K4">
        <v>0.25</v>
      </c>
      <c r="L4">
        <v>0.25</v>
      </c>
      <c r="M4">
        <v>0.05</v>
      </c>
      <c r="N4">
        <v>0.25</v>
      </c>
      <c r="O4">
        <v>0</v>
      </c>
      <c r="P4" s="9">
        <v>46147.644745370373</v>
      </c>
    </row>
    <row r="5" spans="1:16" x14ac:dyDescent="0.25">
      <c r="A5" t="s">
        <v>7</v>
      </c>
      <c r="B5" s="4">
        <v>46147</v>
      </c>
      <c r="C5" t="s">
        <v>43</v>
      </c>
      <c r="D5">
        <v>20150</v>
      </c>
      <c r="E5" t="s">
        <v>40</v>
      </c>
      <c r="F5">
        <v>2930.7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2930.7</v>
      </c>
      <c r="O5">
        <v>3673.25</v>
      </c>
      <c r="P5" s="9">
        <v>25569.229166666668</v>
      </c>
    </row>
    <row r="6" spans="1:16" x14ac:dyDescent="0.25">
      <c r="A6" t="s">
        <v>7</v>
      </c>
      <c r="B6" s="4">
        <v>46147</v>
      </c>
      <c r="C6" t="s">
        <v>44</v>
      </c>
      <c r="D6">
        <v>20150</v>
      </c>
      <c r="E6" t="s">
        <v>42</v>
      </c>
      <c r="F6">
        <v>0.05</v>
      </c>
      <c r="G6">
        <v>200525</v>
      </c>
      <c r="H6">
        <v>106535</v>
      </c>
      <c r="I6">
        <v>107640</v>
      </c>
      <c r="J6">
        <v>77740</v>
      </c>
      <c r="K6">
        <v>0.4</v>
      </c>
      <c r="L6">
        <v>0.4</v>
      </c>
      <c r="M6">
        <v>0.05</v>
      </c>
      <c r="N6">
        <v>0.3</v>
      </c>
      <c r="O6">
        <v>0</v>
      </c>
      <c r="P6" s="9">
        <v>46147.645289351851</v>
      </c>
    </row>
    <row r="7" spans="1:16" x14ac:dyDescent="0.25">
      <c r="A7" t="s">
        <v>7</v>
      </c>
      <c r="B7" s="4">
        <v>46147</v>
      </c>
      <c r="C7" t="s">
        <v>45</v>
      </c>
      <c r="D7">
        <v>20200</v>
      </c>
      <c r="E7" t="s">
        <v>40</v>
      </c>
      <c r="F7">
        <v>2881.5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2881.5</v>
      </c>
      <c r="O7">
        <v>3774.2</v>
      </c>
      <c r="P7" s="9">
        <v>25569.229166666668</v>
      </c>
    </row>
    <row r="8" spans="1:16" x14ac:dyDescent="0.25">
      <c r="A8" t="s">
        <v>7</v>
      </c>
      <c r="B8" s="4">
        <v>46147</v>
      </c>
      <c r="C8" t="s">
        <v>46</v>
      </c>
      <c r="D8">
        <v>20200</v>
      </c>
      <c r="E8" t="s">
        <v>42</v>
      </c>
      <c r="F8">
        <v>0.05</v>
      </c>
      <c r="G8">
        <v>250705</v>
      </c>
      <c r="H8">
        <v>76895</v>
      </c>
      <c r="I8">
        <v>76895</v>
      </c>
      <c r="J8">
        <v>57720</v>
      </c>
      <c r="K8">
        <v>0.35</v>
      </c>
      <c r="L8">
        <v>0.4</v>
      </c>
      <c r="M8">
        <v>0.05</v>
      </c>
      <c r="N8">
        <v>0.3</v>
      </c>
      <c r="O8">
        <v>0</v>
      </c>
      <c r="P8" s="9">
        <v>46147.636145833334</v>
      </c>
    </row>
    <row r="9" spans="1:16" x14ac:dyDescent="0.25">
      <c r="A9" t="s">
        <v>7</v>
      </c>
      <c r="B9" s="4">
        <v>46147</v>
      </c>
      <c r="C9" t="s">
        <v>47</v>
      </c>
      <c r="D9">
        <v>20250</v>
      </c>
      <c r="E9" t="s">
        <v>40</v>
      </c>
      <c r="F9">
        <v>2832.3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2832.3</v>
      </c>
      <c r="O9">
        <v>3724.85</v>
      </c>
      <c r="P9" s="9">
        <v>25569.229166666668</v>
      </c>
    </row>
    <row r="10" spans="1:16" x14ac:dyDescent="0.25">
      <c r="A10" t="s">
        <v>7</v>
      </c>
      <c r="B10" s="4">
        <v>46147</v>
      </c>
      <c r="C10" t="s">
        <v>48</v>
      </c>
      <c r="D10">
        <v>20250</v>
      </c>
      <c r="E10" t="s">
        <v>42</v>
      </c>
      <c r="F10">
        <v>0.05</v>
      </c>
      <c r="G10">
        <v>77675</v>
      </c>
      <c r="H10">
        <v>41990</v>
      </c>
      <c r="I10">
        <v>41990</v>
      </c>
      <c r="J10">
        <v>33410</v>
      </c>
      <c r="K10">
        <v>0.35</v>
      </c>
      <c r="L10">
        <v>0.45</v>
      </c>
      <c r="M10">
        <v>0.05</v>
      </c>
      <c r="N10">
        <v>0.3</v>
      </c>
      <c r="O10">
        <v>0</v>
      </c>
      <c r="P10" s="9">
        <v>46147.636759259258</v>
      </c>
    </row>
    <row r="11" spans="1:16" x14ac:dyDescent="0.25">
      <c r="A11" t="s">
        <v>7</v>
      </c>
      <c r="B11" s="4">
        <v>46147</v>
      </c>
      <c r="C11" t="s">
        <v>49</v>
      </c>
      <c r="D11">
        <v>20300</v>
      </c>
      <c r="E11" t="s">
        <v>40</v>
      </c>
      <c r="F11">
        <v>2783.2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2783.2</v>
      </c>
      <c r="O11">
        <v>3674.7</v>
      </c>
      <c r="P11" s="9">
        <v>25569.229166666668</v>
      </c>
    </row>
    <row r="12" spans="1:16" x14ac:dyDescent="0.25">
      <c r="A12" t="s">
        <v>7</v>
      </c>
      <c r="B12" s="4">
        <v>46147</v>
      </c>
      <c r="C12" t="s">
        <v>50</v>
      </c>
      <c r="D12">
        <v>20300</v>
      </c>
      <c r="E12" t="s">
        <v>42</v>
      </c>
      <c r="F12">
        <v>0.05</v>
      </c>
      <c r="G12">
        <v>231335</v>
      </c>
      <c r="H12">
        <v>64220</v>
      </c>
      <c r="I12">
        <v>100620</v>
      </c>
      <c r="J12">
        <v>64220</v>
      </c>
      <c r="K12">
        <v>0.4</v>
      </c>
      <c r="L12">
        <v>0.65</v>
      </c>
      <c r="M12">
        <v>0.05</v>
      </c>
      <c r="N12">
        <v>0.25</v>
      </c>
      <c r="O12">
        <v>0</v>
      </c>
      <c r="P12" s="9">
        <v>46147.638101851851</v>
      </c>
    </row>
    <row r="13" spans="1:16" x14ac:dyDescent="0.25">
      <c r="A13" t="s">
        <v>7</v>
      </c>
      <c r="B13" s="4">
        <v>46147</v>
      </c>
      <c r="C13" t="s">
        <v>51</v>
      </c>
      <c r="D13">
        <v>20350</v>
      </c>
      <c r="E13" t="s">
        <v>40</v>
      </c>
      <c r="F13">
        <v>2734.15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2734.15</v>
      </c>
      <c r="O13">
        <v>3481.45</v>
      </c>
      <c r="P13" s="9">
        <v>25569.229166666668</v>
      </c>
    </row>
    <row r="14" spans="1:16" x14ac:dyDescent="0.25">
      <c r="A14" t="s">
        <v>7</v>
      </c>
      <c r="B14" s="4">
        <v>46147</v>
      </c>
      <c r="C14" t="s">
        <v>52</v>
      </c>
      <c r="D14">
        <v>20350</v>
      </c>
      <c r="E14" t="s">
        <v>42</v>
      </c>
      <c r="F14">
        <v>0.05</v>
      </c>
      <c r="G14">
        <v>116350</v>
      </c>
      <c r="H14">
        <v>56095</v>
      </c>
      <c r="I14">
        <v>56160</v>
      </c>
      <c r="J14">
        <v>39585</v>
      </c>
      <c r="K14">
        <v>1</v>
      </c>
      <c r="L14">
        <v>1</v>
      </c>
      <c r="M14">
        <v>0.05</v>
      </c>
      <c r="N14">
        <v>0.3</v>
      </c>
      <c r="O14">
        <v>0</v>
      </c>
      <c r="P14" s="9">
        <v>46147.636944444443</v>
      </c>
    </row>
    <row r="15" spans="1:16" x14ac:dyDescent="0.25">
      <c r="A15" t="s">
        <v>7</v>
      </c>
      <c r="B15" s="4">
        <v>46147</v>
      </c>
      <c r="C15" t="s">
        <v>53</v>
      </c>
      <c r="D15">
        <v>20400</v>
      </c>
      <c r="E15" t="s">
        <v>40</v>
      </c>
      <c r="F15">
        <v>2685.15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2685.15</v>
      </c>
      <c r="O15">
        <v>3427.9</v>
      </c>
      <c r="P15" s="9">
        <v>25569.229166666668</v>
      </c>
    </row>
    <row r="16" spans="1:16" x14ac:dyDescent="0.25">
      <c r="A16" t="s">
        <v>7</v>
      </c>
      <c r="B16" s="4">
        <v>46147</v>
      </c>
      <c r="C16" t="s">
        <v>54</v>
      </c>
      <c r="D16">
        <v>20400</v>
      </c>
      <c r="E16" t="s">
        <v>42</v>
      </c>
      <c r="F16">
        <v>0.05</v>
      </c>
      <c r="G16">
        <v>108420</v>
      </c>
      <c r="H16">
        <v>44005</v>
      </c>
      <c r="I16">
        <v>51090</v>
      </c>
      <c r="J16">
        <v>16965</v>
      </c>
      <c r="K16">
        <v>0.4</v>
      </c>
      <c r="L16">
        <v>0.55000000000000004</v>
      </c>
      <c r="M16">
        <v>0.05</v>
      </c>
      <c r="N16">
        <v>0.3</v>
      </c>
      <c r="O16">
        <v>0</v>
      </c>
      <c r="P16" s="9">
        <v>46147.640416666669</v>
      </c>
    </row>
    <row r="17" spans="1:16" x14ac:dyDescent="0.25">
      <c r="A17" t="s">
        <v>7</v>
      </c>
      <c r="B17" s="4">
        <v>46147</v>
      </c>
      <c r="C17" t="s">
        <v>55</v>
      </c>
      <c r="D17">
        <v>20450</v>
      </c>
      <c r="E17" t="s">
        <v>40</v>
      </c>
      <c r="F17">
        <v>2636.25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2636.25</v>
      </c>
      <c r="O17">
        <v>3524.15</v>
      </c>
      <c r="P17" s="9">
        <v>25569.229166666668</v>
      </c>
    </row>
    <row r="18" spans="1:16" x14ac:dyDescent="0.25">
      <c r="A18" t="s">
        <v>7</v>
      </c>
      <c r="B18" s="4">
        <v>46147</v>
      </c>
      <c r="C18" t="s">
        <v>56</v>
      </c>
      <c r="D18">
        <v>20450</v>
      </c>
      <c r="E18" t="s">
        <v>42</v>
      </c>
      <c r="F18">
        <v>0.1</v>
      </c>
      <c r="G18">
        <v>224055</v>
      </c>
      <c r="H18">
        <v>51285</v>
      </c>
      <c r="I18">
        <v>83850</v>
      </c>
      <c r="J18">
        <v>25155</v>
      </c>
      <c r="K18">
        <v>0.7</v>
      </c>
      <c r="L18">
        <v>1.25</v>
      </c>
      <c r="M18">
        <v>0.05</v>
      </c>
      <c r="N18">
        <v>0.3</v>
      </c>
      <c r="O18">
        <v>0</v>
      </c>
      <c r="P18" s="9">
        <v>46147.638391203705</v>
      </c>
    </row>
    <row r="19" spans="1:16" x14ac:dyDescent="0.25">
      <c r="A19" t="s">
        <v>7</v>
      </c>
      <c r="B19" s="4">
        <v>46147</v>
      </c>
      <c r="C19" t="s">
        <v>57</v>
      </c>
      <c r="D19">
        <v>20500</v>
      </c>
      <c r="E19" t="s">
        <v>40</v>
      </c>
      <c r="F19">
        <v>2587.4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2587.4</v>
      </c>
      <c r="O19">
        <v>3474.15</v>
      </c>
      <c r="P19" s="9">
        <v>25569.229166666668</v>
      </c>
    </row>
    <row r="20" spans="1:16" x14ac:dyDescent="0.25">
      <c r="A20" t="s">
        <v>7</v>
      </c>
      <c r="B20" s="4">
        <v>46147</v>
      </c>
      <c r="C20" t="s">
        <v>58</v>
      </c>
      <c r="D20">
        <v>20500</v>
      </c>
      <c r="E20" t="s">
        <v>42</v>
      </c>
      <c r="F20">
        <v>0.05</v>
      </c>
      <c r="G20">
        <v>492960</v>
      </c>
      <c r="H20">
        <v>147225</v>
      </c>
      <c r="I20">
        <v>281255</v>
      </c>
      <c r="J20">
        <v>139035</v>
      </c>
      <c r="K20">
        <v>0.6</v>
      </c>
      <c r="L20">
        <v>0.6</v>
      </c>
      <c r="M20">
        <v>0.05</v>
      </c>
      <c r="N20">
        <v>0.3</v>
      </c>
      <c r="O20">
        <v>0</v>
      </c>
      <c r="P20" s="9">
        <v>46147.644166666665</v>
      </c>
    </row>
    <row r="21" spans="1:16" x14ac:dyDescent="0.25">
      <c r="A21" t="s">
        <v>7</v>
      </c>
      <c r="B21" s="4">
        <v>46147</v>
      </c>
      <c r="C21" t="s">
        <v>59</v>
      </c>
      <c r="D21">
        <v>20550</v>
      </c>
      <c r="E21" t="s">
        <v>40</v>
      </c>
      <c r="F21">
        <v>3533.1</v>
      </c>
      <c r="G21">
        <v>0</v>
      </c>
      <c r="H21">
        <v>65</v>
      </c>
      <c r="I21">
        <v>65</v>
      </c>
      <c r="J21">
        <v>65</v>
      </c>
      <c r="K21">
        <v>0</v>
      </c>
      <c r="L21">
        <v>0</v>
      </c>
      <c r="M21">
        <v>0</v>
      </c>
      <c r="N21">
        <v>3533.1</v>
      </c>
      <c r="O21">
        <v>3462.9</v>
      </c>
      <c r="P21" s="9">
        <v>46140.399537037039</v>
      </c>
    </row>
    <row r="22" spans="1:16" x14ac:dyDescent="0.25">
      <c r="A22" t="s">
        <v>7</v>
      </c>
      <c r="B22" s="4">
        <v>46147</v>
      </c>
      <c r="C22" t="s">
        <v>60</v>
      </c>
      <c r="D22">
        <v>20550</v>
      </c>
      <c r="E22" t="s">
        <v>42</v>
      </c>
      <c r="F22">
        <v>0.05</v>
      </c>
      <c r="G22">
        <v>76700</v>
      </c>
      <c r="H22">
        <v>26715</v>
      </c>
      <c r="I22">
        <v>36530</v>
      </c>
      <c r="J22">
        <v>21515</v>
      </c>
      <c r="K22">
        <v>0.25</v>
      </c>
      <c r="L22">
        <v>0.6</v>
      </c>
      <c r="M22">
        <v>0.05</v>
      </c>
      <c r="N22">
        <v>0.3</v>
      </c>
      <c r="O22">
        <v>0</v>
      </c>
      <c r="P22" s="9">
        <v>46147.638101851851</v>
      </c>
    </row>
    <row r="23" spans="1:16" x14ac:dyDescent="0.25">
      <c r="A23" t="s">
        <v>7</v>
      </c>
      <c r="B23" s="4">
        <v>46147</v>
      </c>
      <c r="C23" t="s">
        <v>61</v>
      </c>
      <c r="D23">
        <v>20600</v>
      </c>
      <c r="E23" t="s">
        <v>40</v>
      </c>
      <c r="F23">
        <v>3483.65</v>
      </c>
      <c r="G23">
        <v>0</v>
      </c>
      <c r="H23">
        <v>65</v>
      </c>
      <c r="I23">
        <v>65</v>
      </c>
      <c r="J23">
        <v>65</v>
      </c>
      <c r="K23">
        <v>0</v>
      </c>
      <c r="L23">
        <v>0</v>
      </c>
      <c r="M23">
        <v>0</v>
      </c>
      <c r="N23">
        <v>3483.65</v>
      </c>
      <c r="O23">
        <v>3412.95</v>
      </c>
      <c r="P23" s="9">
        <v>46140.399537037039</v>
      </c>
    </row>
    <row r="24" spans="1:16" x14ac:dyDescent="0.25">
      <c r="A24" t="s">
        <v>7</v>
      </c>
      <c r="B24" s="4">
        <v>46147</v>
      </c>
      <c r="C24" t="s">
        <v>62</v>
      </c>
      <c r="D24">
        <v>20600</v>
      </c>
      <c r="E24" t="s">
        <v>42</v>
      </c>
      <c r="F24">
        <v>0.05</v>
      </c>
      <c r="G24">
        <v>90220</v>
      </c>
      <c r="H24">
        <v>33020</v>
      </c>
      <c r="I24">
        <v>38220</v>
      </c>
      <c r="J24">
        <v>21580</v>
      </c>
      <c r="K24">
        <v>0.65</v>
      </c>
      <c r="L24">
        <v>0.75</v>
      </c>
      <c r="M24">
        <v>0.05</v>
      </c>
      <c r="N24">
        <v>0.3</v>
      </c>
      <c r="O24">
        <v>0</v>
      </c>
      <c r="P24" s="9">
        <v>46147.636921296296</v>
      </c>
    </row>
    <row r="25" spans="1:16" x14ac:dyDescent="0.25">
      <c r="A25" t="s">
        <v>7</v>
      </c>
      <c r="B25" s="4">
        <v>46147</v>
      </c>
      <c r="C25" t="s">
        <v>63</v>
      </c>
      <c r="D25">
        <v>20650</v>
      </c>
      <c r="E25" t="s">
        <v>40</v>
      </c>
      <c r="F25">
        <v>3332.65</v>
      </c>
      <c r="G25">
        <v>0</v>
      </c>
      <c r="H25">
        <v>260</v>
      </c>
      <c r="I25">
        <v>260</v>
      </c>
      <c r="J25">
        <v>260</v>
      </c>
      <c r="K25">
        <v>0</v>
      </c>
      <c r="L25">
        <v>0</v>
      </c>
      <c r="M25">
        <v>0</v>
      </c>
      <c r="N25">
        <v>3332.65</v>
      </c>
      <c r="O25">
        <v>3192.55</v>
      </c>
      <c r="P25" s="9">
        <v>46140.56627314815</v>
      </c>
    </row>
    <row r="26" spans="1:16" x14ac:dyDescent="0.25">
      <c r="A26" t="s">
        <v>7</v>
      </c>
      <c r="B26" s="4">
        <v>46147</v>
      </c>
      <c r="C26" t="s">
        <v>64</v>
      </c>
      <c r="D26">
        <v>20650</v>
      </c>
      <c r="E26" t="s">
        <v>42</v>
      </c>
      <c r="F26">
        <v>0.05</v>
      </c>
      <c r="G26">
        <v>38870</v>
      </c>
      <c r="H26">
        <v>18915</v>
      </c>
      <c r="I26">
        <v>19825</v>
      </c>
      <c r="J26">
        <v>8385</v>
      </c>
      <c r="K26">
        <v>0.35</v>
      </c>
      <c r="L26">
        <v>1.4</v>
      </c>
      <c r="M26">
        <v>0.05</v>
      </c>
      <c r="N26">
        <v>0.35</v>
      </c>
      <c r="O26">
        <v>0</v>
      </c>
      <c r="P26" s="9">
        <v>46147.636145833334</v>
      </c>
    </row>
    <row r="27" spans="1:16" x14ac:dyDescent="0.25">
      <c r="A27" t="s">
        <v>7</v>
      </c>
      <c r="B27" s="4">
        <v>46147</v>
      </c>
      <c r="C27" t="s">
        <v>65</v>
      </c>
      <c r="D27">
        <v>20700</v>
      </c>
      <c r="E27" t="s">
        <v>40</v>
      </c>
      <c r="F27">
        <v>2393.0500000000002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2393.0500000000002</v>
      </c>
      <c r="O27">
        <v>3161.85</v>
      </c>
      <c r="P27" s="9">
        <v>25569.229166666668</v>
      </c>
    </row>
    <row r="28" spans="1:16" x14ac:dyDescent="0.25">
      <c r="A28" t="s">
        <v>7</v>
      </c>
      <c r="B28" s="4">
        <v>46147</v>
      </c>
      <c r="C28" t="s">
        <v>66</v>
      </c>
      <c r="D28">
        <v>20700</v>
      </c>
      <c r="E28" t="s">
        <v>42</v>
      </c>
      <c r="F28">
        <v>0.05</v>
      </c>
      <c r="G28">
        <v>136305</v>
      </c>
      <c r="H28">
        <v>23595</v>
      </c>
      <c r="I28">
        <v>56550</v>
      </c>
      <c r="J28">
        <v>23595</v>
      </c>
      <c r="K28">
        <v>0.7</v>
      </c>
      <c r="L28">
        <v>0.75</v>
      </c>
      <c r="M28">
        <v>0.05</v>
      </c>
      <c r="N28">
        <v>0.35</v>
      </c>
      <c r="O28">
        <v>0</v>
      </c>
      <c r="P28" s="9">
        <v>46147.644733796296</v>
      </c>
    </row>
    <row r="29" spans="1:16" x14ac:dyDescent="0.25">
      <c r="A29" t="s">
        <v>7</v>
      </c>
      <c r="B29" s="4">
        <v>46147</v>
      </c>
      <c r="C29" t="s">
        <v>67</v>
      </c>
      <c r="D29">
        <v>20750</v>
      </c>
      <c r="E29" t="s">
        <v>40</v>
      </c>
      <c r="F29">
        <v>2344.75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2344.75</v>
      </c>
      <c r="O29">
        <v>3222.95</v>
      </c>
      <c r="P29" s="9">
        <v>25569.229166666668</v>
      </c>
    </row>
    <row r="30" spans="1:16" x14ac:dyDescent="0.25">
      <c r="A30" t="s">
        <v>7</v>
      </c>
      <c r="B30" s="4">
        <v>46147</v>
      </c>
      <c r="C30" t="s">
        <v>68</v>
      </c>
      <c r="D30">
        <v>20750</v>
      </c>
      <c r="E30" t="s">
        <v>42</v>
      </c>
      <c r="F30">
        <v>0.05</v>
      </c>
      <c r="G30">
        <v>52130</v>
      </c>
      <c r="H30">
        <v>13585</v>
      </c>
      <c r="I30">
        <v>16380</v>
      </c>
      <c r="J30">
        <v>9425</v>
      </c>
      <c r="K30">
        <v>0.35</v>
      </c>
      <c r="L30">
        <v>0.45</v>
      </c>
      <c r="M30">
        <v>0.05</v>
      </c>
      <c r="N30">
        <v>0.35</v>
      </c>
      <c r="O30">
        <v>0</v>
      </c>
      <c r="P30" s="9">
        <v>46147.637430555558</v>
      </c>
    </row>
    <row r="31" spans="1:16" x14ac:dyDescent="0.25">
      <c r="A31" t="s">
        <v>7</v>
      </c>
      <c r="B31" s="4">
        <v>46147</v>
      </c>
      <c r="C31" t="s">
        <v>69</v>
      </c>
      <c r="D31">
        <v>20800</v>
      </c>
      <c r="E31" t="s">
        <v>40</v>
      </c>
      <c r="F31">
        <v>2296.6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2296.6</v>
      </c>
      <c r="O31">
        <v>3176.9</v>
      </c>
      <c r="P31" s="9">
        <v>25569.229166666668</v>
      </c>
    </row>
    <row r="32" spans="1:16" x14ac:dyDescent="0.25">
      <c r="A32" t="s">
        <v>7</v>
      </c>
      <c r="B32" s="4">
        <v>46147</v>
      </c>
      <c r="C32" t="s">
        <v>70</v>
      </c>
      <c r="D32">
        <v>20800</v>
      </c>
      <c r="E32" t="s">
        <v>42</v>
      </c>
      <c r="F32">
        <v>0.05</v>
      </c>
      <c r="G32">
        <v>142935</v>
      </c>
      <c r="H32">
        <v>46865</v>
      </c>
      <c r="I32">
        <v>59800</v>
      </c>
      <c r="J32">
        <v>36075</v>
      </c>
      <c r="K32">
        <v>0.55000000000000004</v>
      </c>
      <c r="L32">
        <v>1.05</v>
      </c>
      <c r="M32">
        <v>0.05</v>
      </c>
      <c r="N32">
        <v>0.3</v>
      </c>
      <c r="O32">
        <v>0</v>
      </c>
      <c r="P32" s="9">
        <v>46147.637303240743</v>
      </c>
    </row>
    <row r="33" spans="1:16" x14ac:dyDescent="0.25">
      <c r="A33" t="s">
        <v>7</v>
      </c>
      <c r="B33" s="4">
        <v>46147</v>
      </c>
      <c r="C33" t="s">
        <v>71</v>
      </c>
      <c r="D33">
        <v>20850</v>
      </c>
      <c r="E33" t="s">
        <v>40</v>
      </c>
      <c r="F33">
        <v>3236.25</v>
      </c>
      <c r="G33">
        <v>0</v>
      </c>
      <c r="H33">
        <v>65</v>
      </c>
      <c r="I33">
        <v>65</v>
      </c>
      <c r="J33">
        <v>65</v>
      </c>
      <c r="K33">
        <v>0</v>
      </c>
      <c r="L33">
        <v>0</v>
      </c>
      <c r="M33">
        <v>0</v>
      </c>
      <c r="N33">
        <v>3236.25</v>
      </c>
      <c r="O33">
        <v>3163.25</v>
      </c>
      <c r="P33" s="9">
        <v>46140.399525462963</v>
      </c>
    </row>
    <row r="34" spans="1:16" x14ac:dyDescent="0.25">
      <c r="A34" t="s">
        <v>7</v>
      </c>
      <c r="B34" s="4">
        <v>46147</v>
      </c>
      <c r="C34" t="s">
        <v>72</v>
      </c>
      <c r="D34">
        <v>20850</v>
      </c>
      <c r="E34" t="s">
        <v>42</v>
      </c>
      <c r="F34">
        <v>0.05</v>
      </c>
      <c r="G34">
        <v>88075</v>
      </c>
      <c r="H34">
        <v>40430</v>
      </c>
      <c r="I34">
        <v>46150</v>
      </c>
      <c r="J34">
        <v>15405</v>
      </c>
      <c r="K34">
        <v>0.65</v>
      </c>
      <c r="L34">
        <v>0.65</v>
      </c>
      <c r="M34">
        <v>0.05</v>
      </c>
      <c r="N34">
        <v>0.35</v>
      </c>
      <c r="O34">
        <v>0</v>
      </c>
      <c r="P34" s="9">
        <v>46147.641168981485</v>
      </c>
    </row>
    <row r="35" spans="1:16" x14ac:dyDescent="0.25">
      <c r="A35" t="s">
        <v>7</v>
      </c>
      <c r="B35" s="4">
        <v>46147</v>
      </c>
      <c r="C35" t="s">
        <v>73</v>
      </c>
      <c r="D35">
        <v>20900</v>
      </c>
      <c r="E35" t="s">
        <v>40</v>
      </c>
      <c r="F35">
        <v>3144.9</v>
      </c>
      <c r="G35">
        <v>130</v>
      </c>
      <c r="H35">
        <v>65</v>
      </c>
      <c r="I35">
        <v>65</v>
      </c>
      <c r="J35">
        <v>65</v>
      </c>
      <c r="K35">
        <v>3164.75</v>
      </c>
      <c r="L35">
        <v>3164.75</v>
      </c>
      <c r="M35">
        <v>3144.9</v>
      </c>
      <c r="N35">
        <v>2200.6999999999998</v>
      </c>
      <c r="O35">
        <v>3113.35</v>
      </c>
      <c r="P35" s="9">
        <v>46147.392233796294</v>
      </c>
    </row>
    <row r="36" spans="1:16" x14ac:dyDescent="0.25">
      <c r="A36" t="s">
        <v>7</v>
      </c>
      <c r="B36" s="4">
        <v>46147</v>
      </c>
      <c r="C36" t="s">
        <v>74</v>
      </c>
      <c r="D36">
        <v>20900</v>
      </c>
      <c r="E36" t="s">
        <v>42</v>
      </c>
      <c r="F36">
        <v>0.05</v>
      </c>
      <c r="G36">
        <v>88270</v>
      </c>
      <c r="H36">
        <v>33410</v>
      </c>
      <c r="I36">
        <v>49335</v>
      </c>
      <c r="J36">
        <v>32500</v>
      </c>
      <c r="K36">
        <v>0.5</v>
      </c>
      <c r="L36">
        <v>0.7</v>
      </c>
      <c r="M36">
        <v>0.05</v>
      </c>
      <c r="N36">
        <v>0.3</v>
      </c>
      <c r="O36">
        <v>0</v>
      </c>
      <c r="P36" s="9">
        <v>46147.645138888889</v>
      </c>
    </row>
    <row r="37" spans="1:16" x14ac:dyDescent="0.25">
      <c r="A37" t="s">
        <v>7</v>
      </c>
      <c r="B37" s="4">
        <v>46147</v>
      </c>
      <c r="C37" t="s">
        <v>75</v>
      </c>
      <c r="D37">
        <v>20950</v>
      </c>
      <c r="E37" t="s">
        <v>40</v>
      </c>
      <c r="F37">
        <v>2153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2153</v>
      </c>
      <c r="O37">
        <v>3026.4</v>
      </c>
      <c r="P37" s="9">
        <v>25569.229166666668</v>
      </c>
    </row>
    <row r="38" spans="1:16" x14ac:dyDescent="0.25">
      <c r="A38" t="s">
        <v>7</v>
      </c>
      <c r="B38" s="4">
        <v>46147</v>
      </c>
      <c r="C38" t="s">
        <v>76</v>
      </c>
      <c r="D38">
        <v>20950</v>
      </c>
      <c r="E38" t="s">
        <v>42</v>
      </c>
      <c r="F38">
        <v>0.05</v>
      </c>
      <c r="G38">
        <v>58825</v>
      </c>
      <c r="H38">
        <v>29575</v>
      </c>
      <c r="I38">
        <v>29575</v>
      </c>
      <c r="J38">
        <v>15405</v>
      </c>
      <c r="K38">
        <v>0.4</v>
      </c>
      <c r="L38">
        <v>0.9</v>
      </c>
      <c r="M38">
        <v>0.05</v>
      </c>
      <c r="N38">
        <v>0.35</v>
      </c>
      <c r="O38">
        <v>0</v>
      </c>
      <c r="P38" s="9">
        <v>46147.635740740741</v>
      </c>
    </row>
    <row r="39" spans="1:16" x14ac:dyDescent="0.25">
      <c r="A39" t="s">
        <v>7</v>
      </c>
      <c r="B39" s="4">
        <v>46147</v>
      </c>
      <c r="C39" t="s">
        <v>77</v>
      </c>
      <c r="D39">
        <v>21000</v>
      </c>
      <c r="E39" t="s">
        <v>40</v>
      </c>
      <c r="F39">
        <v>2989.4</v>
      </c>
      <c r="G39">
        <v>130</v>
      </c>
      <c r="H39">
        <v>520</v>
      </c>
      <c r="I39">
        <v>585</v>
      </c>
      <c r="J39">
        <v>520</v>
      </c>
      <c r="K39">
        <v>2950</v>
      </c>
      <c r="L39">
        <v>2989.4</v>
      </c>
      <c r="M39">
        <v>2950</v>
      </c>
      <c r="N39">
        <v>3226.1</v>
      </c>
      <c r="O39">
        <v>2985</v>
      </c>
      <c r="P39" s="9">
        <v>46147.536562499998</v>
      </c>
    </row>
    <row r="40" spans="1:16" x14ac:dyDescent="0.25">
      <c r="A40" t="s">
        <v>7</v>
      </c>
      <c r="B40" s="4">
        <v>46147</v>
      </c>
      <c r="C40" t="s">
        <v>78</v>
      </c>
      <c r="D40">
        <v>21000</v>
      </c>
      <c r="E40" t="s">
        <v>42</v>
      </c>
      <c r="F40">
        <v>0.1</v>
      </c>
      <c r="G40">
        <v>1456130</v>
      </c>
      <c r="H40">
        <v>383955</v>
      </c>
      <c r="I40">
        <v>807300</v>
      </c>
      <c r="J40">
        <v>383955</v>
      </c>
      <c r="K40">
        <v>0.3</v>
      </c>
      <c r="L40">
        <v>0.7</v>
      </c>
      <c r="M40">
        <v>0.05</v>
      </c>
      <c r="N40">
        <v>0.3</v>
      </c>
      <c r="O40">
        <v>0</v>
      </c>
      <c r="P40" s="9">
        <v>46147.64576388889</v>
      </c>
    </row>
    <row r="41" spans="1:16" x14ac:dyDescent="0.25">
      <c r="A41" t="s">
        <v>7</v>
      </c>
      <c r="B41" s="4">
        <v>46147</v>
      </c>
      <c r="C41" t="s">
        <v>79</v>
      </c>
      <c r="D41">
        <v>21050</v>
      </c>
      <c r="E41" t="s">
        <v>40</v>
      </c>
      <c r="F41">
        <v>3056.95</v>
      </c>
      <c r="G41">
        <v>0</v>
      </c>
      <c r="H41">
        <v>65</v>
      </c>
      <c r="I41">
        <v>65</v>
      </c>
      <c r="J41">
        <v>65</v>
      </c>
      <c r="K41">
        <v>0</v>
      </c>
      <c r="L41">
        <v>0</v>
      </c>
      <c r="M41">
        <v>0</v>
      </c>
      <c r="N41">
        <v>3056.95</v>
      </c>
      <c r="O41">
        <v>2963.15</v>
      </c>
      <c r="P41" s="9">
        <v>46141.401805555557</v>
      </c>
    </row>
    <row r="42" spans="1:16" x14ac:dyDescent="0.25">
      <c r="A42" t="s">
        <v>7</v>
      </c>
      <c r="B42" s="4">
        <v>46147</v>
      </c>
      <c r="C42" t="s">
        <v>80</v>
      </c>
      <c r="D42">
        <v>21050</v>
      </c>
      <c r="E42" t="s">
        <v>42</v>
      </c>
      <c r="F42">
        <v>0.05</v>
      </c>
      <c r="G42">
        <v>250705</v>
      </c>
      <c r="H42">
        <v>44785</v>
      </c>
      <c r="I42">
        <v>76570</v>
      </c>
      <c r="J42">
        <v>15405</v>
      </c>
      <c r="K42">
        <v>0.4</v>
      </c>
      <c r="L42">
        <v>0.75</v>
      </c>
      <c r="M42">
        <v>0.05</v>
      </c>
      <c r="N42">
        <v>0.35</v>
      </c>
      <c r="O42">
        <v>0</v>
      </c>
      <c r="P42" s="9">
        <v>46147.638055555559</v>
      </c>
    </row>
    <row r="43" spans="1:16" x14ac:dyDescent="0.25">
      <c r="A43" t="s">
        <v>7</v>
      </c>
      <c r="B43" s="4">
        <v>46147</v>
      </c>
      <c r="C43" t="s">
        <v>81</v>
      </c>
      <c r="D43">
        <v>21100</v>
      </c>
      <c r="E43" t="s">
        <v>40</v>
      </c>
      <c r="F43">
        <v>2954.5</v>
      </c>
      <c r="G43">
        <v>65</v>
      </c>
      <c r="H43">
        <v>65</v>
      </c>
      <c r="I43">
        <v>65</v>
      </c>
      <c r="J43">
        <v>65</v>
      </c>
      <c r="K43">
        <v>2954.5</v>
      </c>
      <c r="L43">
        <v>2954.5</v>
      </c>
      <c r="M43">
        <v>2954.5</v>
      </c>
      <c r="N43">
        <v>2876.7</v>
      </c>
      <c r="O43">
        <v>2912.65</v>
      </c>
      <c r="P43" s="9">
        <v>46147.636574074073</v>
      </c>
    </row>
    <row r="44" spans="1:16" x14ac:dyDescent="0.25">
      <c r="A44" t="s">
        <v>7</v>
      </c>
      <c r="B44" s="4">
        <v>46147</v>
      </c>
      <c r="C44" t="s">
        <v>82</v>
      </c>
      <c r="D44">
        <v>21100</v>
      </c>
      <c r="E44" t="s">
        <v>42</v>
      </c>
      <c r="F44">
        <v>0.05</v>
      </c>
      <c r="G44">
        <v>128700</v>
      </c>
      <c r="H44">
        <v>35035</v>
      </c>
      <c r="I44">
        <v>59475</v>
      </c>
      <c r="J44">
        <v>34970</v>
      </c>
      <c r="K44">
        <v>0.45</v>
      </c>
      <c r="L44">
        <v>0.8</v>
      </c>
      <c r="M44">
        <v>0.05</v>
      </c>
      <c r="N44">
        <v>0.3</v>
      </c>
      <c r="O44">
        <v>0</v>
      </c>
      <c r="P44" s="9">
        <v>46147.637071759258</v>
      </c>
    </row>
    <row r="45" spans="1:16" x14ac:dyDescent="0.25">
      <c r="A45" t="s">
        <v>7</v>
      </c>
      <c r="B45" s="4">
        <v>46147</v>
      </c>
      <c r="C45" t="s">
        <v>83</v>
      </c>
      <c r="D45">
        <v>21150</v>
      </c>
      <c r="E45" t="s">
        <v>40</v>
      </c>
      <c r="F45">
        <v>2869.15</v>
      </c>
      <c r="G45">
        <v>130</v>
      </c>
      <c r="H45">
        <v>65</v>
      </c>
      <c r="I45">
        <v>65</v>
      </c>
      <c r="J45">
        <v>65</v>
      </c>
      <c r="K45">
        <v>2920.5</v>
      </c>
      <c r="L45">
        <v>2920.5</v>
      </c>
      <c r="M45">
        <v>2869.15</v>
      </c>
      <c r="N45">
        <v>1964.3</v>
      </c>
      <c r="O45">
        <v>2863.45</v>
      </c>
      <c r="P45" s="9">
        <v>46147.393287037034</v>
      </c>
    </row>
    <row r="46" spans="1:16" x14ac:dyDescent="0.25">
      <c r="A46" t="s">
        <v>7</v>
      </c>
      <c r="B46" s="4">
        <v>46147</v>
      </c>
      <c r="C46" t="s">
        <v>84</v>
      </c>
      <c r="D46">
        <v>21150</v>
      </c>
      <c r="E46" t="s">
        <v>42</v>
      </c>
      <c r="F46">
        <v>0.1</v>
      </c>
      <c r="G46">
        <v>92690</v>
      </c>
      <c r="H46">
        <v>30355</v>
      </c>
      <c r="I46">
        <v>40430</v>
      </c>
      <c r="J46">
        <v>22100</v>
      </c>
      <c r="K46">
        <v>0.4</v>
      </c>
      <c r="L46">
        <v>0.65</v>
      </c>
      <c r="M46">
        <v>0.05</v>
      </c>
      <c r="N46">
        <v>0.3</v>
      </c>
      <c r="O46">
        <v>0</v>
      </c>
      <c r="P46" s="9">
        <v>46147.637314814812</v>
      </c>
    </row>
    <row r="47" spans="1:16" x14ac:dyDescent="0.25">
      <c r="A47" t="s">
        <v>7</v>
      </c>
      <c r="B47" s="4">
        <v>46147</v>
      </c>
      <c r="C47" t="s">
        <v>85</v>
      </c>
      <c r="D47">
        <v>21200</v>
      </c>
      <c r="E47" t="s">
        <v>40</v>
      </c>
      <c r="F47">
        <v>2939.8</v>
      </c>
      <c r="G47">
        <v>0</v>
      </c>
      <c r="H47">
        <v>65</v>
      </c>
      <c r="I47">
        <v>65</v>
      </c>
      <c r="J47">
        <v>65</v>
      </c>
      <c r="K47">
        <v>0</v>
      </c>
      <c r="L47">
        <v>0</v>
      </c>
      <c r="M47">
        <v>0</v>
      </c>
      <c r="N47">
        <v>2939.8</v>
      </c>
      <c r="O47">
        <v>2812.9</v>
      </c>
      <c r="P47" s="9">
        <v>46140.441296296296</v>
      </c>
    </row>
    <row r="48" spans="1:16" x14ac:dyDescent="0.25">
      <c r="A48" t="s">
        <v>7</v>
      </c>
      <c r="B48" s="4">
        <v>46147</v>
      </c>
      <c r="C48" t="s">
        <v>86</v>
      </c>
      <c r="D48">
        <v>21200</v>
      </c>
      <c r="E48" t="s">
        <v>42</v>
      </c>
      <c r="F48">
        <v>0.05</v>
      </c>
      <c r="G48">
        <v>161720</v>
      </c>
      <c r="H48">
        <v>52455</v>
      </c>
      <c r="I48">
        <v>85605</v>
      </c>
      <c r="J48">
        <v>51155</v>
      </c>
      <c r="K48">
        <v>0.4</v>
      </c>
      <c r="L48">
        <v>0.7</v>
      </c>
      <c r="M48">
        <v>0.05</v>
      </c>
      <c r="N48">
        <v>0.3</v>
      </c>
      <c r="O48">
        <v>0</v>
      </c>
      <c r="P48" s="9">
        <v>46147.640011574076</v>
      </c>
    </row>
    <row r="49" spans="1:16" x14ac:dyDescent="0.25">
      <c r="A49" t="s">
        <v>7</v>
      </c>
      <c r="B49" s="4">
        <v>46147</v>
      </c>
      <c r="C49" t="s">
        <v>87</v>
      </c>
      <c r="D49">
        <v>21250</v>
      </c>
      <c r="E49" t="s">
        <v>40</v>
      </c>
      <c r="F49">
        <v>2840.3</v>
      </c>
      <c r="G49">
        <v>0</v>
      </c>
      <c r="H49">
        <v>65</v>
      </c>
      <c r="I49">
        <v>65</v>
      </c>
      <c r="J49">
        <v>65</v>
      </c>
      <c r="K49">
        <v>0</v>
      </c>
      <c r="L49">
        <v>0</v>
      </c>
      <c r="M49">
        <v>0</v>
      </c>
      <c r="N49">
        <v>2840.3</v>
      </c>
      <c r="O49">
        <v>2703</v>
      </c>
      <c r="P49" s="9">
        <v>46140.39949074074</v>
      </c>
    </row>
    <row r="50" spans="1:16" x14ac:dyDescent="0.25">
      <c r="A50" t="s">
        <v>7</v>
      </c>
      <c r="B50" s="4">
        <v>46147</v>
      </c>
      <c r="C50" t="s">
        <v>88</v>
      </c>
      <c r="D50">
        <v>21250</v>
      </c>
      <c r="E50" t="s">
        <v>42</v>
      </c>
      <c r="F50">
        <v>0.05</v>
      </c>
      <c r="G50">
        <v>83200</v>
      </c>
      <c r="H50">
        <v>31460</v>
      </c>
      <c r="I50">
        <v>39715</v>
      </c>
      <c r="J50">
        <v>20540</v>
      </c>
      <c r="K50">
        <v>0.35</v>
      </c>
      <c r="L50">
        <v>0.65</v>
      </c>
      <c r="M50">
        <v>0.05</v>
      </c>
      <c r="N50">
        <v>0.35</v>
      </c>
      <c r="O50">
        <v>0</v>
      </c>
      <c r="P50" s="9">
        <v>46147.637685185182</v>
      </c>
    </row>
    <row r="51" spans="1:16" x14ac:dyDescent="0.25">
      <c r="A51" t="s">
        <v>7</v>
      </c>
      <c r="B51" s="4">
        <v>46147</v>
      </c>
      <c r="C51" t="s">
        <v>89</v>
      </c>
      <c r="D51">
        <v>21300</v>
      </c>
      <c r="E51" t="s">
        <v>40</v>
      </c>
      <c r="F51">
        <v>2780.05</v>
      </c>
      <c r="G51">
        <v>130</v>
      </c>
      <c r="H51">
        <v>65</v>
      </c>
      <c r="I51">
        <v>65</v>
      </c>
      <c r="J51">
        <v>65</v>
      </c>
      <c r="K51">
        <v>2768.15</v>
      </c>
      <c r="L51">
        <v>2780.05</v>
      </c>
      <c r="M51">
        <v>2768.15</v>
      </c>
      <c r="N51">
        <v>1825.3</v>
      </c>
      <c r="O51">
        <v>2713.9</v>
      </c>
      <c r="P51" s="9">
        <v>46147.550208333334</v>
      </c>
    </row>
    <row r="52" spans="1:16" x14ac:dyDescent="0.25">
      <c r="A52" t="s">
        <v>7</v>
      </c>
      <c r="B52" s="4">
        <v>46147</v>
      </c>
      <c r="C52" t="s">
        <v>90</v>
      </c>
      <c r="D52">
        <v>21300</v>
      </c>
      <c r="E52" t="s">
        <v>42</v>
      </c>
      <c r="F52">
        <v>0.05</v>
      </c>
      <c r="G52">
        <v>217945</v>
      </c>
      <c r="H52">
        <v>57785</v>
      </c>
      <c r="I52">
        <v>101465</v>
      </c>
      <c r="J52">
        <v>54405</v>
      </c>
      <c r="K52">
        <v>0.3</v>
      </c>
      <c r="L52">
        <v>0.35</v>
      </c>
      <c r="M52">
        <v>0.05</v>
      </c>
      <c r="N52">
        <v>0.3</v>
      </c>
      <c r="O52">
        <v>0</v>
      </c>
      <c r="P52" s="9">
        <v>46147.64340277778</v>
      </c>
    </row>
    <row r="53" spans="1:16" x14ac:dyDescent="0.25">
      <c r="A53" t="s">
        <v>7</v>
      </c>
      <c r="B53" s="4">
        <v>46147</v>
      </c>
      <c r="C53" t="s">
        <v>91</v>
      </c>
      <c r="D53">
        <v>21350</v>
      </c>
      <c r="E53" t="s">
        <v>40</v>
      </c>
      <c r="F53">
        <v>1779.5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1779.5</v>
      </c>
      <c r="O53">
        <v>2627.25</v>
      </c>
      <c r="P53" s="9">
        <v>25569.229166666668</v>
      </c>
    </row>
    <row r="54" spans="1:16" x14ac:dyDescent="0.25">
      <c r="A54" t="s">
        <v>7</v>
      </c>
      <c r="B54" s="4">
        <v>46147</v>
      </c>
      <c r="C54" t="s">
        <v>92</v>
      </c>
      <c r="D54">
        <v>21350</v>
      </c>
      <c r="E54" t="s">
        <v>42</v>
      </c>
      <c r="F54">
        <v>0.05</v>
      </c>
      <c r="G54">
        <v>79040</v>
      </c>
      <c r="H54">
        <v>36855</v>
      </c>
      <c r="I54">
        <v>38025</v>
      </c>
      <c r="J54">
        <v>15665</v>
      </c>
      <c r="K54">
        <v>0.75</v>
      </c>
      <c r="L54">
        <v>0.9</v>
      </c>
      <c r="M54">
        <v>0.05</v>
      </c>
      <c r="N54">
        <v>0.35</v>
      </c>
      <c r="O54">
        <v>0</v>
      </c>
      <c r="P54" s="9">
        <v>46147.638101851851</v>
      </c>
    </row>
    <row r="55" spans="1:16" x14ac:dyDescent="0.25">
      <c r="A55" t="s">
        <v>7</v>
      </c>
      <c r="B55" s="4">
        <v>46147</v>
      </c>
      <c r="C55" t="s">
        <v>93</v>
      </c>
      <c r="D55">
        <v>21400</v>
      </c>
      <c r="E55" t="s">
        <v>40</v>
      </c>
      <c r="F55">
        <v>2653.45</v>
      </c>
      <c r="G55">
        <v>65</v>
      </c>
      <c r="H55">
        <v>65</v>
      </c>
      <c r="I55">
        <v>65</v>
      </c>
      <c r="J55">
        <v>65</v>
      </c>
      <c r="K55">
        <v>2653.45</v>
      </c>
      <c r="L55">
        <v>2653.45</v>
      </c>
      <c r="M55">
        <v>2653.45</v>
      </c>
      <c r="N55">
        <v>2578.6999999999998</v>
      </c>
      <c r="O55">
        <v>2612.9499999999998</v>
      </c>
      <c r="P55" s="9">
        <v>46147.63652777778</v>
      </c>
    </row>
    <row r="56" spans="1:16" x14ac:dyDescent="0.25">
      <c r="A56" t="s">
        <v>7</v>
      </c>
      <c r="B56" s="4">
        <v>46147</v>
      </c>
      <c r="C56" t="s">
        <v>94</v>
      </c>
      <c r="D56">
        <v>21400</v>
      </c>
      <c r="E56" t="s">
        <v>42</v>
      </c>
      <c r="F56">
        <v>0.1</v>
      </c>
      <c r="G56">
        <v>157300</v>
      </c>
      <c r="H56">
        <v>61100</v>
      </c>
      <c r="I56">
        <v>87230</v>
      </c>
      <c r="J56">
        <v>60775</v>
      </c>
      <c r="K56">
        <v>0.35</v>
      </c>
      <c r="L56">
        <v>0.75</v>
      </c>
      <c r="M56">
        <v>0.05</v>
      </c>
      <c r="N56">
        <v>0.3</v>
      </c>
      <c r="O56">
        <v>0</v>
      </c>
      <c r="P56" s="9">
        <v>46147.63753472222</v>
      </c>
    </row>
    <row r="57" spans="1:16" x14ac:dyDescent="0.25">
      <c r="A57" t="s">
        <v>7</v>
      </c>
      <c r="B57" s="4">
        <v>46147</v>
      </c>
      <c r="C57" t="s">
        <v>95</v>
      </c>
      <c r="D57">
        <v>21450</v>
      </c>
      <c r="E57" t="s">
        <v>40</v>
      </c>
      <c r="F57">
        <v>2455.75</v>
      </c>
      <c r="G57">
        <v>0</v>
      </c>
      <c r="H57">
        <v>65</v>
      </c>
      <c r="I57">
        <v>65</v>
      </c>
      <c r="J57">
        <v>65</v>
      </c>
      <c r="K57">
        <v>0</v>
      </c>
      <c r="L57">
        <v>0</v>
      </c>
      <c r="M57">
        <v>0</v>
      </c>
      <c r="N57">
        <v>2455.75</v>
      </c>
      <c r="O57">
        <v>2563.6999999999998</v>
      </c>
      <c r="P57" s="9">
        <v>46142.510416666664</v>
      </c>
    </row>
    <row r="58" spans="1:16" x14ac:dyDescent="0.25">
      <c r="A58" t="s">
        <v>7</v>
      </c>
      <c r="B58" s="4">
        <v>46147</v>
      </c>
      <c r="C58" t="s">
        <v>96</v>
      </c>
      <c r="D58">
        <v>21450</v>
      </c>
      <c r="E58" t="s">
        <v>42</v>
      </c>
      <c r="F58">
        <v>0.05</v>
      </c>
      <c r="G58">
        <v>54145</v>
      </c>
      <c r="H58">
        <v>29965</v>
      </c>
      <c r="I58">
        <v>34970</v>
      </c>
      <c r="J58">
        <v>8970</v>
      </c>
      <c r="K58">
        <v>0.4</v>
      </c>
      <c r="L58">
        <v>0.4</v>
      </c>
      <c r="M58">
        <v>0.05</v>
      </c>
      <c r="N58">
        <v>0.4</v>
      </c>
      <c r="O58">
        <v>0</v>
      </c>
      <c r="P58" s="9">
        <v>46147.640636574077</v>
      </c>
    </row>
    <row r="59" spans="1:16" x14ac:dyDescent="0.25">
      <c r="A59" t="s">
        <v>7</v>
      </c>
      <c r="B59" s="4">
        <v>46147</v>
      </c>
      <c r="C59" t="s">
        <v>97</v>
      </c>
      <c r="D59">
        <v>21500</v>
      </c>
      <c r="E59" t="s">
        <v>40</v>
      </c>
      <c r="F59">
        <v>2450</v>
      </c>
      <c r="G59">
        <v>130</v>
      </c>
      <c r="H59">
        <v>520</v>
      </c>
      <c r="I59">
        <v>520</v>
      </c>
      <c r="J59">
        <v>520</v>
      </c>
      <c r="K59">
        <v>2430.9499999999998</v>
      </c>
      <c r="L59">
        <v>2450</v>
      </c>
      <c r="M59">
        <v>2430.9499999999998</v>
      </c>
      <c r="N59">
        <v>2670</v>
      </c>
      <c r="O59">
        <v>2371.6999999999998</v>
      </c>
      <c r="P59" s="9">
        <v>46147.440520833334</v>
      </c>
    </row>
    <row r="60" spans="1:16" x14ac:dyDescent="0.25">
      <c r="A60" t="s">
        <v>7</v>
      </c>
      <c r="B60" s="4">
        <v>46147</v>
      </c>
      <c r="C60" t="s">
        <v>98</v>
      </c>
      <c r="D60">
        <v>21500</v>
      </c>
      <c r="E60" t="s">
        <v>42</v>
      </c>
      <c r="F60">
        <v>0.05</v>
      </c>
      <c r="G60">
        <v>2622425</v>
      </c>
      <c r="H60">
        <v>478920</v>
      </c>
      <c r="I60">
        <v>943085</v>
      </c>
      <c r="J60">
        <v>478920</v>
      </c>
      <c r="K60">
        <v>0.5</v>
      </c>
      <c r="L60">
        <v>0.65</v>
      </c>
      <c r="M60">
        <v>0.05</v>
      </c>
      <c r="N60">
        <v>0.3</v>
      </c>
      <c r="O60">
        <v>0</v>
      </c>
      <c r="P60" s="9">
        <v>46147.642372685186</v>
      </c>
    </row>
    <row r="61" spans="1:16" x14ac:dyDescent="0.25">
      <c r="A61" t="s">
        <v>7</v>
      </c>
      <c r="B61" s="4">
        <v>46147</v>
      </c>
      <c r="C61" t="s">
        <v>99</v>
      </c>
      <c r="D61">
        <v>21550</v>
      </c>
      <c r="E61" t="s">
        <v>40</v>
      </c>
      <c r="F61">
        <v>1599.75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1599.75</v>
      </c>
      <c r="O61">
        <v>2425.3000000000002</v>
      </c>
      <c r="P61" s="9">
        <v>25569.229166666668</v>
      </c>
    </row>
    <row r="62" spans="1:16" x14ac:dyDescent="0.25">
      <c r="A62" t="s">
        <v>7</v>
      </c>
      <c r="B62" s="4">
        <v>46147</v>
      </c>
      <c r="C62" t="s">
        <v>100</v>
      </c>
      <c r="D62">
        <v>21550</v>
      </c>
      <c r="E62" t="s">
        <v>42</v>
      </c>
      <c r="F62">
        <v>0.05</v>
      </c>
      <c r="G62">
        <v>136045</v>
      </c>
      <c r="H62">
        <v>49725</v>
      </c>
      <c r="I62">
        <v>49725</v>
      </c>
      <c r="J62">
        <v>27105</v>
      </c>
      <c r="K62">
        <v>0.45</v>
      </c>
      <c r="L62">
        <v>0.8</v>
      </c>
      <c r="M62">
        <v>0.05</v>
      </c>
      <c r="N62">
        <v>0.35</v>
      </c>
      <c r="O62">
        <v>0</v>
      </c>
      <c r="P62" s="9">
        <v>46147.637245370373</v>
      </c>
    </row>
    <row r="63" spans="1:16" x14ac:dyDescent="0.25">
      <c r="A63" t="s">
        <v>7</v>
      </c>
      <c r="B63" s="4">
        <v>46147</v>
      </c>
      <c r="C63" t="s">
        <v>101</v>
      </c>
      <c r="D63">
        <v>21600</v>
      </c>
      <c r="E63" t="s">
        <v>40</v>
      </c>
      <c r="F63">
        <v>1555.7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1555.7</v>
      </c>
      <c r="O63">
        <v>2378.85</v>
      </c>
      <c r="P63" s="9">
        <v>25569.229166666668</v>
      </c>
    </row>
    <row r="64" spans="1:16" x14ac:dyDescent="0.25">
      <c r="A64" t="s">
        <v>7</v>
      </c>
      <c r="B64" s="4">
        <v>46147</v>
      </c>
      <c r="C64" t="s">
        <v>102</v>
      </c>
      <c r="D64">
        <v>21600</v>
      </c>
      <c r="E64" t="s">
        <v>42</v>
      </c>
      <c r="F64">
        <v>0.1</v>
      </c>
      <c r="G64">
        <v>425100</v>
      </c>
      <c r="H64">
        <v>68055</v>
      </c>
      <c r="I64">
        <v>136435</v>
      </c>
      <c r="J64">
        <v>65325</v>
      </c>
      <c r="K64">
        <v>0.65</v>
      </c>
      <c r="L64">
        <v>0.7</v>
      </c>
      <c r="M64">
        <v>0.05</v>
      </c>
      <c r="N64">
        <v>0.35</v>
      </c>
      <c r="O64">
        <v>0</v>
      </c>
      <c r="P64" s="9">
        <v>46147.645243055558</v>
      </c>
    </row>
    <row r="65" spans="1:16" x14ac:dyDescent="0.25">
      <c r="A65" t="s">
        <v>7</v>
      </c>
      <c r="B65" s="4">
        <v>46147</v>
      </c>
      <c r="C65" t="s">
        <v>103</v>
      </c>
      <c r="D65">
        <v>21650</v>
      </c>
      <c r="E65" t="s">
        <v>40</v>
      </c>
      <c r="F65">
        <v>1512.1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1512.1</v>
      </c>
      <c r="O65">
        <v>2322.1</v>
      </c>
      <c r="P65" s="9">
        <v>25569.229166666668</v>
      </c>
    </row>
    <row r="66" spans="1:16" x14ac:dyDescent="0.25">
      <c r="A66" t="s">
        <v>7</v>
      </c>
      <c r="B66" s="4">
        <v>46147</v>
      </c>
      <c r="C66" t="s">
        <v>104</v>
      </c>
      <c r="D66">
        <v>21650</v>
      </c>
      <c r="E66" t="s">
        <v>42</v>
      </c>
      <c r="F66">
        <v>0.1</v>
      </c>
      <c r="G66">
        <v>126945</v>
      </c>
      <c r="H66">
        <v>45305</v>
      </c>
      <c r="I66">
        <v>45305</v>
      </c>
      <c r="J66">
        <v>14820</v>
      </c>
      <c r="K66">
        <v>0.3</v>
      </c>
      <c r="L66">
        <v>0.35</v>
      </c>
      <c r="M66">
        <v>0.05</v>
      </c>
      <c r="N66">
        <v>0.35</v>
      </c>
      <c r="O66">
        <v>0</v>
      </c>
      <c r="P66" s="9">
        <v>46147.64234953704</v>
      </c>
    </row>
    <row r="67" spans="1:16" x14ac:dyDescent="0.25">
      <c r="A67" t="s">
        <v>7</v>
      </c>
      <c r="B67" s="4">
        <v>46147</v>
      </c>
      <c r="C67" t="s">
        <v>105</v>
      </c>
      <c r="D67">
        <v>21700</v>
      </c>
      <c r="E67" t="s">
        <v>40</v>
      </c>
      <c r="F67">
        <v>1468.9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1468.9</v>
      </c>
      <c r="O67">
        <v>2274.15</v>
      </c>
      <c r="P67" s="9">
        <v>25569.229166666668</v>
      </c>
    </row>
    <row r="68" spans="1:16" x14ac:dyDescent="0.25">
      <c r="A68" t="s">
        <v>7</v>
      </c>
      <c r="B68" s="4">
        <v>46147</v>
      </c>
      <c r="C68" t="s">
        <v>106</v>
      </c>
      <c r="D68">
        <v>21700</v>
      </c>
      <c r="E68" t="s">
        <v>42</v>
      </c>
      <c r="F68">
        <v>0.05</v>
      </c>
      <c r="G68">
        <v>325260</v>
      </c>
      <c r="H68">
        <v>115765</v>
      </c>
      <c r="I68">
        <v>141050</v>
      </c>
      <c r="J68">
        <v>107900</v>
      </c>
      <c r="K68">
        <v>0.9</v>
      </c>
      <c r="L68">
        <v>0.9</v>
      </c>
      <c r="M68">
        <v>0.05</v>
      </c>
      <c r="N68">
        <v>0.3</v>
      </c>
      <c r="O68">
        <v>0</v>
      </c>
      <c r="P68" s="9">
        <v>46147.638993055552</v>
      </c>
    </row>
    <row r="69" spans="1:16" x14ac:dyDescent="0.25">
      <c r="A69" t="s">
        <v>7</v>
      </c>
      <c r="B69" s="4">
        <v>46147</v>
      </c>
      <c r="C69" t="s">
        <v>107</v>
      </c>
      <c r="D69">
        <v>21750</v>
      </c>
      <c r="E69" t="s">
        <v>40</v>
      </c>
      <c r="F69">
        <v>1426.2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1426.2</v>
      </c>
      <c r="O69">
        <v>2224.6</v>
      </c>
      <c r="P69" s="9">
        <v>25569.229166666668</v>
      </c>
    </row>
    <row r="70" spans="1:16" x14ac:dyDescent="0.25">
      <c r="A70" t="s">
        <v>7</v>
      </c>
      <c r="B70" s="4">
        <v>46147</v>
      </c>
      <c r="C70" t="s">
        <v>108</v>
      </c>
      <c r="D70">
        <v>21750</v>
      </c>
      <c r="E70" t="s">
        <v>42</v>
      </c>
      <c r="F70">
        <v>0.05</v>
      </c>
      <c r="G70">
        <v>127725</v>
      </c>
      <c r="H70">
        <v>64935</v>
      </c>
      <c r="I70">
        <v>72865</v>
      </c>
      <c r="J70">
        <v>59995</v>
      </c>
      <c r="K70">
        <v>0.35</v>
      </c>
      <c r="L70">
        <v>0.4</v>
      </c>
      <c r="M70">
        <v>0.05</v>
      </c>
      <c r="N70">
        <v>0.3</v>
      </c>
      <c r="O70">
        <v>0</v>
      </c>
      <c r="P70" s="9">
        <v>46147.63554398148</v>
      </c>
    </row>
    <row r="71" spans="1:16" x14ac:dyDescent="0.25">
      <c r="A71" t="s">
        <v>7</v>
      </c>
      <c r="B71" s="4">
        <v>46147</v>
      </c>
      <c r="C71" t="s">
        <v>109</v>
      </c>
      <c r="D71">
        <v>21800</v>
      </c>
      <c r="E71" t="s">
        <v>40</v>
      </c>
      <c r="F71">
        <v>1383.9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1383.9</v>
      </c>
      <c r="O71">
        <v>2170</v>
      </c>
      <c r="P71" s="9">
        <v>25569.229166666668</v>
      </c>
    </row>
    <row r="72" spans="1:16" x14ac:dyDescent="0.25">
      <c r="A72" t="s">
        <v>7</v>
      </c>
      <c r="B72" s="4">
        <v>46147</v>
      </c>
      <c r="C72" t="s">
        <v>110</v>
      </c>
      <c r="D72">
        <v>21800</v>
      </c>
      <c r="E72" t="s">
        <v>42</v>
      </c>
      <c r="F72">
        <v>0.05</v>
      </c>
      <c r="G72">
        <v>614250</v>
      </c>
      <c r="H72">
        <v>127465</v>
      </c>
      <c r="I72">
        <v>255970</v>
      </c>
      <c r="J72">
        <v>123825</v>
      </c>
      <c r="K72">
        <v>0.45</v>
      </c>
      <c r="L72">
        <v>0.85</v>
      </c>
      <c r="M72">
        <v>0.05</v>
      </c>
      <c r="N72">
        <v>0.35</v>
      </c>
      <c r="O72">
        <v>0</v>
      </c>
      <c r="P72" s="9">
        <v>46147.640983796293</v>
      </c>
    </row>
    <row r="73" spans="1:16" x14ac:dyDescent="0.25">
      <c r="A73" t="s">
        <v>7</v>
      </c>
      <c r="B73" s="4">
        <v>46147</v>
      </c>
      <c r="C73" t="s">
        <v>111</v>
      </c>
      <c r="D73">
        <v>21850</v>
      </c>
      <c r="E73" t="s">
        <v>40</v>
      </c>
      <c r="F73">
        <v>1342.1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1342.1</v>
      </c>
      <c r="O73">
        <v>2127.9</v>
      </c>
      <c r="P73" s="9">
        <v>25569.229166666668</v>
      </c>
    </row>
    <row r="74" spans="1:16" x14ac:dyDescent="0.25">
      <c r="A74" t="s">
        <v>7</v>
      </c>
      <c r="B74" s="4">
        <v>46147</v>
      </c>
      <c r="C74" t="s">
        <v>112</v>
      </c>
      <c r="D74">
        <v>21850</v>
      </c>
      <c r="E74" t="s">
        <v>42</v>
      </c>
      <c r="F74">
        <v>0.05</v>
      </c>
      <c r="G74">
        <v>77545</v>
      </c>
      <c r="H74">
        <v>63115</v>
      </c>
      <c r="I74">
        <v>67535</v>
      </c>
      <c r="J74">
        <v>61490</v>
      </c>
      <c r="K74">
        <v>0.85</v>
      </c>
      <c r="L74">
        <v>0.85</v>
      </c>
      <c r="M74">
        <v>0.05</v>
      </c>
      <c r="N74">
        <v>0.3</v>
      </c>
      <c r="O74">
        <v>0</v>
      </c>
      <c r="P74" s="9">
        <v>46147.635578703703</v>
      </c>
    </row>
    <row r="75" spans="1:16" x14ac:dyDescent="0.25">
      <c r="A75" t="s">
        <v>7</v>
      </c>
      <c r="B75" s="4">
        <v>46147</v>
      </c>
      <c r="C75" t="s">
        <v>113</v>
      </c>
      <c r="D75">
        <v>21900</v>
      </c>
      <c r="E75" t="s">
        <v>40</v>
      </c>
      <c r="F75">
        <v>1300.8499999999999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1300.8499999999999</v>
      </c>
      <c r="O75">
        <v>2070.5</v>
      </c>
      <c r="P75" s="9">
        <v>25569.229166666668</v>
      </c>
    </row>
    <row r="76" spans="1:16" x14ac:dyDescent="0.25">
      <c r="A76" t="s">
        <v>7</v>
      </c>
      <c r="B76" s="4">
        <v>46147</v>
      </c>
      <c r="C76" t="s">
        <v>114</v>
      </c>
      <c r="D76">
        <v>21900</v>
      </c>
      <c r="E76" t="s">
        <v>42</v>
      </c>
      <c r="F76">
        <v>0.05</v>
      </c>
      <c r="G76">
        <v>653250</v>
      </c>
      <c r="H76">
        <v>176865</v>
      </c>
      <c r="I76">
        <v>288340</v>
      </c>
      <c r="J76">
        <v>148005</v>
      </c>
      <c r="K76">
        <v>0.5</v>
      </c>
      <c r="L76">
        <v>0.65</v>
      </c>
      <c r="M76">
        <v>0.05</v>
      </c>
      <c r="N76">
        <v>0.4</v>
      </c>
      <c r="O76">
        <v>0</v>
      </c>
      <c r="P76" s="9">
        <v>46147.638101851851</v>
      </c>
    </row>
    <row r="77" spans="1:16" x14ac:dyDescent="0.25">
      <c r="A77" t="s">
        <v>7</v>
      </c>
      <c r="B77" s="4">
        <v>46147</v>
      </c>
      <c r="C77" t="s">
        <v>115</v>
      </c>
      <c r="D77">
        <v>21950</v>
      </c>
      <c r="E77" t="s">
        <v>40</v>
      </c>
      <c r="F77">
        <v>1260.05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1260.05</v>
      </c>
      <c r="O77">
        <v>2030.1</v>
      </c>
      <c r="P77" s="9">
        <v>25569.229166666668</v>
      </c>
    </row>
    <row r="78" spans="1:16" x14ac:dyDescent="0.25">
      <c r="A78" t="s">
        <v>7</v>
      </c>
      <c r="B78" s="4">
        <v>46147</v>
      </c>
      <c r="C78" t="s">
        <v>116</v>
      </c>
      <c r="D78">
        <v>21950</v>
      </c>
      <c r="E78" t="s">
        <v>42</v>
      </c>
      <c r="F78">
        <v>0.05</v>
      </c>
      <c r="G78">
        <v>182260</v>
      </c>
      <c r="H78">
        <v>73710</v>
      </c>
      <c r="I78">
        <v>73710</v>
      </c>
      <c r="J78">
        <v>40950</v>
      </c>
      <c r="K78">
        <v>0.35</v>
      </c>
      <c r="L78">
        <v>0.9</v>
      </c>
      <c r="M78">
        <v>0.05</v>
      </c>
      <c r="N78">
        <v>0.35</v>
      </c>
      <c r="O78">
        <v>0</v>
      </c>
      <c r="P78" s="9">
        <v>46147.638206018521</v>
      </c>
    </row>
    <row r="79" spans="1:16" x14ac:dyDescent="0.25">
      <c r="A79" t="s">
        <v>7</v>
      </c>
      <c r="B79" s="4">
        <v>46147</v>
      </c>
      <c r="C79" t="s">
        <v>117</v>
      </c>
      <c r="D79">
        <v>22000</v>
      </c>
      <c r="E79" t="s">
        <v>40</v>
      </c>
      <c r="F79">
        <v>2034.5</v>
      </c>
      <c r="G79">
        <v>10075</v>
      </c>
      <c r="H79">
        <v>7735</v>
      </c>
      <c r="I79">
        <v>13325</v>
      </c>
      <c r="J79">
        <v>7735</v>
      </c>
      <c r="K79">
        <v>2150.5500000000002</v>
      </c>
      <c r="L79">
        <v>2150.5500000000002</v>
      </c>
      <c r="M79">
        <v>1904.35</v>
      </c>
      <c r="N79">
        <v>2168.85</v>
      </c>
      <c r="O79">
        <v>2031.35</v>
      </c>
      <c r="P79" s="9">
        <v>46147.642361111109</v>
      </c>
    </row>
    <row r="80" spans="1:16" x14ac:dyDescent="0.25">
      <c r="A80" t="s">
        <v>7</v>
      </c>
      <c r="B80" s="4">
        <v>46147</v>
      </c>
      <c r="C80" t="s">
        <v>118</v>
      </c>
      <c r="D80">
        <v>22000</v>
      </c>
      <c r="E80" t="s">
        <v>42</v>
      </c>
      <c r="F80">
        <v>0.05</v>
      </c>
      <c r="G80">
        <v>7639450</v>
      </c>
      <c r="H80">
        <v>3140150</v>
      </c>
      <c r="I80">
        <v>4159350</v>
      </c>
      <c r="J80">
        <v>3140150</v>
      </c>
      <c r="K80">
        <v>0.25</v>
      </c>
      <c r="L80">
        <v>0.3</v>
      </c>
      <c r="M80">
        <v>0.05</v>
      </c>
      <c r="N80">
        <v>0.3</v>
      </c>
      <c r="O80">
        <v>0</v>
      </c>
      <c r="P80" s="9">
        <v>46147.644745370373</v>
      </c>
    </row>
    <row r="81" spans="1:16" x14ac:dyDescent="0.25">
      <c r="A81" t="s">
        <v>7</v>
      </c>
      <c r="B81" s="4">
        <v>46147</v>
      </c>
      <c r="C81" t="s">
        <v>119</v>
      </c>
      <c r="D81">
        <v>22050</v>
      </c>
      <c r="E81" t="s">
        <v>40</v>
      </c>
      <c r="F81">
        <v>1180.2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1180.2</v>
      </c>
      <c r="O81">
        <v>1927.55</v>
      </c>
      <c r="P81" s="9">
        <v>25569.229166666668</v>
      </c>
    </row>
    <row r="82" spans="1:16" x14ac:dyDescent="0.25">
      <c r="A82" t="s">
        <v>7</v>
      </c>
      <c r="B82" s="4">
        <v>46147</v>
      </c>
      <c r="C82" t="s">
        <v>120</v>
      </c>
      <c r="D82">
        <v>22050</v>
      </c>
      <c r="E82" t="s">
        <v>42</v>
      </c>
      <c r="F82">
        <v>0.05</v>
      </c>
      <c r="G82">
        <v>322465</v>
      </c>
      <c r="H82">
        <v>95355</v>
      </c>
      <c r="I82">
        <v>95420</v>
      </c>
      <c r="J82">
        <v>51740</v>
      </c>
      <c r="K82">
        <v>0.55000000000000004</v>
      </c>
      <c r="L82">
        <v>0.8</v>
      </c>
      <c r="M82">
        <v>0.05</v>
      </c>
      <c r="N82">
        <v>0.4</v>
      </c>
      <c r="O82">
        <v>0</v>
      </c>
      <c r="P82" s="9">
        <v>46147.637557870374</v>
      </c>
    </row>
    <row r="83" spans="1:16" x14ac:dyDescent="0.25">
      <c r="A83" t="s">
        <v>7</v>
      </c>
      <c r="B83" s="4">
        <v>46147</v>
      </c>
      <c r="C83" t="s">
        <v>121</v>
      </c>
      <c r="D83">
        <v>22100</v>
      </c>
      <c r="E83" t="s">
        <v>40</v>
      </c>
      <c r="F83">
        <v>1801.8</v>
      </c>
      <c r="G83">
        <v>195</v>
      </c>
      <c r="H83">
        <v>585</v>
      </c>
      <c r="I83">
        <v>715</v>
      </c>
      <c r="J83">
        <v>585</v>
      </c>
      <c r="K83">
        <v>1856.2</v>
      </c>
      <c r="L83">
        <v>1856.25</v>
      </c>
      <c r="M83">
        <v>1801.8</v>
      </c>
      <c r="N83">
        <v>1720.4</v>
      </c>
      <c r="O83">
        <v>1914.2</v>
      </c>
      <c r="P83" s="9">
        <v>46147.500439814816</v>
      </c>
    </row>
    <row r="84" spans="1:16" x14ac:dyDescent="0.25">
      <c r="A84" t="s">
        <v>7</v>
      </c>
      <c r="B84" s="4">
        <v>46147</v>
      </c>
      <c r="C84" t="s">
        <v>122</v>
      </c>
      <c r="D84">
        <v>22100</v>
      </c>
      <c r="E84" t="s">
        <v>42</v>
      </c>
      <c r="F84">
        <v>0.05</v>
      </c>
      <c r="G84">
        <v>964990</v>
      </c>
      <c r="H84">
        <v>155285</v>
      </c>
      <c r="I84">
        <v>383110</v>
      </c>
      <c r="J84">
        <v>148720</v>
      </c>
      <c r="K84">
        <v>0.5</v>
      </c>
      <c r="L84">
        <v>1</v>
      </c>
      <c r="M84">
        <v>0.05</v>
      </c>
      <c r="N84">
        <v>0.45</v>
      </c>
      <c r="O84">
        <v>0</v>
      </c>
      <c r="P84" s="9">
        <v>46147.640138888892</v>
      </c>
    </row>
    <row r="85" spans="1:16" x14ac:dyDescent="0.25">
      <c r="A85" t="s">
        <v>7</v>
      </c>
      <c r="B85" s="4">
        <v>46147</v>
      </c>
      <c r="C85" t="s">
        <v>123</v>
      </c>
      <c r="D85">
        <v>22150</v>
      </c>
      <c r="E85" t="s">
        <v>40</v>
      </c>
      <c r="F85">
        <v>1975.2</v>
      </c>
      <c r="G85">
        <v>0</v>
      </c>
      <c r="H85">
        <v>65</v>
      </c>
      <c r="I85">
        <v>65</v>
      </c>
      <c r="J85">
        <v>65</v>
      </c>
      <c r="K85">
        <v>0</v>
      </c>
      <c r="L85">
        <v>0</v>
      </c>
      <c r="M85">
        <v>0</v>
      </c>
      <c r="N85">
        <v>1975.2</v>
      </c>
      <c r="O85">
        <v>1821.45</v>
      </c>
      <c r="P85" s="9">
        <v>46139.408692129633</v>
      </c>
    </row>
    <row r="86" spans="1:16" x14ac:dyDescent="0.25">
      <c r="A86" t="s">
        <v>7</v>
      </c>
      <c r="B86" s="4">
        <v>46147</v>
      </c>
      <c r="C86" t="s">
        <v>124</v>
      </c>
      <c r="D86">
        <v>22150</v>
      </c>
      <c r="E86" t="s">
        <v>42</v>
      </c>
      <c r="F86">
        <v>0.05</v>
      </c>
      <c r="G86">
        <v>222950</v>
      </c>
      <c r="H86">
        <v>69420</v>
      </c>
      <c r="I86">
        <v>75595</v>
      </c>
      <c r="J86">
        <v>61360</v>
      </c>
      <c r="K86">
        <v>0.4</v>
      </c>
      <c r="L86">
        <v>0.7</v>
      </c>
      <c r="M86">
        <v>0.05</v>
      </c>
      <c r="N86">
        <v>0.45</v>
      </c>
      <c r="O86">
        <v>0</v>
      </c>
      <c r="P86" s="9">
        <v>46147.635960648149</v>
      </c>
    </row>
    <row r="87" spans="1:16" x14ac:dyDescent="0.25">
      <c r="A87" t="s">
        <v>7</v>
      </c>
      <c r="B87" s="4">
        <v>46147</v>
      </c>
      <c r="C87" t="s">
        <v>125</v>
      </c>
      <c r="D87">
        <v>22200</v>
      </c>
      <c r="E87" t="s">
        <v>40</v>
      </c>
      <c r="F87">
        <v>1801.25</v>
      </c>
      <c r="G87">
        <v>715</v>
      </c>
      <c r="H87">
        <v>455</v>
      </c>
      <c r="I87">
        <v>975</v>
      </c>
      <c r="J87">
        <v>455</v>
      </c>
      <c r="K87">
        <v>1816.5</v>
      </c>
      <c r="L87">
        <v>1823.1</v>
      </c>
      <c r="M87">
        <v>1748.4</v>
      </c>
      <c r="N87">
        <v>1840</v>
      </c>
      <c r="O87">
        <v>1802.6</v>
      </c>
      <c r="P87" s="9">
        <v>46147.62054398148</v>
      </c>
    </row>
    <row r="88" spans="1:16" x14ac:dyDescent="0.25">
      <c r="A88" t="s">
        <v>7</v>
      </c>
      <c r="B88" s="4">
        <v>46147</v>
      </c>
      <c r="C88" t="s">
        <v>126</v>
      </c>
      <c r="D88">
        <v>22200</v>
      </c>
      <c r="E88" t="s">
        <v>42</v>
      </c>
      <c r="F88">
        <v>0.05</v>
      </c>
      <c r="G88">
        <v>1277445</v>
      </c>
      <c r="H88">
        <v>172250</v>
      </c>
      <c r="I88">
        <v>491660</v>
      </c>
      <c r="J88">
        <v>172250</v>
      </c>
      <c r="K88">
        <v>0.7</v>
      </c>
      <c r="L88">
        <v>0.8</v>
      </c>
      <c r="M88">
        <v>0.05</v>
      </c>
      <c r="N88">
        <v>0.45</v>
      </c>
      <c r="O88">
        <v>0</v>
      </c>
      <c r="P88" s="9">
        <v>46147.63826388889</v>
      </c>
    </row>
    <row r="89" spans="1:16" x14ac:dyDescent="0.25">
      <c r="A89" t="s">
        <v>7</v>
      </c>
      <c r="B89" s="4">
        <v>46147</v>
      </c>
      <c r="C89" t="s">
        <v>127</v>
      </c>
      <c r="D89">
        <v>22250</v>
      </c>
      <c r="E89" t="s">
        <v>40</v>
      </c>
      <c r="F89">
        <v>1561.05</v>
      </c>
      <c r="G89">
        <v>0</v>
      </c>
      <c r="H89">
        <v>585</v>
      </c>
      <c r="I89">
        <v>585</v>
      </c>
      <c r="J89">
        <v>585</v>
      </c>
      <c r="K89">
        <v>0</v>
      </c>
      <c r="L89">
        <v>0</v>
      </c>
      <c r="M89">
        <v>0</v>
      </c>
      <c r="N89">
        <v>1561.05</v>
      </c>
      <c r="O89">
        <v>1765</v>
      </c>
      <c r="P89" s="9">
        <v>46142.470034722224</v>
      </c>
    </row>
    <row r="90" spans="1:16" x14ac:dyDescent="0.25">
      <c r="A90" t="s">
        <v>7</v>
      </c>
      <c r="B90" s="4">
        <v>46147</v>
      </c>
      <c r="C90" t="s">
        <v>128</v>
      </c>
      <c r="D90">
        <v>22250</v>
      </c>
      <c r="E90" t="s">
        <v>42</v>
      </c>
      <c r="F90">
        <v>0.05</v>
      </c>
      <c r="G90">
        <v>234390</v>
      </c>
      <c r="H90">
        <v>63830</v>
      </c>
      <c r="I90">
        <v>101595</v>
      </c>
      <c r="J90">
        <v>63830</v>
      </c>
      <c r="K90">
        <v>0.55000000000000004</v>
      </c>
      <c r="L90">
        <v>0.75</v>
      </c>
      <c r="M90">
        <v>0.05</v>
      </c>
      <c r="N90">
        <v>0.45</v>
      </c>
      <c r="O90">
        <v>0</v>
      </c>
      <c r="P90" s="9">
        <v>46147.640069444446</v>
      </c>
    </row>
    <row r="91" spans="1:16" x14ac:dyDescent="0.25">
      <c r="A91" t="s">
        <v>7</v>
      </c>
      <c r="B91" s="4">
        <v>46147</v>
      </c>
      <c r="C91" t="s">
        <v>129</v>
      </c>
      <c r="D91">
        <v>22300</v>
      </c>
      <c r="E91" t="s">
        <v>40</v>
      </c>
      <c r="F91">
        <v>1833.85</v>
      </c>
      <c r="G91">
        <v>0</v>
      </c>
      <c r="H91">
        <v>195</v>
      </c>
      <c r="I91">
        <v>195</v>
      </c>
      <c r="J91">
        <v>195</v>
      </c>
      <c r="K91">
        <v>0</v>
      </c>
      <c r="L91">
        <v>0</v>
      </c>
      <c r="M91">
        <v>0</v>
      </c>
      <c r="N91">
        <v>1833.85</v>
      </c>
      <c r="O91">
        <v>1724.25</v>
      </c>
      <c r="P91" s="9">
        <v>46146.522812499999</v>
      </c>
    </row>
    <row r="92" spans="1:16" x14ac:dyDescent="0.25">
      <c r="A92" t="s">
        <v>7</v>
      </c>
      <c r="B92" s="4">
        <v>46147</v>
      </c>
      <c r="C92" t="s">
        <v>130</v>
      </c>
      <c r="D92">
        <v>22300</v>
      </c>
      <c r="E92" t="s">
        <v>42</v>
      </c>
      <c r="F92">
        <v>0.05</v>
      </c>
      <c r="G92">
        <v>995345</v>
      </c>
      <c r="H92">
        <v>190320</v>
      </c>
      <c r="I92">
        <v>449085</v>
      </c>
      <c r="J92">
        <v>176605</v>
      </c>
      <c r="K92">
        <v>0.6</v>
      </c>
      <c r="L92">
        <v>0.8</v>
      </c>
      <c r="M92">
        <v>0.05</v>
      </c>
      <c r="N92">
        <v>0.4</v>
      </c>
      <c r="O92">
        <v>0</v>
      </c>
      <c r="P92" s="9">
        <v>46147.63826388889</v>
      </c>
    </row>
    <row r="93" spans="1:16" x14ac:dyDescent="0.25">
      <c r="A93" t="s">
        <v>7</v>
      </c>
      <c r="B93" s="4">
        <v>46147</v>
      </c>
      <c r="C93" t="s">
        <v>131</v>
      </c>
      <c r="D93">
        <v>22350</v>
      </c>
      <c r="E93" t="s">
        <v>40</v>
      </c>
      <c r="F93">
        <v>1684.1</v>
      </c>
      <c r="G93">
        <v>130</v>
      </c>
      <c r="H93">
        <v>130</v>
      </c>
      <c r="I93">
        <v>130</v>
      </c>
      <c r="J93">
        <v>65</v>
      </c>
      <c r="K93">
        <v>1710.9</v>
      </c>
      <c r="L93">
        <v>1710.9</v>
      </c>
      <c r="M93">
        <v>1684.1</v>
      </c>
      <c r="N93">
        <v>1955.35</v>
      </c>
      <c r="O93">
        <v>1566.1</v>
      </c>
      <c r="P93" s="9">
        <v>46147.392291666663</v>
      </c>
    </row>
    <row r="94" spans="1:16" x14ac:dyDescent="0.25">
      <c r="A94" t="s">
        <v>7</v>
      </c>
      <c r="B94" s="4">
        <v>46147</v>
      </c>
      <c r="C94" t="s">
        <v>132</v>
      </c>
      <c r="D94">
        <v>22350</v>
      </c>
      <c r="E94" t="s">
        <v>42</v>
      </c>
      <c r="F94">
        <v>0.05</v>
      </c>
      <c r="G94">
        <v>301405</v>
      </c>
      <c r="H94">
        <v>91650</v>
      </c>
      <c r="I94">
        <v>109655</v>
      </c>
      <c r="J94">
        <v>81965</v>
      </c>
      <c r="K94">
        <v>0.35</v>
      </c>
      <c r="L94">
        <v>0.8</v>
      </c>
      <c r="M94">
        <v>0.05</v>
      </c>
      <c r="N94">
        <v>0.4</v>
      </c>
      <c r="O94">
        <v>0</v>
      </c>
      <c r="P94" s="9">
        <v>46147.644849537035</v>
      </c>
    </row>
    <row r="95" spans="1:16" x14ac:dyDescent="0.25">
      <c r="A95" t="s">
        <v>7</v>
      </c>
      <c r="B95" s="4">
        <v>46147</v>
      </c>
      <c r="C95" t="s">
        <v>133</v>
      </c>
      <c r="D95">
        <v>22400</v>
      </c>
      <c r="E95" t="s">
        <v>40</v>
      </c>
      <c r="F95">
        <v>1694.4</v>
      </c>
      <c r="G95">
        <v>780</v>
      </c>
      <c r="H95">
        <v>585</v>
      </c>
      <c r="I95">
        <v>1040</v>
      </c>
      <c r="J95">
        <v>585</v>
      </c>
      <c r="K95">
        <v>1676.75</v>
      </c>
      <c r="L95">
        <v>1694.4</v>
      </c>
      <c r="M95">
        <v>1500</v>
      </c>
      <c r="N95">
        <v>1793.85</v>
      </c>
      <c r="O95">
        <v>1512.45</v>
      </c>
      <c r="P95" s="9">
        <v>46147.632951388892</v>
      </c>
    </row>
    <row r="96" spans="1:16" x14ac:dyDescent="0.25">
      <c r="A96" t="s">
        <v>7</v>
      </c>
      <c r="B96" s="4">
        <v>46147</v>
      </c>
      <c r="C96" t="s">
        <v>134</v>
      </c>
      <c r="D96">
        <v>22400</v>
      </c>
      <c r="E96" t="s">
        <v>42</v>
      </c>
      <c r="F96">
        <v>0.05</v>
      </c>
      <c r="G96">
        <v>1267435</v>
      </c>
      <c r="H96">
        <v>267800</v>
      </c>
      <c r="I96">
        <v>332930</v>
      </c>
      <c r="J96">
        <v>255515</v>
      </c>
      <c r="K96">
        <v>0.75</v>
      </c>
      <c r="L96">
        <v>0.95</v>
      </c>
      <c r="M96">
        <v>0.05</v>
      </c>
      <c r="N96">
        <v>0.45</v>
      </c>
      <c r="O96">
        <v>0</v>
      </c>
      <c r="P96" s="9">
        <v>46147.644317129627</v>
      </c>
    </row>
    <row r="97" spans="1:16" x14ac:dyDescent="0.25">
      <c r="A97" t="s">
        <v>7</v>
      </c>
      <c r="B97" s="4">
        <v>46147</v>
      </c>
      <c r="C97" t="s">
        <v>135</v>
      </c>
      <c r="D97">
        <v>22450</v>
      </c>
      <c r="E97" t="s">
        <v>40</v>
      </c>
      <c r="F97">
        <v>1431.85</v>
      </c>
      <c r="G97">
        <v>130</v>
      </c>
      <c r="H97">
        <v>195</v>
      </c>
      <c r="I97">
        <v>195</v>
      </c>
      <c r="J97">
        <v>130</v>
      </c>
      <c r="K97">
        <v>1558.15</v>
      </c>
      <c r="L97">
        <v>1558.15</v>
      </c>
      <c r="M97">
        <v>1431.85</v>
      </c>
      <c r="N97">
        <v>1917.55</v>
      </c>
      <c r="O97">
        <v>1564.8</v>
      </c>
      <c r="P97" s="9">
        <v>46147.496550925927</v>
      </c>
    </row>
    <row r="98" spans="1:16" x14ac:dyDescent="0.25">
      <c r="A98" t="s">
        <v>7</v>
      </c>
      <c r="B98" s="4">
        <v>46147</v>
      </c>
      <c r="C98" t="s">
        <v>136</v>
      </c>
      <c r="D98">
        <v>22450</v>
      </c>
      <c r="E98" t="s">
        <v>42</v>
      </c>
      <c r="F98">
        <v>0.05</v>
      </c>
      <c r="G98">
        <v>893230</v>
      </c>
      <c r="H98">
        <v>129870</v>
      </c>
      <c r="I98">
        <v>230295</v>
      </c>
      <c r="J98">
        <v>129870</v>
      </c>
      <c r="K98">
        <v>0.5</v>
      </c>
      <c r="L98">
        <v>0.8</v>
      </c>
      <c r="M98">
        <v>0.05</v>
      </c>
      <c r="N98">
        <v>0.45</v>
      </c>
      <c r="O98">
        <v>0</v>
      </c>
      <c r="P98" s="9">
        <v>46147.640914351854</v>
      </c>
    </row>
    <row r="99" spans="1:16" x14ac:dyDescent="0.25">
      <c r="A99" t="s">
        <v>7</v>
      </c>
      <c r="B99" s="4">
        <v>46147</v>
      </c>
      <c r="C99" t="s">
        <v>137</v>
      </c>
      <c r="D99">
        <v>22500</v>
      </c>
      <c r="E99" t="s">
        <v>40</v>
      </c>
      <c r="F99">
        <v>1533.65</v>
      </c>
      <c r="G99">
        <v>16185</v>
      </c>
      <c r="H99">
        <v>3770</v>
      </c>
      <c r="I99">
        <v>13065</v>
      </c>
      <c r="J99">
        <v>3770</v>
      </c>
      <c r="K99">
        <v>1566.7</v>
      </c>
      <c r="L99">
        <v>1573.15</v>
      </c>
      <c r="M99">
        <v>1397.95</v>
      </c>
      <c r="N99">
        <v>1649.2</v>
      </c>
      <c r="O99">
        <v>1533</v>
      </c>
      <c r="P99" s="9">
        <v>46147.644444444442</v>
      </c>
    </row>
    <row r="100" spans="1:16" x14ac:dyDescent="0.25">
      <c r="A100" t="s">
        <v>7</v>
      </c>
      <c r="B100" s="4">
        <v>46147</v>
      </c>
      <c r="C100" t="s">
        <v>138</v>
      </c>
      <c r="D100">
        <v>22500</v>
      </c>
      <c r="E100" t="s">
        <v>42</v>
      </c>
      <c r="F100">
        <v>0.05</v>
      </c>
      <c r="G100">
        <v>10303215</v>
      </c>
      <c r="H100">
        <v>2728700</v>
      </c>
      <c r="I100">
        <v>3352700</v>
      </c>
      <c r="J100">
        <v>2704780</v>
      </c>
      <c r="K100">
        <v>0.45</v>
      </c>
      <c r="L100">
        <v>0.45</v>
      </c>
      <c r="M100">
        <v>0.05</v>
      </c>
      <c r="N100">
        <v>0.45</v>
      </c>
      <c r="O100">
        <v>0</v>
      </c>
      <c r="P100" s="9">
        <v>46147.645520833335</v>
      </c>
    </row>
    <row r="101" spans="1:16" x14ac:dyDescent="0.25">
      <c r="A101" t="s">
        <v>7</v>
      </c>
      <c r="B101" s="4">
        <v>46147</v>
      </c>
      <c r="C101" t="s">
        <v>139</v>
      </c>
      <c r="D101">
        <v>22550</v>
      </c>
      <c r="E101" t="s">
        <v>40</v>
      </c>
      <c r="F101">
        <v>1475</v>
      </c>
      <c r="G101">
        <v>1300</v>
      </c>
      <c r="H101">
        <v>65</v>
      </c>
      <c r="I101">
        <v>455</v>
      </c>
      <c r="J101">
        <v>65</v>
      </c>
      <c r="K101">
        <v>1475.95</v>
      </c>
      <c r="L101">
        <v>1524</v>
      </c>
      <c r="M101">
        <v>1400</v>
      </c>
      <c r="N101">
        <v>1617.65</v>
      </c>
      <c r="O101">
        <v>1356.1</v>
      </c>
      <c r="P101" s="9">
        <v>46147.616180555553</v>
      </c>
    </row>
    <row r="102" spans="1:16" x14ac:dyDescent="0.25">
      <c r="A102" t="s">
        <v>7</v>
      </c>
      <c r="B102" s="4">
        <v>46147</v>
      </c>
      <c r="C102" t="s">
        <v>140</v>
      </c>
      <c r="D102">
        <v>22550</v>
      </c>
      <c r="E102" t="s">
        <v>42</v>
      </c>
      <c r="F102">
        <v>0.05</v>
      </c>
      <c r="G102">
        <v>1715675</v>
      </c>
      <c r="H102">
        <v>161460</v>
      </c>
      <c r="I102">
        <v>331565</v>
      </c>
      <c r="J102">
        <v>158275</v>
      </c>
      <c r="K102">
        <v>0.5</v>
      </c>
      <c r="L102">
        <v>0.65</v>
      </c>
      <c r="M102">
        <v>0.05</v>
      </c>
      <c r="N102">
        <v>0.5</v>
      </c>
      <c r="O102">
        <v>0</v>
      </c>
      <c r="P102" s="9">
        <v>46147.644965277781</v>
      </c>
    </row>
    <row r="103" spans="1:16" x14ac:dyDescent="0.25">
      <c r="A103" t="s">
        <v>7</v>
      </c>
      <c r="B103" s="4">
        <v>46147</v>
      </c>
      <c r="C103" t="s">
        <v>141</v>
      </c>
      <c r="D103">
        <v>22600</v>
      </c>
      <c r="E103" t="s">
        <v>40</v>
      </c>
      <c r="F103">
        <v>1435.85</v>
      </c>
      <c r="G103">
        <v>260</v>
      </c>
      <c r="H103">
        <v>585</v>
      </c>
      <c r="I103">
        <v>585</v>
      </c>
      <c r="J103">
        <v>585</v>
      </c>
      <c r="K103">
        <v>1515.7</v>
      </c>
      <c r="L103">
        <v>1515.7</v>
      </c>
      <c r="M103">
        <v>1435.8</v>
      </c>
      <c r="N103">
        <v>1558.85</v>
      </c>
      <c r="O103">
        <v>1429.55</v>
      </c>
      <c r="P103" s="9">
        <v>46147.640868055554</v>
      </c>
    </row>
    <row r="104" spans="1:16" x14ac:dyDescent="0.25">
      <c r="A104" t="s">
        <v>7</v>
      </c>
      <c r="B104" s="4">
        <v>46147</v>
      </c>
      <c r="C104" t="s">
        <v>142</v>
      </c>
      <c r="D104">
        <v>22600</v>
      </c>
      <c r="E104" t="s">
        <v>42</v>
      </c>
      <c r="F104">
        <v>0.05</v>
      </c>
      <c r="G104">
        <v>2909855</v>
      </c>
      <c r="H104">
        <v>451490</v>
      </c>
      <c r="I104">
        <v>803920</v>
      </c>
      <c r="J104">
        <v>451490</v>
      </c>
      <c r="K104">
        <v>0.45</v>
      </c>
      <c r="L104">
        <v>0.75</v>
      </c>
      <c r="M104">
        <v>0.05</v>
      </c>
      <c r="N104">
        <v>0.5</v>
      </c>
      <c r="O104">
        <v>0</v>
      </c>
      <c r="P104" s="9">
        <v>46147.645208333335</v>
      </c>
    </row>
    <row r="105" spans="1:16" x14ac:dyDescent="0.25">
      <c r="A105" t="s">
        <v>7</v>
      </c>
      <c r="B105" s="4">
        <v>46147</v>
      </c>
      <c r="C105" t="s">
        <v>143</v>
      </c>
      <c r="D105">
        <v>22650</v>
      </c>
      <c r="E105" t="s">
        <v>40</v>
      </c>
      <c r="F105">
        <v>1279.95</v>
      </c>
      <c r="G105">
        <v>195</v>
      </c>
      <c r="H105">
        <v>195</v>
      </c>
      <c r="I105">
        <v>260</v>
      </c>
      <c r="J105">
        <v>195</v>
      </c>
      <c r="K105">
        <v>1423.95</v>
      </c>
      <c r="L105">
        <v>1423.95</v>
      </c>
      <c r="M105">
        <v>1279.95</v>
      </c>
      <c r="N105">
        <v>1395.75</v>
      </c>
      <c r="O105">
        <v>1275.9000000000001</v>
      </c>
      <c r="P105" s="9">
        <v>46147.443472222221</v>
      </c>
    </row>
    <row r="106" spans="1:16" x14ac:dyDescent="0.25">
      <c r="A106" t="s">
        <v>7</v>
      </c>
      <c r="B106" s="4">
        <v>46147</v>
      </c>
      <c r="C106" t="s">
        <v>144</v>
      </c>
      <c r="D106">
        <v>22650</v>
      </c>
      <c r="E106" t="s">
        <v>42</v>
      </c>
      <c r="F106">
        <v>0.05</v>
      </c>
      <c r="G106">
        <v>792415</v>
      </c>
      <c r="H106">
        <v>263250</v>
      </c>
      <c r="I106">
        <v>322335</v>
      </c>
      <c r="J106">
        <v>263250</v>
      </c>
      <c r="K106">
        <v>0.55000000000000004</v>
      </c>
      <c r="L106">
        <v>0.6</v>
      </c>
      <c r="M106">
        <v>0.05</v>
      </c>
      <c r="N106">
        <v>0.55000000000000004</v>
      </c>
      <c r="O106">
        <v>0</v>
      </c>
      <c r="P106" s="9">
        <v>46147.644745370373</v>
      </c>
    </row>
    <row r="107" spans="1:16" x14ac:dyDescent="0.25">
      <c r="A107" t="s">
        <v>7</v>
      </c>
      <c r="B107" s="4">
        <v>46147</v>
      </c>
      <c r="C107" t="s">
        <v>145</v>
      </c>
      <c r="D107">
        <v>22700</v>
      </c>
      <c r="E107" t="s">
        <v>40</v>
      </c>
      <c r="F107">
        <v>1330.95</v>
      </c>
      <c r="G107">
        <v>3120</v>
      </c>
      <c r="H107">
        <v>2015</v>
      </c>
      <c r="I107">
        <v>3380</v>
      </c>
      <c r="J107">
        <v>2015</v>
      </c>
      <c r="K107">
        <v>1360</v>
      </c>
      <c r="L107">
        <v>1370.65</v>
      </c>
      <c r="M107">
        <v>1293.5</v>
      </c>
      <c r="N107">
        <v>1440.85</v>
      </c>
      <c r="O107">
        <v>1228.0999999999999</v>
      </c>
      <c r="P107" s="9">
        <v>46147.634120370371</v>
      </c>
    </row>
    <row r="108" spans="1:16" x14ac:dyDescent="0.25">
      <c r="A108" t="s">
        <v>7</v>
      </c>
      <c r="B108" s="4">
        <v>46147</v>
      </c>
      <c r="C108" t="s">
        <v>146</v>
      </c>
      <c r="D108">
        <v>22700</v>
      </c>
      <c r="E108" t="s">
        <v>42</v>
      </c>
      <c r="F108">
        <v>0.05</v>
      </c>
      <c r="G108">
        <v>3214965</v>
      </c>
      <c r="H108">
        <v>504465</v>
      </c>
      <c r="I108">
        <v>940875</v>
      </c>
      <c r="J108">
        <v>504465</v>
      </c>
      <c r="K108">
        <v>0.3</v>
      </c>
      <c r="L108">
        <v>0.7</v>
      </c>
      <c r="M108">
        <v>0.05</v>
      </c>
      <c r="N108">
        <v>0.5</v>
      </c>
      <c r="O108">
        <v>0</v>
      </c>
      <c r="P108" s="9">
        <v>46147.644108796296</v>
      </c>
    </row>
    <row r="109" spans="1:16" x14ac:dyDescent="0.25">
      <c r="A109" t="s">
        <v>7</v>
      </c>
      <c r="B109" s="4">
        <v>46147</v>
      </c>
      <c r="C109" t="s">
        <v>147</v>
      </c>
      <c r="D109">
        <v>22750</v>
      </c>
      <c r="E109" t="s">
        <v>40</v>
      </c>
      <c r="F109">
        <v>1470</v>
      </c>
      <c r="G109">
        <v>0</v>
      </c>
      <c r="H109">
        <v>1430</v>
      </c>
      <c r="I109">
        <v>1430</v>
      </c>
      <c r="J109">
        <v>1430</v>
      </c>
      <c r="K109">
        <v>0</v>
      </c>
      <c r="L109">
        <v>0</v>
      </c>
      <c r="M109">
        <v>0</v>
      </c>
      <c r="N109">
        <v>1470</v>
      </c>
      <c r="O109">
        <v>1187.5</v>
      </c>
      <c r="P109" s="9">
        <v>46146.50576388889</v>
      </c>
    </row>
    <row r="110" spans="1:16" x14ac:dyDescent="0.25">
      <c r="A110" t="s">
        <v>7</v>
      </c>
      <c r="B110" s="4">
        <v>46147</v>
      </c>
      <c r="C110" t="s">
        <v>148</v>
      </c>
      <c r="D110">
        <v>22750</v>
      </c>
      <c r="E110" t="s">
        <v>42</v>
      </c>
      <c r="F110">
        <v>0.05</v>
      </c>
      <c r="G110">
        <v>3709485</v>
      </c>
      <c r="H110">
        <v>356655</v>
      </c>
      <c r="I110">
        <v>651885</v>
      </c>
      <c r="J110">
        <v>244270</v>
      </c>
      <c r="K110">
        <v>0.8</v>
      </c>
      <c r="L110">
        <v>0.95</v>
      </c>
      <c r="M110">
        <v>0.05</v>
      </c>
      <c r="N110">
        <v>0.6</v>
      </c>
      <c r="O110">
        <v>0</v>
      </c>
      <c r="P110" s="9">
        <v>46147.645567129628</v>
      </c>
    </row>
    <row r="111" spans="1:16" x14ac:dyDescent="0.25">
      <c r="A111" t="s">
        <v>7</v>
      </c>
      <c r="B111" s="4">
        <v>46147</v>
      </c>
      <c r="C111" t="s">
        <v>149</v>
      </c>
      <c r="D111">
        <v>22800</v>
      </c>
      <c r="E111" t="s">
        <v>40</v>
      </c>
      <c r="F111">
        <v>1233.0999999999999</v>
      </c>
      <c r="G111">
        <v>6955</v>
      </c>
      <c r="H111">
        <v>4485</v>
      </c>
      <c r="I111">
        <v>6500</v>
      </c>
      <c r="J111">
        <v>4355</v>
      </c>
      <c r="K111">
        <v>1250</v>
      </c>
      <c r="L111">
        <v>1260</v>
      </c>
      <c r="M111">
        <v>1090.8</v>
      </c>
      <c r="N111">
        <v>1362.25</v>
      </c>
      <c r="O111">
        <v>1231.75</v>
      </c>
      <c r="P111" s="9">
        <v>46147.642361111109</v>
      </c>
    </row>
    <row r="112" spans="1:16" x14ac:dyDescent="0.25">
      <c r="A112" t="s">
        <v>7</v>
      </c>
      <c r="B112" s="4">
        <v>46147</v>
      </c>
      <c r="C112" t="s">
        <v>150</v>
      </c>
      <c r="D112">
        <v>22800</v>
      </c>
      <c r="E112" t="s">
        <v>42</v>
      </c>
      <c r="F112">
        <v>0.1</v>
      </c>
      <c r="G112">
        <v>13964340</v>
      </c>
      <c r="H112">
        <v>1333605</v>
      </c>
      <c r="I112">
        <v>2727335</v>
      </c>
      <c r="J112">
        <v>1333605</v>
      </c>
      <c r="K112">
        <v>1</v>
      </c>
      <c r="L112">
        <v>1</v>
      </c>
      <c r="M112">
        <v>0.05</v>
      </c>
      <c r="N112">
        <v>0.6</v>
      </c>
      <c r="O112">
        <v>0</v>
      </c>
      <c r="P112" s="9">
        <v>46147.644502314812</v>
      </c>
    </row>
    <row r="113" spans="1:16" x14ac:dyDescent="0.25">
      <c r="A113" t="s">
        <v>7</v>
      </c>
      <c r="B113" s="4">
        <v>46147</v>
      </c>
      <c r="C113" t="s">
        <v>151</v>
      </c>
      <c r="D113">
        <v>22850</v>
      </c>
      <c r="E113" t="s">
        <v>40</v>
      </c>
      <c r="F113">
        <v>1181</v>
      </c>
      <c r="G113">
        <v>1690</v>
      </c>
      <c r="H113">
        <v>910</v>
      </c>
      <c r="I113">
        <v>1170</v>
      </c>
      <c r="J113">
        <v>845</v>
      </c>
      <c r="K113">
        <v>1205.45</v>
      </c>
      <c r="L113">
        <v>1205.45</v>
      </c>
      <c r="M113">
        <v>1082.6500000000001</v>
      </c>
      <c r="N113">
        <v>1306.45</v>
      </c>
      <c r="O113">
        <v>1061.6500000000001</v>
      </c>
      <c r="P113" s="9">
        <v>46147.636412037034</v>
      </c>
    </row>
    <row r="114" spans="1:16" x14ac:dyDescent="0.25">
      <c r="A114" t="s">
        <v>7</v>
      </c>
      <c r="B114" s="4">
        <v>46147</v>
      </c>
      <c r="C114" t="s">
        <v>152</v>
      </c>
      <c r="D114">
        <v>22850</v>
      </c>
      <c r="E114" t="s">
        <v>42</v>
      </c>
      <c r="F114">
        <v>0.05</v>
      </c>
      <c r="G114">
        <v>3126565</v>
      </c>
      <c r="H114">
        <v>342160</v>
      </c>
      <c r="I114">
        <v>537485</v>
      </c>
      <c r="J114">
        <v>290940</v>
      </c>
      <c r="K114">
        <v>0.6</v>
      </c>
      <c r="L114">
        <v>0.6</v>
      </c>
      <c r="M114">
        <v>0.05</v>
      </c>
      <c r="N114">
        <v>0.65</v>
      </c>
      <c r="O114">
        <v>0</v>
      </c>
      <c r="P114" s="9">
        <v>46147.642164351855</v>
      </c>
    </row>
    <row r="115" spans="1:16" x14ac:dyDescent="0.25">
      <c r="A115" t="s">
        <v>7</v>
      </c>
      <c r="B115" s="4">
        <v>46147</v>
      </c>
      <c r="C115" t="s">
        <v>153</v>
      </c>
      <c r="D115">
        <v>22900</v>
      </c>
      <c r="E115" t="s">
        <v>40</v>
      </c>
      <c r="F115">
        <v>1134.25</v>
      </c>
      <c r="G115">
        <v>4290</v>
      </c>
      <c r="H115">
        <v>3445</v>
      </c>
      <c r="I115">
        <v>4485</v>
      </c>
      <c r="J115">
        <v>3445</v>
      </c>
      <c r="K115">
        <v>1130</v>
      </c>
      <c r="L115">
        <v>1180</v>
      </c>
      <c r="M115">
        <v>980</v>
      </c>
      <c r="N115">
        <v>1251.45</v>
      </c>
      <c r="O115">
        <v>1132.1500000000001</v>
      </c>
      <c r="P115" s="9">
        <v>46147.644166666665</v>
      </c>
    </row>
    <row r="116" spans="1:16" x14ac:dyDescent="0.25">
      <c r="A116" t="s">
        <v>7</v>
      </c>
      <c r="B116" s="4">
        <v>46147</v>
      </c>
      <c r="C116" t="s">
        <v>154</v>
      </c>
      <c r="D116">
        <v>22900</v>
      </c>
      <c r="E116" t="s">
        <v>42</v>
      </c>
      <c r="F116">
        <v>0.05</v>
      </c>
      <c r="G116">
        <v>8526895</v>
      </c>
      <c r="H116">
        <v>933400</v>
      </c>
      <c r="I116">
        <v>1387230</v>
      </c>
      <c r="J116">
        <v>933400</v>
      </c>
      <c r="K116">
        <v>0.45</v>
      </c>
      <c r="L116">
        <v>0.7</v>
      </c>
      <c r="M116">
        <v>0.05</v>
      </c>
      <c r="N116">
        <v>0.7</v>
      </c>
      <c r="O116">
        <v>0</v>
      </c>
      <c r="P116" s="9">
        <v>46147.644641203704</v>
      </c>
    </row>
    <row r="117" spans="1:16" x14ac:dyDescent="0.25">
      <c r="A117" t="s">
        <v>7</v>
      </c>
      <c r="B117" s="4">
        <v>46147</v>
      </c>
      <c r="C117" t="s">
        <v>155</v>
      </c>
      <c r="D117">
        <v>22950</v>
      </c>
      <c r="E117" t="s">
        <v>40</v>
      </c>
      <c r="F117">
        <v>1072.5</v>
      </c>
      <c r="G117">
        <v>1430</v>
      </c>
      <c r="H117">
        <v>780</v>
      </c>
      <c r="I117">
        <v>1365</v>
      </c>
      <c r="J117">
        <v>780</v>
      </c>
      <c r="K117">
        <v>979</v>
      </c>
      <c r="L117">
        <v>1083.5</v>
      </c>
      <c r="M117">
        <v>947.65</v>
      </c>
      <c r="N117">
        <v>1210.0999999999999</v>
      </c>
      <c r="O117">
        <v>975.75</v>
      </c>
      <c r="P117" s="9">
        <v>46147.630335648151</v>
      </c>
    </row>
    <row r="118" spans="1:16" x14ac:dyDescent="0.25">
      <c r="A118" t="s">
        <v>7</v>
      </c>
      <c r="B118" s="4">
        <v>46147</v>
      </c>
      <c r="C118" t="s">
        <v>156</v>
      </c>
      <c r="D118">
        <v>22950</v>
      </c>
      <c r="E118" t="s">
        <v>42</v>
      </c>
      <c r="F118">
        <v>0.05</v>
      </c>
      <c r="G118">
        <v>5573815</v>
      </c>
      <c r="H118">
        <v>470210</v>
      </c>
      <c r="I118">
        <v>771355</v>
      </c>
      <c r="J118">
        <v>303160</v>
      </c>
      <c r="K118">
        <v>0.55000000000000004</v>
      </c>
      <c r="L118">
        <v>0.65</v>
      </c>
      <c r="M118">
        <v>0.05</v>
      </c>
      <c r="N118">
        <v>0.8</v>
      </c>
      <c r="O118">
        <v>0</v>
      </c>
      <c r="P118" s="9">
        <v>46147.644699074073</v>
      </c>
    </row>
    <row r="119" spans="1:16" x14ac:dyDescent="0.25">
      <c r="A119" t="s">
        <v>7</v>
      </c>
      <c r="B119" s="4">
        <v>46147</v>
      </c>
      <c r="C119" t="s">
        <v>157</v>
      </c>
      <c r="D119">
        <v>23000</v>
      </c>
      <c r="E119" t="s">
        <v>40</v>
      </c>
      <c r="F119">
        <v>1032.0999999999999</v>
      </c>
      <c r="G119">
        <v>180440</v>
      </c>
      <c r="H119">
        <v>75725</v>
      </c>
      <c r="I119">
        <v>138840</v>
      </c>
      <c r="J119">
        <v>75725</v>
      </c>
      <c r="K119">
        <v>1012</v>
      </c>
      <c r="L119">
        <v>1087.3499999999999</v>
      </c>
      <c r="M119">
        <v>881.15</v>
      </c>
      <c r="N119">
        <v>1160.05</v>
      </c>
      <c r="O119">
        <v>1031.5</v>
      </c>
      <c r="P119" s="9">
        <v>46147.645474537036</v>
      </c>
    </row>
    <row r="120" spans="1:16" x14ac:dyDescent="0.25">
      <c r="A120" t="s">
        <v>7</v>
      </c>
      <c r="B120" s="4">
        <v>46147</v>
      </c>
      <c r="C120" t="s">
        <v>158</v>
      </c>
      <c r="D120">
        <v>23000</v>
      </c>
      <c r="E120" t="s">
        <v>42</v>
      </c>
      <c r="F120">
        <v>0.05</v>
      </c>
      <c r="G120">
        <v>62931830</v>
      </c>
      <c r="H120">
        <v>5733975</v>
      </c>
      <c r="I120">
        <v>8202935</v>
      </c>
      <c r="J120">
        <v>5733975</v>
      </c>
      <c r="K120">
        <v>0.4</v>
      </c>
      <c r="L120">
        <v>0.65</v>
      </c>
      <c r="M120">
        <v>0.05</v>
      </c>
      <c r="N120">
        <v>0.8</v>
      </c>
      <c r="O120">
        <v>0</v>
      </c>
      <c r="P120" s="9">
        <v>46147.645624999997</v>
      </c>
    </row>
    <row r="121" spans="1:16" x14ac:dyDescent="0.25">
      <c r="A121" t="s">
        <v>7</v>
      </c>
      <c r="B121" s="4">
        <v>46147</v>
      </c>
      <c r="C121" t="s">
        <v>159</v>
      </c>
      <c r="D121">
        <v>23050</v>
      </c>
      <c r="E121" t="s">
        <v>40</v>
      </c>
      <c r="F121">
        <v>981.4</v>
      </c>
      <c r="G121">
        <v>5200</v>
      </c>
      <c r="H121">
        <v>1690</v>
      </c>
      <c r="I121">
        <v>2145</v>
      </c>
      <c r="J121">
        <v>1625</v>
      </c>
      <c r="K121">
        <v>996.25</v>
      </c>
      <c r="L121">
        <v>1018.9</v>
      </c>
      <c r="M121">
        <v>830</v>
      </c>
      <c r="N121">
        <v>1107.05</v>
      </c>
      <c r="O121">
        <v>973.6</v>
      </c>
      <c r="P121" s="9">
        <v>46147.63453703704</v>
      </c>
    </row>
    <row r="122" spans="1:16" x14ac:dyDescent="0.25">
      <c r="A122" t="s">
        <v>7</v>
      </c>
      <c r="B122" s="4">
        <v>46147</v>
      </c>
      <c r="C122" t="s">
        <v>160</v>
      </c>
      <c r="D122">
        <v>23050</v>
      </c>
      <c r="E122" t="s">
        <v>42</v>
      </c>
      <c r="F122">
        <v>0.05</v>
      </c>
      <c r="G122">
        <v>17813510</v>
      </c>
      <c r="H122">
        <v>2092285</v>
      </c>
      <c r="I122">
        <v>2441660</v>
      </c>
      <c r="J122">
        <v>414245</v>
      </c>
      <c r="K122">
        <v>0.6</v>
      </c>
      <c r="L122">
        <v>0.65</v>
      </c>
      <c r="M122">
        <v>0.05</v>
      </c>
      <c r="N122">
        <v>0.85</v>
      </c>
      <c r="O122">
        <v>0</v>
      </c>
      <c r="P122" s="9">
        <v>46147.644467592596</v>
      </c>
    </row>
    <row r="123" spans="1:16" x14ac:dyDescent="0.25">
      <c r="A123" t="s">
        <v>7</v>
      </c>
      <c r="B123" s="4">
        <v>46147</v>
      </c>
      <c r="C123" t="s">
        <v>161</v>
      </c>
      <c r="D123">
        <v>23100</v>
      </c>
      <c r="E123" t="s">
        <v>40</v>
      </c>
      <c r="F123">
        <v>933.4</v>
      </c>
      <c r="G123">
        <v>16445</v>
      </c>
      <c r="H123">
        <v>6565</v>
      </c>
      <c r="I123">
        <v>11440</v>
      </c>
      <c r="J123">
        <v>6565</v>
      </c>
      <c r="K123">
        <v>862.95</v>
      </c>
      <c r="L123">
        <v>986.1</v>
      </c>
      <c r="M123">
        <v>780</v>
      </c>
      <c r="N123">
        <v>1061.55</v>
      </c>
      <c r="O123">
        <v>930.8</v>
      </c>
      <c r="P123" s="9">
        <v>46147.641412037039</v>
      </c>
    </row>
    <row r="124" spans="1:16" x14ac:dyDescent="0.25">
      <c r="A124" t="s">
        <v>7</v>
      </c>
      <c r="B124" s="4">
        <v>46147</v>
      </c>
      <c r="C124" t="s">
        <v>162</v>
      </c>
      <c r="D124">
        <v>23100</v>
      </c>
      <c r="E124" t="s">
        <v>42</v>
      </c>
      <c r="F124">
        <v>0.05</v>
      </c>
      <c r="G124">
        <v>22480315</v>
      </c>
      <c r="H124">
        <v>2018380</v>
      </c>
      <c r="I124">
        <v>2499640</v>
      </c>
      <c r="J124">
        <v>1738230</v>
      </c>
      <c r="K124">
        <v>0.4</v>
      </c>
      <c r="L124">
        <v>0.7</v>
      </c>
      <c r="M124">
        <v>0.05</v>
      </c>
      <c r="N124">
        <v>0.85</v>
      </c>
      <c r="O124">
        <v>0</v>
      </c>
      <c r="P124" s="9">
        <v>46147.64472222222</v>
      </c>
    </row>
    <row r="125" spans="1:16" x14ac:dyDescent="0.25">
      <c r="A125" t="s">
        <v>7</v>
      </c>
      <c r="B125" s="4">
        <v>46147</v>
      </c>
      <c r="C125" t="s">
        <v>163</v>
      </c>
      <c r="D125">
        <v>23150</v>
      </c>
      <c r="E125" t="s">
        <v>40</v>
      </c>
      <c r="F125">
        <v>897.65</v>
      </c>
      <c r="G125">
        <v>7280</v>
      </c>
      <c r="H125">
        <v>4810</v>
      </c>
      <c r="I125">
        <v>5395</v>
      </c>
      <c r="J125">
        <v>4550</v>
      </c>
      <c r="K125">
        <v>830.95</v>
      </c>
      <c r="L125">
        <v>928</v>
      </c>
      <c r="M125">
        <v>736.15</v>
      </c>
      <c r="N125">
        <v>1009.4</v>
      </c>
      <c r="O125">
        <v>873.6</v>
      </c>
      <c r="P125" s="9">
        <v>46147.606238425928</v>
      </c>
    </row>
    <row r="126" spans="1:16" x14ac:dyDescent="0.25">
      <c r="A126" t="s">
        <v>7</v>
      </c>
      <c r="B126" s="4">
        <v>46147</v>
      </c>
      <c r="C126" t="s">
        <v>164</v>
      </c>
      <c r="D126">
        <v>23150</v>
      </c>
      <c r="E126" t="s">
        <v>42</v>
      </c>
      <c r="F126">
        <v>0.05</v>
      </c>
      <c r="G126">
        <v>16855930</v>
      </c>
      <c r="H126">
        <v>991120</v>
      </c>
      <c r="I126">
        <v>1865175</v>
      </c>
      <c r="J126">
        <v>936455</v>
      </c>
      <c r="K126">
        <v>0.85</v>
      </c>
      <c r="L126">
        <v>0.85</v>
      </c>
      <c r="M126">
        <v>0.05</v>
      </c>
      <c r="N126">
        <v>0.85</v>
      </c>
      <c r="O126">
        <v>0</v>
      </c>
      <c r="P126" s="9">
        <v>46147.641296296293</v>
      </c>
    </row>
    <row r="127" spans="1:16" x14ac:dyDescent="0.25">
      <c r="A127" t="s">
        <v>7</v>
      </c>
      <c r="B127" s="4">
        <v>46147</v>
      </c>
      <c r="C127" t="s">
        <v>165</v>
      </c>
      <c r="D127">
        <v>23200</v>
      </c>
      <c r="E127" t="s">
        <v>40</v>
      </c>
      <c r="F127">
        <v>831.6</v>
      </c>
      <c r="G127">
        <v>45695</v>
      </c>
      <c r="H127">
        <v>15340</v>
      </c>
      <c r="I127">
        <v>20800</v>
      </c>
      <c r="J127">
        <v>14430</v>
      </c>
      <c r="K127">
        <v>836.7</v>
      </c>
      <c r="L127">
        <v>882.85</v>
      </c>
      <c r="M127">
        <v>688</v>
      </c>
      <c r="N127">
        <v>954.1</v>
      </c>
      <c r="O127">
        <v>831.4</v>
      </c>
      <c r="P127" s="9">
        <v>46147.64576388889</v>
      </c>
    </row>
    <row r="128" spans="1:16" x14ac:dyDescent="0.25">
      <c r="A128" t="s">
        <v>7</v>
      </c>
      <c r="B128" s="4">
        <v>46147</v>
      </c>
      <c r="C128" t="s">
        <v>166</v>
      </c>
      <c r="D128">
        <v>23200</v>
      </c>
      <c r="E128" t="s">
        <v>42</v>
      </c>
      <c r="F128">
        <v>0.05</v>
      </c>
      <c r="G128">
        <v>48087520</v>
      </c>
      <c r="H128">
        <v>3582345</v>
      </c>
      <c r="I128">
        <v>5318235</v>
      </c>
      <c r="J128">
        <v>3322215</v>
      </c>
      <c r="K128">
        <v>0.5</v>
      </c>
      <c r="L128">
        <v>0.75</v>
      </c>
      <c r="M128">
        <v>0.05</v>
      </c>
      <c r="N128">
        <v>0.95</v>
      </c>
      <c r="O128">
        <v>0</v>
      </c>
      <c r="P128" s="9">
        <v>46147.645185185182</v>
      </c>
    </row>
    <row r="129" spans="1:16" x14ac:dyDescent="0.25">
      <c r="A129" t="s">
        <v>7</v>
      </c>
      <c r="B129" s="4">
        <v>46147</v>
      </c>
      <c r="C129" t="s">
        <v>167</v>
      </c>
      <c r="D129">
        <v>23250</v>
      </c>
      <c r="E129" t="s">
        <v>40</v>
      </c>
      <c r="F129">
        <v>783.2</v>
      </c>
      <c r="G129">
        <v>19955</v>
      </c>
      <c r="H129">
        <v>11765</v>
      </c>
      <c r="I129">
        <v>15860</v>
      </c>
      <c r="J129">
        <v>11700</v>
      </c>
      <c r="K129">
        <v>778.55</v>
      </c>
      <c r="L129">
        <v>829.75</v>
      </c>
      <c r="M129">
        <v>640.1</v>
      </c>
      <c r="N129">
        <v>909</v>
      </c>
      <c r="O129">
        <v>781.1</v>
      </c>
      <c r="P129" s="9">
        <v>46147.644444444442</v>
      </c>
    </row>
    <row r="130" spans="1:16" x14ac:dyDescent="0.25">
      <c r="A130" t="s">
        <v>7</v>
      </c>
      <c r="B130" s="4">
        <v>46147</v>
      </c>
      <c r="C130" t="s">
        <v>168</v>
      </c>
      <c r="D130">
        <v>23250</v>
      </c>
      <c r="E130" t="s">
        <v>42</v>
      </c>
      <c r="F130">
        <v>0.05</v>
      </c>
      <c r="G130">
        <v>24697725</v>
      </c>
      <c r="H130">
        <v>2075580</v>
      </c>
      <c r="I130">
        <v>2677870</v>
      </c>
      <c r="J130">
        <v>1433315</v>
      </c>
      <c r="K130">
        <v>0.9</v>
      </c>
      <c r="L130">
        <v>0.9</v>
      </c>
      <c r="M130">
        <v>0.05</v>
      </c>
      <c r="N130">
        <v>1.05</v>
      </c>
      <c r="O130">
        <v>0</v>
      </c>
      <c r="P130" s="9">
        <v>46147.645497685182</v>
      </c>
    </row>
    <row r="131" spans="1:16" x14ac:dyDescent="0.25">
      <c r="A131" t="s">
        <v>7</v>
      </c>
      <c r="B131" s="4">
        <v>46147</v>
      </c>
      <c r="C131" t="s">
        <v>169</v>
      </c>
      <c r="D131">
        <v>23300</v>
      </c>
      <c r="E131" t="s">
        <v>40</v>
      </c>
      <c r="F131">
        <v>731.5</v>
      </c>
      <c r="G131">
        <v>75530</v>
      </c>
      <c r="H131">
        <v>27300</v>
      </c>
      <c r="I131">
        <v>37895</v>
      </c>
      <c r="J131">
        <v>27170</v>
      </c>
      <c r="K131">
        <v>708.9</v>
      </c>
      <c r="L131">
        <v>780.85</v>
      </c>
      <c r="M131">
        <v>587.70000000000005</v>
      </c>
      <c r="N131">
        <v>855.15</v>
      </c>
      <c r="O131">
        <v>732</v>
      </c>
      <c r="P131" s="9">
        <v>46147.645486111112</v>
      </c>
    </row>
    <row r="132" spans="1:16" x14ac:dyDescent="0.25">
      <c r="A132" t="s">
        <v>7</v>
      </c>
      <c r="B132" s="4">
        <v>46147</v>
      </c>
      <c r="C132" t="s">
        <v>170</v>
      </c>
      <c r="D132">
        <v>23300</v>
      </c>
      <c r="E132" t="s">
        <v>42</v>
      </c>
      <c r="F132">
        <v>0.05</v>
      </c>
      <c r="G132">
        <v>60272420</v>
      </c>
      <c r="H132">
        <v>4380610</v>
      </c>
      <c r="I132">
        <v>5793190</v>
      </c>
      <c r="J132">
        <v>2992600</v>
      </c>
      <c r="K132">
        <v>0.6</v>
      </c>
      <c r="L132">
        <v>0.8</v>
      </c>
      <c r="M132">
        <v>0.05</v>
      </c>
      <c r="N132">
        <v>1.25</v>
      </c>
      <c r="O132">
        <v>0</v>
      </c>
      <c r="P132" s="9">
        <v>46147.645196759258</v>
      </c>
    </row>
    <row r="133" spans="1:16" x14ac:dyDescent="0.25">
      <c r="A133" t="s">
        <v>7</v>
      </c>
      <c r="B133" s="4">
        <v>46147</v>
      </c>
      <c r="C133" t="s">
        <v>171</v>
      </c>
      <c r="D133">
        <v>23350</v>
      </c>
      <c r="E133" t="s">
        <v>40</v>
      </c>
      <c r="F133">
        <v>682.4</v>
      </c>
      <c r="G133">
        <v>43615</v>
      </c>
      <c r="H133">
        <v>13065</v>
      </c>
      <c r="I133">
        <v>19760</v>
      </c>
      <c r="J133">
        <v>10075</v>
      </c>
      <c r="K133">
        <v>722.1</v>
      </c>
      <c r="L133">
        <v>735</v>
      </c>
      <c r="M133">
        <v>539</v>
      </c>
      <c r="N133">
        <v>813</v>
      </c>
      <c r="O133">
        <v>680.7</v>
      </c>
      <c r="P133" s="9">
        <v>46147.644444444442</v>
      </c>
    </row>
    <row r="134" spans="1:16" x14ac:dyDescent="0.25">
      <c r="A134" t="s">
        <v>7</v>
      </c>
      <c r="B134" s="4">
        <v>46147</v>
      </c>
      <c r="C134" t="s">
        <v>172</v>
      </c>
      <c r="D134">
        <v>23350</v>
      </c>
      <c r="E134" t="s">
        <v>42</v>
      </c>
      <c r="F134">
        <v>0.05</v>
      </c>
      <c r="G134">
        <v>44107505</v>
      </c>
      <c r="H134">
        <v>1309880</v>
      </c>
      <c r="I134">
        <v>2723370</v>
      </c>
      <c r="J134">
        <v>1309880</v>
      </c>
      <c r="K134">
        <v>0.9</v>
      </c>
      <c r="L134">
        <v>0.95</v>
      </c>
      <c r="M134">
        <v>0.05</v>
      </c>
      <c r="N134">
        <v>1.5</v>
      </c>
      <c r="O134">
        <v>0</v>
      </c>
      <c r="P134" s="9">
        <v>46147.645358796297</v>
      </c>
    </row>
    <row r="135" spans="1:16" x14ac:dyDescent="0.25">
      <c r="A135" t="s">
        <v>7</v>
      </c>
      <c r="B135" s="4">
        <v>46147</v>
      </c>
      <c r="C135" t="s">
        <v>173</v>
      </c>
      <c r="D135">
        <v>23400</v>
      </c>
      <c r="E135" t="s">
        <v>40</v>
      </c>
      <c r="F135">
        <v>632.04999999999995</v>
      </c>
      <c r="G135">
        <v>150735</v>
      </c>
      <c r="H135">
        <v>22100</v>
      </c>
      <c r="I135">
        <v>32890</v>
      </c>
      <c r="J135">
        <v>22100</v>
      </c>
      <c r="K135">
        <v>600</v>
      </c>
      <c r="L135">
        <v>683.6</v>
      </c>
      <c r="M135">
        <v>484.1</v>
      </c>
      <c r="N135">
        <v>758.65</v>
      </c>
      <c r="O135">
        <v>631.45000000000005</v>
      </c>
      <c r="P135" s="9">
        <v>46147.645486111112</v>
      </c>
    </row>
    <row r="136" spans="1:16" x14ac:dyDescent="0.25">
      <c r="A136" t="s">
        <v>7</v>
      </c>
      <c r="B136" s="4">
        <v>46147</v>
      </c>
      <c r="C136" t="s">
        <v>174</v>
      </c>
      <c r="D136">
        <v>23400</v>
      </c>
      <c r="E136" t="s">
        <v>42</v>
      </c>
      <c r="F136">
        <v>0.05</v>
      </c>
      <c r="G136">
        <v>85699185</v>
      </c>
      <c r="H136">
        <v>5223985</v>
      </c>
      <c r="I136">
        <v>7872020</v>
      </c>
      <c r="J136">
        <v>3702140</v>
      </c>
      <c r="K136">
        <v>0.85</v>
      </c>
      <c r="L136">
        <v>0.9</v>
      </c>
      <c r="M136">
        <v>0.05</v>
      </c>
      <c r="N136">
        <v>1.9</v>
      </c>
      <c r="O136">
        <v>0</v>
      </c>
      <c r="P136" s="9">
        <v>46147.645358796297</v>
      </c>
    </row>
    <row r="137" spans="1:16" x14ac:dyDescent="0.25">
      <c r="A137" t="s">
        <v>7</v>
      </c>
      <c r="B137" s="4">
        <v>46147</v>
      </c>
      <c r="C137" t="s">
        <v>175</v>
      </c>
      <c r="D137">
        <v>23450</v>
      </c>
      <c r="E137" t="s">
        <v>40</v>
      </c>
      <c r="F137">
        <v>583.35</v>
      </c>
      <c r="G137">
        <v>121940</v>
      </c>
      <c r="H137">
        <v>12870</v>
      </c>
      <c r="I137">
        <v>31785</v>
      </c>
      <c r="J137">
        <v>12870</v>
      </c>
      <c r="K137">
        <v>531.75</v>
      </c>
      <c r="L137">
        <v>638.85</v>
      </c>
      <c r="M137">
        <v>431.2</v>
      </c>
      <c r="N137">
        <v>708.05</v>
      </c>
      <c r="O137">
        <v>581.5</v>
      </c>
      <c r="P137" s="9">
        <v>46147.645428240743</v>
      </c>
    </row>
    <row r="138" spans="1:16" x14ac:dyDescent="0.25">
      <c r="A138" t="s">
        <v>7</v>
      </c>
      <c r="B138" s="4">
        <v>46147</v>
      </c>
      <c r="C138" t="s">
        <v>176</v>
      </c>
      <c r="D138">
        <v>23450</v>
      </c>
      <c r="E138" t="s">
        <v>42</v>
      </c>
      <c r="F138">
        <v>0.05</v>
      </c>
      <c r="G138">
        <v>58245070</v>
      </c>
      <c r="H138">
        <v>2615795</v>
      </c>
      <c r="I138">
        <v>4148950</v>
      </c>
      <c r="J138">
        <v>2085005</v>
      </c>
      <c r="K138">
        <v>1</v>
      </c>
      <c r="L138">
        <v>1.25</v>
      </c>
      <c r="M138">
        <v>0.05</v>
      </c>
      <c r="N138">
        <v>2.4500000000000002</v>
      </c>
      <c r="O138">
        <v>0</v>
      </c>
      <c r="P138" s="9">
        <v>46147.645648148151</v>
      </c>
    </row>
    <row r="139" spans="1:16" x14ac:dyDescent="0.25">
      <c r="A139" t="s">
        <v>7</v>
      </c>
      <c r="B139" s="4">
        <v>46147</v>
      </c>
      <c r="C139" t="s">
        <v>177</v>
      </c>
      <c r="D139">
        <v>23500</v>
      </c>
      <c r="E139" t="s">
        <v>40</v>
      </c>
      <c r="F139">
        <v>532.35</v>
      </c>
      <c r="G139">
        <v>2585310</v>
      </c>
      <c r="H139">
        <v>133770</v>
      </c>
      <c r="I139">
        <v>423670</v>
      </c>
      <c r="J139">
        <v>133770</v>
      </c>
      <c r="K139">
        <v>543.6</v>
      </c>
      <c r="L139">
        <v>593</v>
      </c>
      <c r="M139">
        <v>378</v>
      </c>
      <c r="N139">
        <v>662</v>
      </c>
      <c r="O139">
        <v>532.35</v>
      </c>
      <c r="P139" s="9">
        <v>46147.645752314813</v>
      </c>
    </row>
    <row r="140" spans="1:16" x14ac:dyDescent="0.25">
      <c r="A140" t="s">
        <v>7</v>
      </c>
      <c r="B140" s="4">
        <v>46147</v>
      </c>
      <c r="C140" t="s">
        <v>178</v>
      </c>
      <c r="D140">
        <v>23500</v>
      </c>
      <c r="E140" t="s">
        <v>42</v>
      </c>
      <c r="F140">
        <v>0.05</v>
      </c>
      <c r="G140">
        <v>192293270</v>
      </c>
      <c r="H140">
        <v>9106565</v>
      </c>
      <c r="I140">
        <v>17485585</v>
      </c>
      <c r="J140">
        <v>9022585</v>
      </c>
      <c r="K140">
        <v>1.55</v>
      </c>
      <c r="L140">
        <v>2.7</v>
      </c>
      <c r="M140">
        <v>0.05</v>
      </c>
      <c r="N140">
        <v>2.8</v>
      </c>
      <c r="O140">
        <v>0</v>
      </c>
      <c r="P140" s="9">
        <v>46147.64570601852</v>
      </c>
    </row>
    <row r="141" spans="1:16" x14ac:dyDescent="0.25">
      <c r="A141" t="s">
        <v>7</v>
      </c>
      <c r="B141" s="4">
        <v>46147</v>
      </c>
      <c r="C141" t="s">
        <v>179</v>
      </c>
      <c r="D141">
        <v>23550</v>
      </c>
      <c r="E141" t="s">
        <v>40</v>
      </c>
      <c r="F141">
        <v>484</v>
      </c>
      <c r="G141">
        <v>471835</v>
      </c>
      <c r="H141">
        <v>25675</v>
      </c>
      <c r="I141">
        <v>49985</v>
      </c>
      <c r="J141">
        <v>24570</v>
      </c>
      <c r="K141">
        <v>442.3</v>
      </c>
      <c r="L141">
        <v>538.35</v>
      </c>
      <c r="M141">
        <v>327.39999999999998</v>
      </c>
      <c r="N141">
        <v>613.75</v>
      </c>
      <c r="O141">
        <v>481.9</v>
      </c>
      <c r="P141" s="9">
        <v>46147.645775462966</v>
      </c>
    </row>
    <row r="142" spans="1:16" x14ac:dyDescent="0.25">
      <c r="A142" t="s">
        <v>7</v>
      </c>
      <c r="B142" s="4">
        <v>46147</v>
      </c>
      <c r="C142" t="s">
        <v>180</v>
      </c>
      <c r="D142">
        <v>23550</v>
      </c>
      <c r="E142" t="s">
        <v>42</v>
      </c>
      <c r="F142">
        <v>0.05</v>
      </c>
      <c r="G142">
        <v>80579005</v>
      </c>
      <c r="H142">
        <v>3929445</v>
      </c>
      <c r="I142">
        <v>7034430</v>
      </c>
      <c r="J142">
        <v>2029040</v>
      </c>
      <c r="K142">
        <v>1.6</v>
      </c>
      <c r="L142">
        <v>1.6</v>
      </c>
      <c r="M142">
        <v>0.05</v>
      </c>
      <c r="N142">
        <v>3.3</v>
      </c>
      <c r="O142">
        <v>0</v>
      </c>
      <c r="P142" s="9">
        <v>46147.645775462966</v>
      </c>
    </row>
    <row r="143" spans="1:16" x14ac:dyDescent="0.25">
      <c r="A143" t="s">
        <v>7</v>
      </c>
      <c r="B143" s="4">
        <v>46147</v>
      </c>
      <c r="C143" t="s">
        <v>181</v>
      </c>
      <c r="D143">
        <v>23600</v>
      </c>
      <c r="E143" t="s">
        <v>40</v>
      </c>
      <c r="F143">
        <v>432.95</v>
      </c>
      <c r="G143">
        <v>2046785</v>
      </c>
      <c r="H143">
        <v>64805</v>
      </c>
      <c r="I143">
        <v>156910</v>
      </c>
      <c r="J143">
        <v>64805</v>
      </c>
      <c r="K143">
        <v>400.05</v>
      </c>
      <c r="L143">
        <v>490</v>
      </c>
      <c r="M143">
        <v>278.35000000000002</v>
      </c>
      <c r="N143">
        <v>557.4</v>
      </c>
      <c r="O143">
        <v>431.75</v>
      </c>
      <c r="P143" s="9">
        <v>46147.645752314813</v>
      </c>
    </row>
    <row r="144" spans="1:16" x14ac:dyDescent="0.25">
      <c r="A144" t="s">
        <v>7</v>
      </c>
      <c r="B144" s="4">
        <v>46147</v>
      </c>
      <c r="C144" t="s">
        <v>182</v>
      </c>
      <c r="D144">
        <v>23600</v>
      </c>
      <c r="E144" t="s">
        <v>42</v>
      </c>
      <c r="F144">
        <v>0.05</v>
      </c>
      <c r="G144">
        <v>170589120</v>
      </c>
      <c r="H144">
        <v>5580575</v>
      </c>
      <c r="I144">
        <v>10187125</v>
      </c>
      <c r="J144">
        <v>4242160</v>
      </c>
      <c r="K144">
        <v>1.8</v>
      </c>
      <c r="L144">
        <v>2.4</v>
      </c>
      <c r="M144">
        <v>0.05</v>
      </c>
      <c r="N144">
        <v>4.05</v>
      </c>
      <c r="O144">
        <v>0</v>
      </c>
      <c r="P144" s="9">
        <v>46147.645729166667</v>
      </c>
    </row>
    <row r="145" spans="1:16" x14ac:dyDescent="0.25">
      <c r="A145" t="s">
        <v>7</v>
      </c>
      <c r="B145" s="4">
        <v>46147</v>
      </c>
      <c r="C145" t="s">
        <v>183</v>
      </c>
      <c r="D145">
        <v>23650</v>
      </c>
      <c r="E145" t="s">
        <v>40</v>
      </c>
      <c r="F145">
        <v>381.95</v>
      </c>
      <c r="G145">
        <v>2139670</v>
      </c>
      <c r="H145">
        <v>40495</v>
      </c>
      <c r="I145">
        <v>122460</v>
      </c>
      <c r="J145">
        <v>40495</v>
      </c>
      <c r="K145">
        <v>365.65</v>
      </c>
      <c r="L145">
        <v>444.6</v>
      </c>
      <c r="M145">
        <v>228.95</v>
      </c>
      <c r="N145">
        <v>516.70000000000005</v>
      </c>
      <c r="O145">
        <v>381.95</v>
      </c>
      <c r="P145" s="9">
        <v>46147.645752314813</v>
      </c>
    </row>
    <row r="146" spans="1:16" x14ac:dyDescent="0.25">
      <c r="A146" t="s">
        <v>7</v>
      </c>
      <c r="B146" s="4">
        <v>46147</v>
      </c>
      <c r="C146" t="s">
        <v>184</v>
      </c>
      <c r="D146">
        <v>23650</v>
      </c>
      <c r="E146" t="s">
        <v>42</v>
      </c>
      <c r="F146">
        <v>0.05</v>
      </c>
      <c r="G146">
        <v>179046985</v>
      </c>
      <c r="H146">
        <v>2989480</v>
      </c>
      <c r="I146">
        <v>6480370</v>
      </c>
      <c r="J146">
        <v>2302170</v>
      </c>
      <c r="K146">
        <v>1.95</v>
      </c>
      <c r="L146">
        <v>3.2</v>
      </c>
      <c r="M146">
        <v>0.05</v>
      </c>
      <c r="N146">
        <v>5.3</v>
      </c>
      <c r="O146">
        <v>0</v>
      </c>
      <c r="P146" s="9">
        <v>46147.645787037036</v>
      </c>
    </row>
    <row r="147" spans="1:16" x14ac:dyDescent="0.25">
      <c r="A147" t="s">
        <v>7</v>
      </c>
      <c r="B147" s="4">
        <v>46147</v>
      </c>
      <c r="C147" t="s">
        <v>185</v>
      </c>
      <c r="D147">
        <v>23700</v>
      </c>
      <c r="E147" t="s">
        <v>40</v>
      </c>
      <c r="F147">
        <v>332</v>
      </c>
      <c r="G147">
        <v>14574040</v>
      </c>
      <c r="H147">
        <v>154180</v>
      </c>
      <c r="I147">
        <v>791765</v>
      </c>
      <c r="J147">
        <v>154180</v>
      </c>
      <c r="K147">
        <v>353</v>
      </c>
      <c r="L147">
        <v>393.2</v>
      </c>
      <c r="M147">
        <v>180</v>
      </c>
      <c r="N147">
        <v>465.55</v>
      </c>
      <c r="O147">
        <v>332</v>
      </c>
      <c r="P147" s="9">
        <v>46147.645752314813</v>
      </c>
    </row>
    <row r="148" spans="1:16" x14ac:dyDescent="0.25">
      <c r="A148" t="s">
        <v>7</v>
      </c>
      <c r="B148" s="4">
        <v>46147</v>
      </c>
      <c r="C148" t="s">
        <v>186</v>
      </c>
      <c r="D148">
        <v>23700</v>
      </c>
      <c r="E148" t="s">
        <v>42</v>
      </c>
      <c r="F148">
        <v>0.05</v>
      </c>
      <c r="G148">
        <v>353091115</v>
      </c>
      <c r="H148">
        <v>7852650</v>
      </c>
      <c r="I148">
        <v>11717615</v>
      </c>
      <c r="J148">
        <v>5005975</v>
      </c>
      <c r="K148">
        <v>3</v>
      </c>
      <c r="L148">
        <v>5.8</v>
      </c>
      <c r="M148">
        <v>0.05</v>
      </c>
      <c r="N148">
        <v>7.1</v>
      </c>
      <c r="O148">
        <v>0</v>
      </c>
      <c r="P148" s="9">
        <v>46147.645636574074</v>
      </c>
    </row>
    <row r="149" spans="1:16" x14ac:dyDescent="0.25">
      <c r="A149" t="s">
        <v>7</v>
      </c>
      <c r="B149" s="4">
        <v>46147</v>
      </c>
      <c r="C149" t="s">
        <v>187</v>
      </c>
      <c r="D149">
        <v>23750</v>
      </c>
      <c r="E149" t="s">
        <v>40</v>
      </c>
      <c r="F149">
        <v>282.10000000000002</v>
      </c>
      <c r="G149">
        <v>17987515</v>
      </c>
      <c r="H149">
        <v>183950</v>
      </c>
      <c r="I149">
        <v>957515</v>
      </c>
      <c r="J149">
        <v>113165</v>
      </c>
      <c r="K149">
        <v>307</v>
      </c>
      <c r="L149">
        <v>344</v>
      </c>
      <c r="M149">
        <v>131</v>
      </c>
      <c r="N149">
        <v>420.7</v>
      </c>
      <c r="O149">
        <v>282.10000000000002</v>
      </c>
      <c r="P149" s="9">
        <v>46147.645810185182</v>
      </c>
    </row>
    <row r="150" spans="1:16" x14ac:dyDescent="0.25">
      <c r="A150" t="s">
        <v>7</v>
      </c>
      <c r="B150" s="4">
        <v>46147</v>
      </c>
      <c r="C150" t="s">
        <v>188</v>
      </c>
      <c r="D150">
        <v>23750</v>
      </c>
      <c r="E150" t="s">
        <v>42</v>
      </c>
      <c r="F150">
        <v>0.05</v>
      </c>
      <c r="G150">
        <v>446112355</v>
      </c>
      <c r="H150">
        <v>5439135</v>
      </c>
      <c r="I150">
        <v>14072240</v>
      </c>
      <c r="J150">
        <v>3533985</v>
      </c>
      <c r="K150">
        <v>4</v>
      </c>
      <c r="L150">
        <v>10.199999999999999</v>
      </c>
      <c r="M150">
        <v>0.05</v>
      </c>
      <c r="N150">
        <v>9.6999999999999993</v>
      </c>
      <c r="O150">
        <v>0</v>
      </c>
      <c r="P150" s="9">
        <v>46147.64576388889</v>
      </c>
    </row>
    <row r="151" spans="1:16" x14ac:dyDescent="0.25">
      <c r="A151" t="s">
        <v>7</v>
      </c>
      <c r="B151" s="4">
        <v>46147</v>
      </c>
      <c r="C151" t="s">
        <v>189</v>
      </c>
      <c r="D151">
        <v>23800</v>
      </c>
      <c r="E151" t="s">
        <v>40</v>
      </c>
      <c r="F151">
        <v>232.25</v>
      </c>
      <c r="G151">
        <v>102943555</v>
      </c>
      <c r="H151">
        <v>475475</v>
      </c>
      <c r="I151">
        <v>4895020</v>
      </c>
      <c r="J151">
        <v>475475</v>
      </c>
      <c r="K151">
        <v>263</v>
      </c>
      <c r="L151">
        <v>294.05</v>
      </c>
      <c r="M151">
        <v>93.45</v>
      </c>
      <c r="N151">
        <v>368.95</v>
      </c>
      <c r="O151">
        <v>232.25</v>
      </c>
      <c r="P151" s="9">
        <v>46147.645821759259</v>
      </c>
    </row>
    <row r="152" spans="1:16" x14ac:dyDescent="0.25">
      <c r="A152" t="s">
        <v>7</v>
      </c>
      <c r="B152" s="4">
        <v>46147</v>
      </c>
      <c r="C152" t="s">
        <v>190</v>
      </c>
      <c r="D152">
        <v>23800</v>
      </c>
      <c r="E152" t="s">
        <v>42</v>
      </c>
      <c r="F152">
        <v>0.05</v>
      </c>
      <c r="G152">
        <v>898372735</v>
      </c>
      <c r="H152">
        <v>9352070</v>
      </c>
      <c r="I152">
        <v>23960430</v>
      </c>
      <c r="J152">
        <v>5883215</v>
      </c>
      <c r="K152">
        <v>9.6</v>
      </c>
      <c r="L152">
        <v>18</v>
      </c>
      <c r="M152">
        <v>0.05</v>
      </c>
      <c r="N152">
        <v>13.55</v>
      </c>
      <c r="O152">
        <v>0</v>
      </c>
      <c r="P152" s="9">
        <v>46147.645682870374</v>
      </c>
    </row>
    <row r="153" spans="1:16" x14ac:dyDescent="0.25">
      <c r="A153" t="s">
        <v>7</v>
      </c>
      <c r="B153" s="4">
        <v>46147</v>
      </c>
      <c r="C153" t="s">
        <v>191</v>
      </c>
      <c r="D153">
        <v>23850</v>
      </c>
      <c r="E153" t="s">
        <v>40</v>
      </c>
      <c r="F153">
        <v>182.25</v>
      </c>
      <c r="G153">
        <v>136994000</v>
      </c>
      <c r="H153">
        <v>845780</v>
      </c>
      <c r="I153">
        <v>5557370</v>
      </c>
      <c r="J153">
        <v>353535</v>
      </c>
      <c r="K153">
        <v>223</v>
      </c>
      <c r="L153">
        <v>244.8</v>
      </c>
      <c r="M153">
        <v>59.15</v>
      </c>
      <c r="N153">
        <v>323.85000000000002</v>
      </c>
      <c r="O153">
        <v>182.25</v>
      </c>
      <c r="P153" s="9">
        <v>46147.645810185182</v>
      </c>
    </row>
    <row r="154" spans="1:16" x14ac:dyDescent="0.25">
      <c r="A154" t="s">
        <v>7</v>
      </c>
      <c r="B154" s="4">
        <v>46147</v>
      </c>
      <c r="C154" t="s">
        <v>192</v>
      </c>
      <c r="D154">
        <v>23850</v>
      </c>
      <c r="E154" t="s">
        <v>42</v>
      </c>
      <c r="F154">
        <v>0.05</v>
      </c>
      <c r="G154">
        <v>984315150</v>
      </c>
      <c r="H154">
        <v>5919485</v>
      </c>
      <c r="I154">
        <v>21383440</v>
      </c>
      <c r="J154">
        <v>2602795</v>
      </c>
      <c r="K154">
        <v>18.5</v>
      </c>
      <c r="L154">
        <v>33</v>
      </c>
      <c r="M154">
        <v>0.05</v>
      </c>
      <c r="N154">
        <v>18.7</v>
      </c>
      <c r="O154">
        <v>0</v>
      </c>
      <c r="P154" s="9">
        <v>46147.64576388889</v>
      </c>
    </row>
    <row r="155" spans="1:16" x14ac:dyDescent="0.25">
      <c r="A155" t="s">
        <v>7</v>
      </c>
      <c r="B155" s="4">
        <v>46147</v>
      </c>
      <c r="C155" t="s">
        <v>193</v>
      </c>
      <c r="D155">
        <v>23900</v>
      </c>
      <c r="E155" t="s">
        <v>40</v>
      </c>
      <c r="F155">
        <v>132.4</v>
      </c>
      <c r="G155">
        <v>578484595</v>
      </c>
      <c r="H155">
        <v>2762305</v>
      </c>
      <c r="I155">
        <v>21669375</v>
      </c>
      <c r="J155">
        <v>774540</v>
      </c>
      <c r="K155">
        <v>187.6</v>
      </c>
      <c r="L155">
        <v>199</v>
      </c>
      <c r="M155">
        <v>34.35</v>
      </c>
      <c r="N155">
        <v>282.8</v>
      </c>
      <c r="O155">
        <v>132.4</v>
      </c>
      <c r="P155" s="9">
        <v>46147.645821759259</v>
      </c>
    </row>
    <row r="156" spans="1:16" x14ac:dyDescent="0.25">
      <c r="A156" t="s">
        <v>7</v>
      </c>
      <c r="B156" s="4">
        <v>46147</v>
      </c>
      <c r="C156" t="s">
        <v>194</v>
      </c>
      <c r="D156">
        <v>23900</v>
      </c>
      <c r="E156" t="s">
        <v>42</v>
      </c>
      <c r="F156">
        <v>0.05</v>
      </c>
      <c r="G156">
        <v>1733379180</v>
      </c>
      <c r="H156">
        <v>11762855</v>
      </c>
      <c r="I156">
        <v>32688045</v>
      </c>
      <c r="J156">
        <v>5371730</v>
      </c>
      <c r="K156">
        <v>29.9</v>
      </c>
      <c r="L156">
        <v>58.8</v>
      </c>
      <c r="M156">
        <v>0.05</v>
      </c>
      <c r="N156">
        <v>25.55</v>
      </c>
      <c r="O156">
        <v>0</v>
      </c>
      <c r="P156" s="9">
        <v>46147.645810185182</v>
      </c>
    </row>
    <row r="157" spans="1:16" x14ac:dyDescent="0.25">
      <c r="A157" t="s">
        <v>7</v>
      </c>
      <c r="B157" s="4">
        <v>46147</v>
      </c>
      <c r="C157" t="s">
        <v>195</v>
      </c>
      <c r="D157">
        <v>23950</v>
      </c>
      <c r="E157" t="s">
        <v>40</v>
      </c>
      <c r="F157">
        <v>82.6</v>
      </c>
      <c r="G157">
        <v>956260760</v>
      </c>
      <c r="H157">
        <v>2166385</v>
      </c>
      <c r="I157">
        <v>28234440</v>
      </c>
      <c r="J157">
        <v>358020</v>
      </c>
      <c r="K157">
        <v>148</v>
      </c>
      <c r="L157">
        <v>153</v>
      </c>
      <c r="M157">
        <v>19.3</v>
      </c>
      <c r="N157">
        <v>243</v>
      </c>
      <c r="O157">
        <v>82.6</v>
      </c>
      <c r="P157" s="9">
        <v>46147.645821759259</v>
      </c>
    </row>
    <row r="158" spans="1:16" x14ac:dyDescent="0.25">
      <c r="A158" t="s">
        <v>7</v>
      </c>
      <c r="B158" s="4">
        <v>46147</v>
      </c>
      <c r="C158" t="s">
        <v>196</v>
      </c>
      <c r="D158">
        <v>23950</v>
      </c>
      <c r="E158" t="s">
        <v>42</v>
      </c>
      <c r="F158">
        <v>0.05</v>
      </c>
      <c r="G158">
        <v>2051234640</v>
      </c>
      <c r="H158">
        <v>15264405</v>
      </c>
      <c r="I158">
        <v>34311810</v>
      </c>
      <c r="J158">
        <v>2707900</v>
      </c>
      <c r="K158">
        <v>45</v>
      </c>
      <c r="L158">
        <v>93.9</v>
      </c>
      <c r="M158">
        <v>0.05</v>
      </c>
      <c r="N158">
        <v>35.549999999999997</v>
      </c>
      <c r="O158">
        <v>0</v>
      </c>
      <c r="P158" s="9">
        <v>46147.645810185182</v>
      </c>
    </row>
    <row r="159" spans="1:16" x14ac:dyDescent="0.25">
      <c r="A159" t="s">
        <v>7</v>
      </c>
      <c r="B159" s="4">
        <v>46147</v>
      </c>
      <c r="C159" t="s">
        <v>197</v>
      </c>
      <c r="D159">
        <v>24000</v>
      </c>
      <c r="E159" t="s">
        <v>40</v>
      </c>
      <c r="F159">
        <v>32.75</v>
      </c>
      <c r="G159">
        <v>2399157540</v>
      </c>
      <c r="H159">
        <v>9206340</v>
      </c>
      <c r="I159">
        <v>47048885</v>
      </c>
      <c r="J159">
        <v>3557190</v>
      </c>
      <c r="K159">
        <v>100</v>
      </c>
      <c r="L159">
        <v>125</v>
      </c>
      <c r="M159">
        <v>11.05</v>
      </c>
      <c r="N159">
        <v>204.6</v>
      </c>
      <c r="O159">
        <v>32.75</v>
      </c>
      <c r="P159" s="9">
        <v>46147.645821759259</v>
      </c>
    </row>
    <row r="160" spans="1:16" x14ac:dyDescent="0.25">
      <c r="A160" t="s">
        <v>7</v>
      </c>
      <c r="B160" s="4">
        <v>46147</v>
      </c>
      <c r="C160" t="s">
        <v>198</v>
      </c>
      <c r="D160">
        <v>24000</v>
      </c>
      <c r="E160" t="s">
        <v>42</v>
      </c>
      <c r="F160">
        <v>0.05</v>
      </c>
      <c r="G160">
        <v>3227436355</v>
      </c>
      <c r="H160">
        <v>38712635</v>
      </c>
      <c r="I160">
        <v>64111385</v>
      </c>
      <c r="J160">
        <v>8007285</v>
      </c>
      <c r="K160">
        <v>60.05</v>
      </c>
      <c r="L160">
        <v>159.94999999999999</v>
      </c>
      <c r="M160">
        <v>0.05</v>
      </c>
      <c r="N160">
        <v>48.15</v>
      </c>
      <c r="O160">
        <v>0</v>
      </c>
      <c r="P160" s="9">
        <v>46147.645821759259</v>
      </c>
    </row>
    <row r="161" spans="1:16" x14ac:dyDescent="0.25">
      <c r="A161" t="s">
        <v>7</v>
      </c>
      <c r="B161" s="4">
        <v>46147</v>
      </c>
      <c r="C161" t="s">
        <v>199</v>
      </c>
      <c r="D161">
        <v>24050</v>
      </c>
      <c r="E161" t="s">
        <v>40</v>
      </c>
      <c r="F161">
        <v>0.05</v>
      </c>
      <c r="G161">
        <v>2548726310</v>
      </c>
      <c r="H161">
        <v>22750650</v>
      </c>
      <c r="I161">
        <v>44072015</v>
      </c>
      <c r="J161">
        <v>1149070</v>
      </c>
      <c r="K161">
        <v>97.7</v>
      </c>
      <c r="L161">
        <v>97.7</v>
      </c>
      <c r="M161">
        <v>0.05</v>
      </c>
      <c r="N161">
        <v>170.4</v>
      </c>
      <c r="O161">
        <v>0</v>
      </c>
      <c r="P161" s="9">
        <v>46147.645821759259</v>
      </c>
    </row>
    <row r="162" spans="1:16" x14ac:dyDescent="0.25">
      <c r="A162" t="s">
        <v>7</v>
      </c>
      <c r="B162" s="4">
        <v>46147</v>
      </c>
      <c r="C162" t="s">
        <v>200</v>
      </c>
      <c r="D162">
        <v>24050</v>
      </c>
      <c r="E162" t="s">
        <v>42</v>
      </c>
      <c r="F162">
        <v>17.05</v>
      </c>
      <c r="G162">
        <v>1421922905</v>
      </c>
      <c r="H162">
        <v>8540155</v>
      </c>
      <c r="I162">
        <v>23368540</v>
      </c>
      <c r="J162">
        <v>2425215</v>
      </c>
      <c r="K162">
        <v>69.95</v>
      </c>
      <c r="L162">
        <v>180.45</v>
      </c>
      <c r="M162">
        <v>14.6</v>
      </c>
      <c r="N162">
        <v>65.55</v>
      </c>
      <c r="O162">
        <v>17.100000000000001</v>
      </c>
      <c r="P162" s="9">
        <v>46147.645821759259</v>
      </c>
    </row>
    <row r="163" spans="1:16" x14ac:dyDescent="0.25">
      <c r="A163" t="s">
        <v>7</v>
      </c>
      <c r="B163" s="4">
        <v>46147</v>
      </c>
      <c r="C163" t="s">
        <v>201</v>
      </c>
      <c r="D163">
        <v>24100</v>
      </c>
      <c r="E163" t="s">
        <v>40</v>
      </c>
      <c r="F163">
        <v>0.05</v>
      </c>
      <c r="G163">
        <v>2350103535</v>
      </c>
      <c r="H163">
        <v>14481025</v>
      </c>
      <c r="I163">
        <v>48277710</v>
      </c>
      <c r="J163">
        <v>5945615</v>
      </c>
      <c r="K163">
        <v>70</v>
      </c>
      <c r="L163">
        <v>77.7</v>
      </c>
      <c r="M163">
        <v>0.05</v>
      </c>
      <c r="N163">
        <v>140.19999999999999</v>
      </c>
      <c r="O163">
        <v>0</v>
      </c>
      <c r="P163" s="9">
        <v>46147.645821759259</v>
      </c>
    </row>
    <row r="164" spans="1:16" x14ac:dyDescent="0.25">
      <c r="A164" t="s">
        <v>7</v>
      </c>
      <c r="B164" s="4">
        <v>46147</v>
      </c>
      <c r="C164" t="s">
        <v>202</v>
      </c>
      <c r="D164">
        <v>24100</v>
      </c>
      <c r="E164" t="s">
        <v>42</v>
      </c>
      <c r="F164">
        <v>67.099999999999994</v>
      </c>
      <c r="G164">
        <v>654844060</v>
      </c>
      <c r="H164">
        <v>3798470</v>
      </c>
      <c r="I164">
        <v>11425635</v>
      </c>
      <c r="J164">
        <v>2855385</v>
      </c>
      <c r="K164">
        <v>101.1</v>
      </c>
      <c r="L164">
        <v>227.95</v>
      </c>
      <c r="M164">
        <v>42.6</v>
      </c>
      <c r="N164">
        <v>83.1</v>
      </c>
      <c r="O164">
        <v>67.099999999999994</v>
      </c>
      <c r="P164" s="9">
        <v>46147.645821759259</v>
      </c>
    </row>
    <row r="165" spans="1:16" x14ac:dyDescent="0.25">
      <c r="A165" t="s">
        <v>7</v>
      </c>
      <c r="B165" s="4">
        <v>46147</v>
      </c>
      <c r="C165" t="s">
        <v>203</v>
      </c>
      <c r="D165">
        <v>24150</v>
      </c>
      <c r="E165" t="s">
        <v>40</v>
      </c>
      <c r="F165">
        <v>0.05</v>
      </c>
      <c r="G165">
        <v>1255431255</v>
      </c>
      <c r="H165">
        <v>6859320</v>
      </c>
      <c r="I165">
        <v>22639045</v>
      </c>
      <c r="J165">
        <v>3569800</v>
      </c>
      <c r="K165">
        <v>47.7</v>
      </c>
      <c r="L165">
        <v>47.7</v>
      </c>
      <c r="M165">
        <v>0.05</v>
      </c>
      <c r="N165">
        <v>115</v>
      </c>
      <c r="O165">
        <v>0</v>
      </c>
      <c r="P165" s="9">
        <v>46147.645810185182</v>
      </c>
    </row>
    <row r="166" spans="1:16" x14ac:dyDescent="0.25">
      <c r="A166" t="s">
        <v>7</v>
      </c>
      <c r="B166" s="4">
        <v>46147</v>
      </c>
      <c r="C166" t="s">
        <v>204</v>
      </c>
      <c r="D166">
        <v>24150</v>
      </c>
      <c r="E166" t="s">
        <v>42</v>
      </c>
      <c r="F166">
        <v>116.8</v>
      </c>
      <c r="G166">
        <v>152896640</v>
      </c>
      <c r="H166">
        <v>1078610</v>
      </c>
      <c r="I166">
        <v>2706210</v>
      </c>
      <c r="J166">
        <v>810485</v>
      </c>
      <c r="K166">
        <v>147.35</v>
      </c>
      <c r="L166">
        <v>276.39999999999998</v>
      </c>
      <c r="M166">
        <v>75.400000000000006</v>
      </c>
      <c r="N166">
        <v>105.05</v>
      </c>
      <c r="O166">
        <v>116.8</v>
      </c>
      <c r="P166" s="9">
        <v>46147.645821759259</v>
      </c>
    </row>
    <row r="167" spans="1:16" x14ac:dyDescent="0.25">
      <c r="A167" t="s">
        <v>7</v>
      </c>
      <c r="B167" s="4">
        <v>46147</v>
      </c>
      <c r="C167" t="s">
        <v>205</v>
      </c>
      <c r="D167">
        <v>24200</v>
      </c>
      <c r="E167" t="s">
        <v>40</v>
      </c>
      <c r="F167">
        <v>0.05</v>
      </c>
      <c r="G167">
        <v>1104779520</v>
      </c>
      <c r="H167">
        <v>9726470</v>
      </c>
      <c r="I167">
        <v>29928145</v>
      </c>
      <c r="J167">
        <v>9726470</v>
      </c>
      <c r="K167">
        <v>37.700000000000003</v>
      </c>
      <c r="L167">
        <v>37.700000000000003</v>
      </c>
      <c r="M167">
        <v>0.05</v>
      </c>
      <c r="N167">
        <v>91.85</v>
      </c>
      <c r="O167">
        <v>0</v>
      </c>
      <c r="P167" s="9">
        <v>46147.645821759259</v>
      </c>
    </row>
    <row r="168" spans="1:16" x14ac:dyDescent="0.25">
      <c r="A168" t="s">
        <v>7</v>
      </c>
      <c r="B168" s="4">
        <v>46147</v>
      </c>
      <c r="C168" t="s">
        <v>206</v>
      </c>
      <c r="D168">
        <v>24200</v>
      </c>
      <c r="E168" t="s">
        <v>42</v>
      </c>
      <c r="F168">
        <v>166.75</v>
      </c>
      <c r="G168">
        <v>129214865</v>
      </c>
      <c r="H168">
        <v>1325935</v>
      </c>
      <c r="I168">
        <v>4880720</v>
      </c>
      <c r="J168">
        <v>1325935</v>
      </c>
      <c r="K168">
        <v>150</v>
      </c>
      <c r="L168">
        <v>425.15</v>
      </c>
      <c r="M168">
        <v>116</v>
      </c>
      <c r="N168">
        <v>132</v>
      </c>
      <c r="O168">
        <v>166.65</v>
      </c>
      <c r="P168" s="9">
        <v>46147.645821759259</v>
      </c>
    </row>
    <row r="169" spans="1:16" x14ac:dyDescent="0.25">
      <c r="A169" t="s">
        <v>7</v>
      </c>
      <c r="B169" s="4">
        <v>46147</v>
      </c>
      <c r="C169" t="s">
        <v>207</v>
      </c>
      <c r="D169">
        <v>24250</v>
      </c>
      <c r="E169" t="s">
        <v>40</v>
      </c>
      <c r="F169">
        <v>0.05</v>
      </c>
      <c r="G169">
        <v>656259175</v>
      </c>
      <c r="H169">
        <v>7121205</v>
      </c>
      <c r="I169">
        <v>15321410</v>
      </c>
      <c r="J169">
        <v>5794620</v>
      </c>
      <c r="K169">
        <v>28</v>
      </c>
      <c r="L169">
        <v>28</v>
      </c>
      <c r="M169">
        <v>0.05</v>
      </c>
      <c r="N169">
        <v>73.099999999999994</v>
      </c>
      <c r="O169">
        <v>0</v>
      </c>
      <c r="P169" s="9">
        <v>46147.64576388889</v>
      </c>
    </row>
    <row r="170" spans="1:16" x14ac:dyDescent="0.25">
      <c r="A170" t="s">
        <v>7</v>
      </c>
      <c r="B170" s="4">
        <v>46147</v>
      </c>
      <c r="C170" t="s">
        <v>208</v>
      </c>
      <c r="D170">
        <v>24250</v>
      </c>
      <c r="E170" t="s">
        <v>42</v>
      </c>
      <c r="F170">
        <v>216.8</v>
      </c>
      <c r="G170">
        <v>20209865</v>
      </c>
      <c r="H170">
        <v>309725</v>
      </c>
      <c r="I170">
        <v>966290</v>
      </c>
      <c r="J170">
        <v>309725</v>
      </c>
      <c r="K170">
        <v>216.55</v>
      </c>
      <c r="L170">
        <v>376.1</v>
      </c>
      <c r="M170">
        <v>161.1</v>
      </c>
      <c r="N170">
        <v>164.85</v>
      </c>
      <c r="O170">
        <v>216.8</v>
      </c>
      <c r="P170" s="9">
        <v>46147.645798611113</v>
      </c>
    </row>
    <row r="171" spans="1:16" x14ac:dyDescent="0.25">
      <c r="A171" t="s">
        <v>7</v>
      </c>
      <c r="B171" s="4">
        <v>46147</v>
      </c>
      <c r="C171" t="s">
        <v>209</v>
      </c>
      <c r="D171">
        <v>24300</v>
      </c>
      <c r="E171" t="s">
        <v>40</v>
      </c>
      <c r="F171">
        <v>0.05</v>
      </c>
      <c r="G171">
        <v>614102320</v>
      </c>
      <c r="H171">
        <v>10627760</v>
      </c>
      <c r="I171">
        <v>23968230</v>
      </c>
      <c r="J171">
        <v>10627760</v>
      </c>
      <c r="K171">
        <v>13.05</v>
      </c>
      <c r="L171">
        <v>14.7</v>
      </c>
      <c r="M171">
        <v>0.05</v>
      </c>
      <c r="N171">
        <v>57.1</v>
      </c>
      <c r="O171">
        <v>0</v>
      </c>
      <c r="P171" s="9">
        <v>46147.645636574074</v>
      </c>
    </row>
    <row r="172" spans="1:16" x14ac:dyDescent="0.25">
      <c r="A172" t="s">
        <v>7</v>
      </c>
      <c r="B172" s="4">
        <v>46147</v>
      </c>
      <c r="C172" t="s">
        <v>210</v>
      </c>
      <c r="D172">
        <v>24300</v>
      </c>
      <c r="E172" t="s">
        <v>42</v>
      </c>
      <c r="F172">
        <v>266.5</v>
      </c>
      <c r="G172">
        <v>22903790</v>
      </c>
      <c r="H172">
        <v>949910</v>
      </c>
      <c r="I172">
        <v>2187055</v>
      </c>
      <c r="J172">
        <v>949910</v>
      </c>
      <c r="K172">
        <v>276</v>
      </c>
      <c r="L172">
        <v>424</v>
      </c>
      <c r="M172">
        <v>209.3</v>
      </c>
      <c r="N172">
        <v>197.3</v>
      </c>
      <c r="O172">
        <v>266.35000000000002</v>
      </c>
      <c r="P172" s="9">
        <v>46147.645810185182</v>
      </c>
    </row>
    <row r="173" spans="1:16" x14ac:dyDescent="0.25">
      <c r="A173" t="s">
        <v>7</v>
      </c>
      <c r="B173" s="4">
        <v>46147</v>
      </c>
      <c r="C173" t="s">
        <v>211</v>
      </c>
      <c r="D173">
        <v>24350</v>
      </c>
      <c r="E173" t="s">
        <v>40</v>
      </c>
      <c r="F173">
        <v>0.05</v>
      </c>
      <c r="G173">
        <v>260961285</v>
      </c>
      <c r="H173">
        <v>4978610</v>
      </c>
      <c r="I173">
        <v>10484110</v>
      </c>
      <c r="J173">
        <v>4978610</v>
      </c>
      <c r="K173">
        <v>9.1</v>
      </c>
      <c r="L173">
        <v>9.6999999999999993</v>
      </c>
      <c r="M173">
        <v>0.05</v>
      </c>
      <c r="N173">
        <v>44.3</v>
      </c>
      <c r="O173">
        <v>0</v>
      </c>
      <c r="P173" s="9">
        <v>46147.645821759259</v>
      </c>
    </row>
    <row r="174" spans="1:16" x14ac:dyDescent="0.25">
      <c r="A174" t="s">
        <v>7</v>
      </c>
      <c r="B174" s="4">
        <v>46147</v>
      </c>
      <c r="C174" t="s">
        <v>212</v>
      </c>
      <c r="D174">
        <v>24350</v>
      </c>
      <c r="E174" t="s">
        <v>42</v>
      </c>
      <c r="F174">
        <v>316.45</v>
      </c>
      <c r="G174">
        <v>3325205</v>
      </c>
      <c r="H174">
        <v>168935</v>
      </c>
      <c r="I174">
        <v>404300</v>
      </c>
      <c r="J174">
        <v>168935</v>
      </c>
      <c r="K174">
        <v>342.4</v>
      </c>
      <c r="L174">
        <v>471.4</v>
      </c>
      <c r="M174">
        <v>258.3</v>
      </c>
      <c r="N174">
        <v>234.7</v>
      </c>
      <c r="O174">
        <v>316.39999999999998</v>
      </c>
      <c r="P174" s="9">
        <v>46147.645787037036</v>
      </c>
    </row>
    <row r="175" spans="1:16" x14ac:dyDescent="0.25">
      <c r="A175" t="s">
        <v>7</v>
      </c>
      <c r="B175" s="4">
        <v>46147</v>
      </c>
      <c r="C175" t="s">
        <v>213</v>
      </c>
      <c r="D175">
        <v>24400</v>
      </c>
      <c r="E175" t="s">
        <v>40</v>
      </c>
      <c r="F175">
        <v>0.05</v>
      </c>
      <c r="G175">
        <v>282659455</v>
      </c>
      <c r="H175">
        <v>7485140</v>
      </c>
      <c r="I175">
        <v>15802345</v>
      </c>
      <c r="J175">
        <v>7353905</v>
      </c>
      <c r="K175">
        <v>8.4</v>
      </c>
      <c r="L175">
        <v>8.4</v>
      </c>
      <c r="M175">
        <v>0.05</v>
      </c>
      <c r="N175">
        <v>33.65</v>
      </c>
      <c r="O175">
        <v>0</v>
      </c>
      <c r="P175" s="9">
        <v>46147.645729166667</v>
      </c>
    </row>
    <row r="176" spans="1:16" x14ac:dyDescent="0.25">
      <c r="A176" t="s">
        <v>7</v>
      </c>
      <c r="B176" s="4">
        <v>46147</v>
      </c>
      <c r="C176" t="s">
        <v>214</v>
      </c>
      <c r="D176">
        <v>24400</v>
      </c>
      <c r="E176" t="s">
        <v>42</v>
      </c>
      <c r="F176">
        <v>367.45</v>
      </c>
      <c r="G176">
        <v>4700020</v>
      </c>
      <c r="H176">
        <v>303355</v>
      </c>
      <c r="I176">
        <v>677885</v>
      </c>
      <c r="J176">
        <v>303355</v>
      </c>
      <c r="K176">
        <v>335</v>
      </c>
      <c r="L176">
        <v>523.35</v>
      </c>
      <c r="M176">
        <v>307</v>
      </c>
      <c r="N176">
        <v>275.64999999999998</v>
      </c>
      <c r="O176">
        <v>366.2</v>
      </c>
      <c r="P176" s="9">
        <v>46147.645810185182</v>
      </c>
    </row>
    <row r="177" spans="1:16" x14ac:dyDescent="0.25">
      <c r="A177" t="s">
        <v>7</v>
      </c>
      <c r="B177" s="4">
        <v>46147</v>
      </c>
      <c r="C177" t="s">
        <v>215</v>
      </c>
      <c r="D177">
        <v>24450</v>
      </c>
      <c r="E177" t="s">
        <v>40</v>
      </c>
      <c r="F177">
        <v>0.05</v>
      </c>
      <c r="G177">
        <v>188230380</v>
      </c>
      <c r="H177">
        <v>3791775</v>
      </c>
      <c r="I177">
        <v>10310430</v>
      </c>
      <c r="J177">
        <v>3717415</v>
      </c>
      <c r="K177">
        <v>4.8</v>
      </c>
      <c r="L177">
        <v>4.8</v>
      </c>
      <c r="M177">
        <v>0.05</v>
      </c>
      <c r="N177">
        <v>25.35</v>
      </c>
      <c r="O177">
        <v>0</v>
      </c>
      <c r="P177" s="9">
        <v>46147.645682870374</v>
      </c>
    </row>
    <row r="178" spans="1:16" x14ac:dyDescent="0.25">
      <c r="A178" t="s">
        <v>7</v>
      </c>
      <c r="B178" s="4">
        <v>46147</v>
      </c>
      <c r="C178" t="s">
        <v>216</v>
      </c>
      <c r="D178">
        <v>24450</v>
      </c>
      <c r="E178" t="s">
        <v>42</v>
      </c>
      <c r="F178">
        <v>417.8</v>
      </c>
      <c r="G178">
        <v>652665</v>
      </c>
      <c r="H178">
        <v>158210</v>
      </c>
      <c r="I178">
        <v>211575</v>
      </c>
      <c r="J178">
        <v>157950</v>
      </c>
      <c r="K178">
        <v>470.85</v>
      </c>
      <c r="L178">
        <v>572</v>
      </c>
      <c r="M178">
        <v>360</v>
      </c>
      <c r="N178">
        <v>313.5</v>
      </c>
      <c r="O178">
        <v>416.45</v>
      </c>
      <c r="P178" s="9">
        <v>46147.645752314813</v>
      </c>
    </row>
    <row r="179" spans="1:16" x14ac:dyDescent="0.25">
      <c r="A179" t="s">
        <v>7</v>
      </c>
      <c r="B179" s="4">
        <v>46147</v>
      </c>
      <c r="C179" t="s">
        <v>217</v>
      </c>
      <c r="D179">
        <v>24500</v>
      </c>
      <c r="E179" t="s">
        <v>40</v>
      </c>
      <c r="F179">
        <v>0.05</v>
      </c>
      <c r="G179">
        <v>290621500</v>
      </c>
      <c r="H179">
        <v>11818560</v>
      </c>
      <c r="I179">
        <v>21556730</v>
      </c>
      <c r="J179">
        <v>11818560</v>
      </c>
      <c r="K179">
        <v>2.7</v>
      </c>
      <c r="L179">
        <v>4.4000000000000004</v>
      </c>
      <c r="M179">
        <v>0.05</v>
      </c>
      <c r="N179">
        <v>18.899999999999999</v>
      </c>
      <c r="O179">
        <v>0</v>
      </c>
      <c r="P179" s="9">
        <v>46147.645821759259</v>
      </c>
    </row>
    <row r="180" spans="1:16" x14ac:dyDescent="0.25">
      <c r="A180" t="s">
        <v>7</v>
      </c>
      <c r="B180" s="4">
        <v>46147</v>
      </c>
      <c r="C180" t="s">
        <v>218</v>
      </c>
      <c r="D180">
        <v>24500</v>
      </c>
      <c r="E180" t="s">
        <v>42</v>
      </c>
      <c r="F180">
        <v>468.3</v>
      </c>
      <c r="G180">
        <v>3400670</v>
      </c>
      <c r="H180">
        <v>250900</v>
      </c>
      <c r="I180">
        <v>662415</v>
      </c>
      <c r="J180">
        <v>250900</v>
      </c>
      <c r="K180">
        <v>420</v>
      </c>
      <c r="L180">
        <v>624.15</v>
      </c>
      <c r="M180">
        <v>406</v>
      </c>
      <c r="N180">
        <v>359.4</v>
      </c>
      <c r="O180">
        <v>467</v>
      </c>
      <c r="P180" s="9">
        <v>46147.645810185182</v>
      </c>
    </row>
    <row r="181" spans="1:16" x14ac:dyDescent="0.25">
      <c r="A181" t="s">
        <v>7</v>
      </c>
      <c r="B181" s="4">
        <v>46147</v>
      </c>
      <c r="C181" t="s">
        <v>219</v>
      </c>
      <c r="D181">
        <v>24550</v>
      </c>
      <c r="E181" t="s">
        <v>40</v>
      </c>
      <c r="F181">
        <v>0.05</v>
      </c>
      <c r="G181">
        <v>131306110</v>
      </c>
      <c r="H181">
        <v>5083000</v>
      </c>
      <c r="I181">
        <v>9153625</v>
      </c>
      <c r="J181">
        <v>4005235</v>
      </c>
      <c r="K181">
        <v>3.4</v>
      </c>
      <c r="L181">
        <v>3.4</v>
      </c>
      <c r="M181">
        <v>0.05</v>
      </c>
      <c r="N181">
        <v>13.85</v>
      </c>
      <c r="O181">
        <v>0</v>
      </c>
      <c r="P181" s="9">
        <v>46147.645821759259</v>
      </c>
    </row>
    <row r="182" spans="1:16" x14ac:dyDescent="0.25">
      <c r="A182" t="s">
        <v>7</v>
      </c>
      <c r="B182" s="4">
        <v>46147</v>
      </c>
      <c r="C182" t="s">
        <v>220</v>
      </c>
      <c r="D182">
        <v>24550</v>
      </c>
      <c r="E182" t="s">
        <v>42</v>
      </c>
      <c r="F182">
        <v>518.9</v>
      </c>
      <c r="G182">
        <v>247845</v>
      </c>
      <c r="H182">
        <v>62400</v>
      </c>
      <c r="I182">
        <v>88660</v>
      </c>
      <c r="J182">
        <v>62400</v>
      </c>
      <c r="K182">
        <v>559.95000000000005</v>
      </c>
      <c r="L182">
        <v>678.3</v>
      </c>
      <c r="M182">
        <v>460.15</v>
      </c>
      <c r="N182">
        <v>404.65</v>
      </c>
      <c r="O182">
        <v>515.6</v>
      </c>
      <c r="P182" s="9">
        <v>46147.645277777781</v>
      </c>
    </row>
    <row r="183" spans="1:16" x14ac:dyDescent="0.25">
      <c r="A183" t="s">
        <v>7</v>
      </c>
      <c r="B183" s="4">
        <v>46147</v>
      </c>
      <c r="C183" t="s">
        <v>221</v>
      </c>
      <c r="D183">
        <v>24600</v>
      </c>
      <c r="E183" t="s">
        <v>40</v>
      </c>
      <c r="F183">
        <v>0.05</v>
      </c>
      <c r="G183">
        <v>171375165</v>
      </c>
      <c r="H183">
        <v>8797815</v>
      </c>
      <c r="I183">
        <v>17352985</v>
      </c>
      <c r="J183">
        <v>8093345</v>
      </c>
      <c r="K183">
        <v>0.65</v>
      </c>
      <c r="L183">
        <v>1.9</v>
      </c>
      <c r="M183">
        <v>0.05</v>
      </c>
      <c r="N183">
        <v>10.199999999999999</v>
      </c>
      <c r="O183">
        <v>0</v>
      </c>
      <c r="P183" s="9">
        <v>46147.645798611113</v>
      </c>
    </row>
    <row r="184" spans="1:16" x14ac:dyDescent="0.25">
      <c r="A184" t="s">
        <v>7</v>
      </c>
      <c r="B184" s="4">
        <v>46147</v>
      </c>
      <c r="C184" t="s">
        <v>222</v>
      </c>
      <c r="D184">
        <v>24600</v>
      </c>
      <c r="E184" t="s">
        <v>42</v>
      </c>
      <c r="F184">
        <v>566.70000000000005</v>
      </c>
      <c r="G184">
        <v>414765</v>
      </c>
      <c r="H184">
        <v>90350</v>
      </c>
      <c r="I184">
        <v>144495</v>
      </c>
      <c r="J184">
        <v>90350</v>
      </c>
      <c r="K184">
        <v>520</v>
      </c>
      <c r="L184">
        <v>725.4</v>
      </c>
      <c r="M184">
        <v>512.20000000000005</v>
      </c>
      <c r="N184">
        <v>447.25</v>
      </c>
      <c r="O184">
        <v>566.70000000000005</v>
      </c>
      <c r="P184" s="9">
        <v>46147.645601851851</v>
      </c>
    </row>
    <row r="185" spans="1:16" x14ac:dyDescent="0.25">
      <c r="A185" t="s">
        <v>7</v>
      </c>
      <c r="B185" s="4">
        <v>46147</v>
      </c>
      <c r="C185" t="s">
        <v>223</v>
      </c>
      <c r="D185">
        <v>24650</v>
      </c>
      <c r="E185" t="s">
        <v>40</v>
      </c>
      <c r="F185">
        <v>0.05</v>
      </c>
      <c r="G185">
        <v>89233105</v>
      </c>
      <c r="H185">
        <v>3239730</v>
      </c>
      <c r="I185">
        <v>7883720</v>
      </c>
      <c r="J185">
        <v>3239730</v>
      </c>
      <c r="K185">
        <v>1.8</v>
      </c>
      <c r="L185">
        <v>1.8</v>
      </c>
      <c r="M185">
        <v>0.05</v>
      </c>
      <c r="N185">
        <v>7.75</v>
      </c>
      <c r="O185">
        <v>0</v>
      </c>
      <c r="P185" s="9">
        <v>46147.645775462966</v>
      </c>
    </row>
    <row r="186" spans="1:16" x14ac:dyDescent="0.25">
      <c r="A186" t="s">
        <v>7</v>
      </c>
      <c r="B186" s="4">
        <v>46147</v>
      </c>
      <c r="C186" t="s">
        <v>224</v>
      </c>
      <c r="D186">
        <v>24650</v>
      </c>
      <c r="E186" t="s">
        <v>42</v>
      </c>
      <c r="F186">
        <v>620.75</v>
      </c>
      <c r="G186">
        <v>103090</v>
      </c>
      <c r="H186">
        <v>57265</v>
      </c>
      <c r="I186">
        <v>68965</v>
      </c>
      <c r="J186">
        <v>57265</v>
      </c>
      <c r="K186">
        <v>670.35</v>
      </c>
      <c r="L186">
        <v>766</v>
      </c>
      <c r="M186">
        <v>565</v>
      </c>
      <c r="N186">
        <v>501</v>
      </c>
      <c r="O186">
        <v>616.5</v>
      </c>
      <c r="P186" s="9">
        <v>46147.645428240743</v>
      </c>
    </row>
    <row r="187" spans="1:16" x14ac:dyDescent="0.25">
      <c r="A187" t="s">
        <v>7</v>
      </c>
      <c r="B187" s="4">
        <v>46147</v>
      </c>
      <c r="C187" t="s">
        <v>225</v>
      </c>
      <c r="D187">
        <v>24700</v>
      </c>
      <c r="E187" t="s">
        <v>40</v>
      </c>
      <c r="F187">
        <v>0.05</v>
      </c>
      <c r="G187">
        <v>106694640</v>
      </c>
      <c r="H187">
        <v>8277230</v>
      </c>
      <c r="I187">
        <v>11928800</v>
      </c>
      <c r="J187">
        <v>7325760</v>
      </c>
      <c r="K187">
        <v>1.5</v>
      </c>
      <c r="L187">
        <v>1.5</v>
      </c>
      <c r="M187">
        <v>0.05</v>
      </c>
      <c r="N187">
        <v>6.15</v>
      </c>
      <c r="O187">
        <v>0</v>
      </c>
      <c r="P187" s="9">
        <v>46147.645694444444</v>
      </c>
    </row>
    <row r="188" spans="1:16" x14ac:dyDescent="0.25">
      <c r="A188" t="s">
        <v>7</v>
      </c>
      <c r="B188" s="4">
        <v>46147</v>
      </c>
      <c r="C188" t="s">
        <v>226</v>
      </c>
      <c r="D188">
        <v>24700</v>
      </c>
      <c r="E188" t="s">
        <v>42</v>
      </c>
      <c r="F188">
        <v>668.7</v>
      </c>
      <c r="G188">
        <v>311675</v>
      </c>
      <c r="H188">
        <v>61880</v>
      </c>
      <c r="I188">
        <v>105300</v>
      </c>
      <c r="J188">
        <v>61880</v>
      </c>
      <c r="K188">
        <v>748.3</v>
      </c>
      <c r="L188">
        <v>820</v>
      </c>
      <c r="M188">
        <v>610</v>
      </c>
      <c r="N188">
        <v>546.25</v>
      </c>
      <c r="O188">
        <v>666</v>
      </c>
      <c r="P188" s="9">
        <v>46147.645821759259</v>
      </c>
    </row>
    <row r="189" spans="1:16" x14ac:dyDescent="0.25">
      <c r="A189" t="s">
        <v>7</v>
      </c>
      <c r="B189" s="4">
        <v>46147</v>
      </c>
      <c r="C189" t="s">
        <v>227</v>
      </c>
      <c r="D189">
        <v>24750</v>
      </c>
      <c r="E189" t="s">
        <v>40</v>
      </c>
      <c r="F189">
        <v>0.05</v>
      </c>
      <c r="G189">
        <v>54255630</v>
      </c>
      <c r="H189">
        <v>2937090</v>
      </c>
      <c r="I189">
        <v>4546360</v>
      </c>
      <c r="J189">
        <v>2937090</v>
      </c>
      <c r="K189">
        <v>1.25</v>
      </c>
      <c r="L189">
        <v>1.7</v>
      </c>
      <c r="M189">
        <v>0.05</v>
      </c>
      <c r="N189">
        <v>4.95</v>
      </c>
      <c r="O189">
        <v>0</v>
      </c>
      <c r="P189" s="9">
        <v>46147.645486111112</v>
      </c>
    </row>
    <row r="190" spans="1:16" x14ac:dyDescent="0.25">
      <c r="A190" t="s">
        <v>7</v>
      </c>
      <c r="B190" s="4">
        <v>46147</v>
      </c>
      <c r="C190" t="s">
        <v>228</v>
      </c>
      <c r="D190">
        <v>24750</v>
      </c>
      <c r="E190" t="s">
        <v>42</v>
      </c>
      <c r="F190">
        <v>719.2</v>
      </c>
      <c r="G190">
        <v>82940</v>
      </c>
      <c r="H190">
        <v>26780</v>
      </c>
      <c r="I190">
        <v>34320</v>
      </c>
      <c r="J190">
        <v>26000</v>
      </c>
      <c r="K190">
        <v>798.3</v>
      </c>
      <c r="L190">
        <v>860.8</v>
      </c>
      <c r="M190">
        <v>666.9</v>
      </c>
      <c r="N190">
        <v>598.54999999999995</v>
      </c>
      <c r="O190">
        <v>715.25</v>
      </c>
      <c r="P190" s="9">
        <v>46147.645486111112</v>
      </c>
    </row>
    <row r="191" spans="1:16" x14ac:dyDescent="0.25">
      <c r="A191" t="s">
        <v>7</v>
      </c>
      <c r="B191" s="4">
        <v>46147</v>
      </c>
      <c r="C191" t="s">
        <v>229</v>
      </c>
      <c r="D191">
        <v>24800</v>
      </c>
      <c r="E191" t="s">
        <v>40</v>
      </c>
      <c r="F191">
        <v>0.05</v>
      </c>
      <c r="G191">
        <v>76892920</v>
      </c>
      <c r="H191">
        <v>5491265</v>
      </c>
      <c r="I191">
        <v>8693295</v>
      </c>
      <c r="J191">
        <v>5491265</v>
      </c>
      <c r="K191">
        <v>1.2</v>
      </c>
      <c r="L191">
        <v>1.2</v>
      </c>
      <c r="M191">
        <v>0.05</v>
      </c>
      <c r="N191">
        <v>4.2</v>
      </c>
      <c r="O191">
        <v>0</v>
      </c>
      <c r="P191" s="9">
        <v>46147.645648148151</v>
      </c>
    </row>
    <row r="192" spans="1:16" x14ac:dyDescent="0.25">
      <c r="A192" t="s">
        <v>7</v>
      </c>
      <c r="B192" s="4">
        <v>46147</v>
      </c>
      <c r="C192" t="s">
        <v>230</v>
      </c>
      <c r="D192">
        <v>24800</v>
      </c>
      <c r="E192" t="s">
        <v>42</v>
      </c>
      <c r="F192">
        <v>769</v>
      </c>
      <c r="G192">
        <v>161980</v>
      </c>
      <c r="H192">
        <v>51155</v>
      </c>
      <c r="I192">
        <v>86515</v>
      </c>
      <c r="J192">
        <v>50895</v>
      </c>
      <c r="K192">
        <v>817.8</v>
      </c>
      <c r="L192">
        <v>921.45</v>
      </c>
      <c r="M192">
        <v>713.2</v>
      </c>
      <c r="N192">
        <v>643.45000000000005</v>
      </c>
      <c r="O192">
        <v>766.35</v>
      </c>
      <c r="P192" s="9">
        <v>46147.645648148151</v>
      </c>
    </row>
    <row r="193" spans="1:16" x14ac:dyDescent="0.25">
      <c r="A193" t="s">
        <v>7</v>
      </c>
      <c r="B193" s="4">
        <v>46147</v>
      </c>
      <c r="C193" t="s">
        <v>231</v>
      </c>
      <c r="D193">
        <v>24850</v>
      </c>
      <c r="E193" t="s">
        <v>40</v>
      </c>
      <c r="F193">
        <v>0.05</v>
      </c>
      <c r="G193">
        <v>28300415</v>
      </c>
      <c r="H193">
        <v>1622140</v>
      </c>
      <c r="I193">
        <v>3311685</v>
      </c>
      <c r="J193">
        <v>1622140</v>
      </c>
      <c r="K193">
        <v>1.2</v>
      </c>
      <c r="L193">
        <v>1.2</v>
      </c>
      <c r="M193">
        <v>0.05</v>
      </c>
      <c r="N193">
        <v>3.55</v>
      </c>
      <c r="O193">
        <v>0</v>
      </c>
      <c r="P193" s="9">
        <v>46147.645798611113</v>
      </c>
    </row>
    <row r="194" spans="1:16" x14ac:dyDescent="0.25">
      <c r="A194" t="s">
        <v>7</v>
      </c>
      <c r="B194" s="4">
        <v>46147</v>
      </c>
      <c r="C194" t="s">
        <v>232</v>
      </c>
      <c r="D194">
        <v>24850</v>
      </c>
      <c r="E194" t="s">
        <v>42</v>
      </c>
      <c r="F194">
        <v>818.4</v>
      </c>
      <c r="G194">
        <v>41665</v>
      </c>
      <c r="H194">
        <v>27365</v>
      </c>
      <c r="I194">
        <v>28535</v>
      </c>
      <c r="J194">
        <v>26910</v>
      </c>
      <c r="K194">
        <v>898.4</v>
      </c>
      <c r="L194">
        <v>950.45</v>
      </c>
      <c r="M194">
        <v>778.8</v>
      </c>
      <c r="N194">
        <v>691.45</v>
      </c>
      <c r="O194">
        <v>816.25</v>
      </c>
      <c r="P194" s="9">
        <v>46147.645752314813</v>
      </c>
    </row>
    <row r="195" spans="1:16" x14ac:dyDescent="0.25">
      <c r="A195" t="s">
        <v>7</v>
      </c>
      <c r="B195" s="4">
        <v>46147</v>
      </c>
      <c r="C195" t="s">
        <v>233</v>
      </c>
      <c r="D195">
        <v>24900</v>
      </c>
      <c r="E195" t="s">
        <v>40</v>
      </c>
      <c r="F195">
        <v>0.05</v>
      </c>
      <c r="G195">
        <v>53058395</v>
      </c>
      <c r="H195">
        <v>5023590</v>
      </c>
      <c r="I195">
        <v>7068490</v>
      </c>
      <c r="J195">
        <v>4638010</v>
      </c>
      <c r="K195">
        <v>0.95</v>
      </c>
      <c r="L195">
        <v>1</v>
      </c>
      <c r="M195">
        <v>0.05</v>
      </c>
      <c r="N195">
        <v>2.9</v>
      </c>
      <c r="O195">
        <v>0</v>
      </c>
      <c r="P195" s="9">
        <v>46147.64503472222</v>
      </c>
    </row>
    <row r="196" spans="1:16" x14ac:dyDescent="0.25">
      <c r="A196" t="s">
        <v>7</v>
      </c>
      <c r="B196" s="4">
        <v>46147</v>
      </c>
      <c r="C196" t="s">
        <v>234</v>
      </c>
      <c r="D196">
        <v>24900</v>
      </c>
      <c r="E196" t="s">
        <v>42</v>
      </c>
      <c r="F196">
        <v>866.6</v>
      </c>
      <c r="G196">
        <v>215410</v>
      </c>
      <c r="H196">
        <v>63310</v>
      </c>
      <c r="I196">
        <v>143130</v>
      </c>
      <c r="J196">
        <v>63115</v>
      </c>
      <c r="K196">
        <v>918.3</v>
      </c>
      <c r="L196">
        <v>1031.6500000000001</v>
      </c>
      <c r="M196">
        <v>818</v>
      </c>
      <c r="N196">
        <v>745.05</v>
      </c>
      <c r="O196">
        <v>866.45</v>
      </c>
      <c r="P196" s="9">
        <v>46147.645486111112</v>
      </c>
    </row>
    <row r="197" spans="1:16" x14ac:dyDescent="0.25">
      <c r="A197" t="s">
        <v>7</v>
      </c>
      <c r="B197" s="4">
        <v>46147</v>
      </c>
      <c r="C197" t="s">
        <v>235</v>
      </c>
      <c r="D197">
        <v>24950</v>
      </c>
      <c r="E197" t="s">
        <v>40</v>
      </c>
      <c r="F197">
        <v>0.05</v>
      </c>
      <c r="G197">
        <v>23238605</v>
      </c>
      <c r="H197">
        <v>2063035</v>
      </c>
      <c r="I197">
        <v>3328455</v>
      </c>
      <c r="J197">
        <v>1682915</v>
      </c>
      <c r="K197">
        <v>0.85</v>
      </c>
      <c r="L197">
        <v>0.9</v>
      </c>
      <c r="M197">
        <v>0.05</v>
      </c>
      <c r="N197">
        <v>2.65</v>
      </c>
      <c r="O197">
        <v>0</v>
      </c>
      <c r="P197" s="9">
        <v>46147.645150462966</v>
      </c>
    </row>
    <row r="198" spans="1:16" x14ac:dyDescent="0.25">
      <c r="A198" t="s">
        <v>7</v>
      </c>
      <c r="B198" s="4">
        <v>46147</v>
      </c>
      <c r="C198" t="s">
        <v>236</v>
      </c>
      <c r="D198">
        <v>24950</v>
      </c>
      <c r="E198" t="s">
        <v>42</v>
      </c>
      <c r="F198">
        <v>919.75</v>
      </c>
      <c r="G198">
        <v>7150</v>
      </c>
      <c r="H198">
        <v>10660</v>
      </c>
      <c r="I198">
        <v>12545</v>
      </c>
      <c r="J198">
        <v>10660</v>
      </c>
      <c r="K198">
        <v>972.35</v>
      </c>
      <c r="L198">
        <v>1031.95</v>
      </c>
      <c r="M198">
        <v>866.8</v>
      </c>
      <c r="N198">
        <v>800.4</v>
      </c>
      <c r="O198">
        <v>915.05</v>
      </c>
      <c r="P198" s="9">
        <v>46147.642361111109</v>
      </c>
    </row>
    <row r="199" spans="1:16" x14ac:dyDescent="0.25">
      <c r="A199" t="s">
        <v>7</v>
      </c>
      <c r="B199" s="4">
        <v>46147</v>
      </c>
      <c r="C199" t="s">
        <v>237</v>
      </c>
      <c r="D199">
        <v>25000</v>
      </c>
      <c r="E199" t="s">
        <v>40</v>
      </c>
      <c r="F199">
        <v>0.05</v>
      </c>
      <c r="G199">
        <v>104226980</v>
      </c>
      <c r="H199">
        <v>12868180</v>
      </c>
      <c r="I199">
        <v>16429660</v>
      </c>
      <c r="J199">
        <v>12868180</v>
      </c>
      <c r="K199">
        <v>0.85</v>
      </c>
      <c r="L199">
        <v>0.85</v>
      </c>
      <c r="M199">
        <v>0.05</v>
      </c>
      <c r="N199">
        <v>2.2999999999999998</v>
      </c>
      <c r="O199">
        <v>0</v>
      </c>
      <c r="P199" s="9">
        <v>46147.645752314813</v>
      </c>
    </row>
    <row r="200" spans="1:16" x14ac:dyDescent="0.25">
      <c r="A200" t="s">
        <v>7</v>
      </c>
      <c r="B200" s="4">
        <v>46147</v>
      </c>
      <c r="C200" t="s">
        <v>238</v>
      </c>
      <c r="D200">
        <v>25000</v>
      </c>
      <c r="E200" t="s">
        <v>42</v>
      </c>
      <c r="F200">
        <v>969.25</v>
      </c>
      <c r="G200">
        <v>516100</v>
      </c>
      <c r="H200">
        <v>268710</v>
      </c>
      <c r="I200">
        <v>288080</v>
      </c>
      <c r="J200">
        <v>234650</v>
      </c>
      <c r="K200">
        <v>1000</v>
      </c>
      <c r="L200">
        <v>1119.95</v>
      </c>
      <c r="M200">
        <v>910</v>
      </c>
      <c r="N200">
        <v>844.2</v>
      </c>
      <c r="O200">
        <v>967.25</v>
      </c>
      <c r="P200" s="9">
        <v>46147.645752314813</v>
      </c>
    </row>
    <row r="201" spans="1:16" x14ac:dyDescent="0.25">
      <c r="A201" t="s">
        <v>7</v>
      </c>
      <c r="B201" s="4">
        <v>46147</v>
      </c>
      <c r="C201" t="s">
        <v>239</v>
      </c>
      <c r="D201">
        <v>25050</v>
      </c>
      <c r="E201" t="s">
        <v>40</v>
      </c>
      <c r="F201">
        <v>0.05</v>
      </c>
      <c r="G201">
        <v>13474110</v>
      </c>
      <c r="H201">
        <v>2085720</v>
      </c>
      <c r="I201">
        <v>2492685</v>
      </c>
      <c r="J201">
        <v>1980745</v>
      </c>
      <c r="K201">
        <v>0.8</v>
      </c>
      <c r="L201">
        <v>0.8</v>
      </c>
      <c r="M201">
        <v>0.05</v>
      </c>
      <c r="N201">
        <v>1.9</v>
      </c>
      <c r="O201">
        <v>0</v>
      </c>
      <c r="P201" s="9">
        <v>46147.645358796297</v>
      </c>
    </row>
    <row r="202" spans="1:16" x14ac:dyDescent="0.25">
      <c r="A202" t="s">
        <v>7</v>
      </c>
      <c r="B202" s="4">
        <v>46147</v>
      </c>
      <c r="C202" t="s">
        <v>240</v>
      </c>
      <c r="D202">
        <v>25050</v>
      </c>
      <c r="E202" t="s">
        <v>42</v>
      </c>
      <c r="F202">
        <v>1023.15</v>
      </c>
      <c r="G202">
        <v>2145</v>
      </c>
      <c r="H202">
        <v>4420</v>
      </c>
      <c r="I202">
        <v>4940</v>
      </c>
      <c r="J202">
        <v>4225</v>
      </c>
      <c r="K202">
        <v>996</v>
      </c>
      <c r="L202">
        <v>1149.9000000000001</v>
      </c>
      <c r="M202">
        <v>963.9</v>
      </c>
      <c r="N202">
        <v>889.5</v>
      </c>
      <c r="O202">
        <v>1017.9</v>
      </c>
      <c r="P202" s="9">
        <v>46147.63821759259</v>
      </c>
    </row>
    <row r="203" spans="1:16" x14ac:dyDescent="0.25">
      <c r="A203" t="s">
        <v>7</v>
      </c>
      <c r="B203" s="4">
        <v>46147</v>
      </c>
      <c r="C203" t="s">
        <v>241</v>
      </c>
      <c r="D203">
        <v>25100</v>
      </c>
      <c r="E203" t="s">
        <v>40</v>
      </c>
      <c r="F203">
        <v>0.05</v>
      </c>
      <c r="G203">
        <v>26166270</v>
      </c>
      <c r="H203">
        <v>3407105</v>
      </c>
      <c r="I203">
        <v>4752540</v>
      </c>
      <c r="J203">
        <v>3407105</v>
      </c>
      <c r="K203">
        <v>0.7</v>
      </c>
      <c r="L203">
        <v>0.8</v>
      </c>
      <c r="M203">
        <v>0.05</v>
      </c>
      <c r="N203">
        <v>1.7</v>
      </c>
      <c r="O203">
        <v>0</v>
      </c>
      <c r="P203" s="9">
        <v>46147.644837962966</v>
      </c>
    </row>
    <row r="204" spans="1:16" x14ac:dyDescent="0.25">
      <c r="A204" t="s">
        <v>7</v>
      </c>
      <c r="B204" s="4">
        <v>46147</v>
      </c>
      <c r="C204" t="s">
        <v>242</v>
      </c>
      <c r="D204">
        <v>25100</v>
      </c>
      <c r="E204" t="s">
        <v>42</v>
      </c>
      <c r="F204">
        <v>1071.4000000000001</v>
      </c>
      <c r="G204">
        <v>8515</v>
      </c>
      <c r="H204">
        <v>11115</v>
      </c>
      <c r="I204">
        <v>12675</v>
      </c>
      <c r="J204">
        <v>11115</v>
      </c>
      <c r="K204">
        <v>1131.4000000000001</v>
      </c>
      <c r="L204">
        <v>1203</v>
      </c>
      <c r="M204">
        <v>1013.95</v>
      </c>
      <c r="N204">
        <v>940.55</v>
      </c>
      <c r="O204">
        <v>1066.3</v>
      </c>
      <c r="P204" s="9">
        <v>46147.643101851849</v>
      </c>
    </row>
    <row r="205" spans="1:16" x14ac:dyDescent="0.25">
      <c r="A205" t="s">
        <v>7</v>
      </c>
      <c r="B205" s="4">
        <v>46147</v>
      </c>
      <c r="C205" t="s">
        <v>243</v>
      </c>
      <c r="D205">
        <v>25150</v>
      </c>
      <c r="E205" t="s">
        <v>40</v>
      </c>
      <c r="F205">
        <v>0.05</v>
      </c>
      <c r="G205">
        <v>6926335</v>
      </c>
      <c r="H205">
        <v>1103505</v>
      </c>
      <c r="I205">
        <v>1555905</v>
      </c>
      <c r="J205">
        <v>1103505</v>
      </c>
      <c r="K205">
        <v>0.7</v>
      </c>
      <c r="L205">
        <v>0.7</v>
      </c>
      <c r="M205">
        <v>0.05</v>
      </c>
      <c r="N205">
        <v>1.5</v>
      </c>
      <c r="O205">
        <v>0</v>
      </c>
      <c r="P205" s="9">
        <v>46147.645231481481</v>
      </c>
    </row>
    <row r="206" spans="1:16" x14ac:dyDescent="0.25">
      <c r="A206" t="s">
        <v>7</v>
      </c>
      <c r="B206" s="4">
        <v>46147</v>
      </c>
      <c r="C206" t="s">
        <v>244</v>
      </c>
      <c r="D206">
        <v>25150</v>
      </c>
      <c r="E206" t="s">
        <v>42</v>
      </c>
      <c r="F206">
        <v>1120</v>
      </c>
      <c r="G206">
        <v>780</v>
      </c>
      <c r="H206">
        <v>2600</v>
      </c>
      <c r="I206">
        <v>2600</v>
      </c>
      <c r="J206">
        <v>2340</v>
      </c>
      <c r="K206">
        <v>1118.55</v>
      </c>
      <c r="L206">
        <v>1249.7</v>
      </c>
      <c r="M206">
        <v>1118.55</v>
      </c>
      <c r="N206">
        <v>994.75</v>
      </c>
      <c r="O206">
        <v>975.4</v>
      </c>
      <c r="P206" s="9">
        <v>46147.635891203703</v>
      </c>
    </row>
    <row r="207" spans="1:16" x14ac:dyDescent="0.25">
      <c r="A207" t="s">
        <v>7</v>
      </c>
      <c r="B207" s="4">
        <v>46147</v>
      </c>
      <c r="C207" t="s">
        <v>245</v>
      </c>
      <c r="D207">
        <v>25200</v>
      </c>
      <c r="E207" t="s">
        <v>40</v>
      </c>
      <c r="F207">
        <v>0.05</v>
      </c>
      <c r="G207">
        <v>26939510</v>
      </c>
      <c r="H207">
        <v>4559360</v>
      </c>
      <c r="I207">
        <v>7140250</v>
      </c>
      <c r="J207">
        <v>4559360</v>
      </c>
      <c r="K207">
        <v>0.6</v>
      </c>
      <c r="L207">
        <v>0.65</v>
      </c>
      <c r="M207">
        <v>0.05</v>
      </c>
      <c r="N207">
        <v>1.25</v>
      </c>
      <c r="O207">
        <v>0</v>
      </c>
      <c r="P207" s="9">
        <v>46147.645486111112</v>
      </c>
    </row>
    <row r="208" spans="1:16" x14ac:dyDescent="0.25">
      <c r="A208" t="s">
        <v>7</v>
      </c>
      <c r="B208" s="4">
        <v>46147</v>
      </c>
      <c r="C208" t="s">
        <v>246</v>
      </c>
      <c r="D208">
        <v>25200</v>
      </c>
      <c r="E208" t="s">
        <v>42</v>
      </c>
      <c r="F208">
        <v>1169.95</v>
      </c>
      <c r="G208">
        <v>80145</v>
      </c>
      <c r="H208">
        <v>43680</v>
      </c>
      <c r="I208">
        <v>65910</v>
      </c>
      <c r="J208">
        <v>43680</v>
      </c>
      <c r="K208">
        <v>1210.05</v>
      </c>
      <c r="L208">
        <v>1305.05</v>
      </c>
      <c r="M208">
        <v>1119.5999999999999</v>
      </c>
      <c r="N208">
        <v>1034.95</v>
      </c>
      <c r="O208">
        <v>1167.55</v>
      </c>
      <c r="P208" s="9">
        <v>46147.645486111112</v>
      </c>
    </row>
    <row r="209" spans="1:16" x14ac:dyDescent="0.25">
      <c r="A209" t="s">
        <v>7</v>
      </c>
      <c r="B209" s="4">
        <v>46147</v>
      </c>
      <c r="C209" t="s">
        <v>247</v>
      </c>
      <c r="D209">
        <v>25250</v>
      </c>
      <c r="E209" t="s">
        <v>40</v>
      </c>
      <c r="F209">
        <v>0.05</v>
      </c>
      <c r="G209">
        <v>8549970</v>
      </c>
      <c r="H209">
        <v>1962090</v>
      </c>
      <c r="I209">
        <v>2092155</v>
      </c>
      <c r="J209">
        <v>1439425</v>
      </c>
      <c r="K209">
        <v>0.55000000000000004</v>
      </c>
      <c r="L209">
        <v>0.6</v>
      </c>
      <c r="M209">
        <v>0.05</v>
      </c>
      <c r="N209">
        <v>1.2</v>
      </c>
      <c r="O209">
        <v>0</v>
      </c>
      <c r="P209" s="9">
        <v>46147.645277777781</v>
      </c>
    </row>
    <row r="210" spans="1:16" x14ac:dyDescent="0.25">
      <c r="A210" t="s">
        <v>7</v>
      </c>
      <c r="B210" s="4">
        <v>46147</v>
      </c>
      <c r="C210" t="s">
        <v>248</v>
      </c>
      <c r="D210">
        <v>25250</v>
      </c>
      <c r="E210" t="s">
        <v>42</v>
      </c>
      <c r="F210">
        <v>1221.3</v>
      </c>
      <c r="G210">
        <v>2795</v>
      </c>
      <c r="H210">
        <v>1300</v>
      </c>
      <c r="I210">
        <v>2405</v>
      </c>
      <c r="J210">
        <v>1300</v>
      </c>
      <c r="K210">
        <v>1255</v>
      </c>
      <c r="L210">
        <v>1360.55</v>
      </c>
      <c r="M210">
        <v>1203.8499999999999</v>
      </c>
      <c r="N210">
        <v>1085</v>
      </c>
      <c r="O210">
        <v>1214.2</v>
      </c>
      <c r="P210" s="9">
        <v>46147.639803240738</v>
      </c>
    </row>
    <row r="211" spans="1:16" x14ac:dyDescent="0.25">
      <c r="A211" t="s">
        <v>7</v>
      </c>
      <c r="B211" s="4">
        <v>46147</v>
      </c>
      <c r="C211" t="s">
        <v>249</v>
      </c>
      <c r="D211">
        <v>25300</v>
      </c>
      <c r="E211" t="s">
        <v>40</v>
      </c>
      <c r="F211">
        <v>0.05</v>
      </c>
      <c r="G211">
        <v>16769870</v>
      </c>
      <c r="H211">
        <v>1716325</v>
      </c>
      <c r="I211">
        <v>4794595</v>
      </c>
      <c r="J211">
        <v>1716325</v>
      </c>
      <c r="K211">
        <v>0.7</v>
      </c>
      <c r="L211">
        <v>0.7</v>
      </c>
      <c r="M211">
        <v>0.05</v>
      </c>
      <c r="N211">
        <v>1.05</v>
      </c>
      <c r="O211">
        <v>0</v>
      </c>
      <c r="P211" s="9">
        <v>46147.645451388889</v>
      </c>
    </row>
    <row r="212" spans="1:16" x14ac:dyDescent="0.25">
      <c r="A212" t="s">
        <v>7</v>
      </c>
      <c r="B212" s="4">
        <v>46147</v>
      </c>
      <c r="C212" t="s">
        <v>250</v>
      </c>
      <c r="D212">
        <v>25300</v>
      </c>
      <c r="E212" t="s">
        <v>42</v>
      </c>
      <c r="F212">
        <v>1269</v>
      </c>
      <c r="G212">
        <v>7605</v>
      </c>
      <c r="H212">
        <v>3770</v>
      </c>
      <c r="I212">
        <v>5135</v>
      </c>
      <c r="J212">
        <v>3705</v>
      </c>
      <c r="K212">
        <v>1267</v>
      </c>
      <c r="L212">
        <v>1400.7</v>
      </c>
      <c r="M212">
        <v>1229.5</v>
      </c>
      <c r="N212">
        <v>1140.55</v>
      </c>
      <c r="O212">
        <v>1264</v>
      </c>
      <c r="P212" s="9">
        <v>46147.645428240743</v>
      </c>
    </row>
    <row r="213" spans="1:16" x14ac:dyDescent="0.25">
      <c r="A213" t="s">
        <v>7</v>
      </c>
      <c r="B213" s="4">
        <v>46147</v>
      </c>
      <c r="C213" t="s">
        <v>251</v>
      </c>
      <c r="D213">
        <v>25350</v>
      </c>
      <c r="E213" t="s">
        <v>40</v>
      </c>
      <c r="F213">
        <v>0.05</v>
      </c>
      <c r="G213">
        <v>4455295</v>
      </c>
      <c r="H213">
        <v>339300</v>
      </c>
      <c r="I213">
        <v>1374880</v>
      </c>
      <c r="J213">
        <v>331695</v>
      </c>
      <c r="K213">
        <v>0.7</v>
      </c>
      <c r="L213">
        <v>0.7</v>
      </c>
      <c r="M213">
        <v>0.05</v>
      </c>
      <c r="N213">
        <v>0.95</v>
      </c>
      <c r="O213">
        <v>0</v>
      </c>
      <c r="P213" s="9">
        <v>46147.637326388889</v>
      </c>
    </row>
    <row r="214" spans="1:16" x14ac:dyDescent="0.25">
      <c r="A214" t="s">
        <v>7</v>
      </c>
      <c r="B214" s="4">
        <v>46147</v>
      </c>
      <c r="C214" t="s">
        <v>252</v>
      </c>
      <c r="D214">
        <v>25350</v>
      </c>
      <c r="E214" t="s">
        <v>42</v>
      </c>
      <c r="F214">
        <v>1191.3499999999999</v>
      </c>
      <c r="G214">
        <v>0</v>
      </c>
      <c r="H214">
        <v>715</v>
      </c>
      <c r="I214">
        <v>715</v>
      </c>
      <c r="J214">
        <v>715</v>
      </c>
      <c r="K214">
        <v>0</v>
      </c>
      <c r="L214">
        <v>0</v>
      </c>
      <c r="M214">
        <v>0</v>
      </c>
      <c r="N214">
        <v>1191.3499999999999</v>
      </c>
      <c r="O214">
        <v>1149.45</v>
      </c>
      <c r="P214" s="9">
        <v>46146.644259259258</v>
      </c>
    </row>
    <row r="215" spans="1:16" x14ac:dyDescent="0.25">
      <c r="A215" t="s">
        <v>7</v>
      </c>
      <c r="B215" s="4">
        <v>46147</v>
      </c>
      <c r="C215" t="s">
        <v>253</v>
      </c>
      <c r="D215">
        <v>25400</v>
      </c>
      <c r="E215" t="s">
        <v>40</v>
      </c>
      <c r="F215">
        <v>0.05</v>
      </c>
      <c r="G215">
        <v>11170510</v>
      </c>
      <c r="H215">
        <v>1396720</v>
      </c>
      <c r="I215">
        <v>2722460</v>
      </c>
      <c r="J215">
        <v>1396720</v>
      </c>
      <c r="K215">
        <v>0.35</v>
      </c>
      <c r="L215">
        <v>0.7</v>
      </c>
      <c r="M215">
        <v>0.05</v>
      </c>
      <c r="N215">
        <v>0.85</v>
      </c>
      <c r="O215">
        <v>0</v>
      </c>
      <c r="P215" s="9">
        <v>46147.645243055558</v>
      </c>
    </row>
    <row r="216" spans="1:16" x14ac:dyDescent="0.25">
      <c r="A216" t="s">
        <v>7</v>
      </c>
      <c r="B216" s="4">
        <v>46147</v>
      </c>
      <c r="C216" t="s">
        <v>254</v>
      </c>
      <c r="D216">
        <v>25400</v>
      </c>
      <c r="E216" t="s">
        <v>42</v>
      </c>
      <c r="F216">
        <v>1373.45</v>
      </c>
      <c r="G216">
        <v>3835</v>
      </c>
      <c r="H216">
        <v>1235</v>
      </c>
      <c r="I216">
        <v>3120</v>
      </c>
      <c r="J216">
        <v>1170</v>
      </c>
      <c r="K216">
        <v>1319.9</v>
      </c>
      <c r="L216">
        <v>1480.7</v>
      </c>
      <c r="M216">
        <v>1319.9</v>
      </c>
      <c r="N216">
        <v>1255.6500000000001</v>
      </c>
      <c r="O216">
        <v>1186.1500000000001</v>
      </c>
      <c r="P216" s="9">
        <v>46147.635451388887</v>
      </c>
    </row>
    <row r="217" spans="1:16" x14ac:dyDescent="0.25">
      <c r="A217" t="s">
        <v>7</v>
      </c>
      <c r="B217" s="4">
        <v>46147</v>
      </c>
      <c r="C217" t="s">
        <v>255</v>
      </c>
      <c r="D217">
        <v>25450</v>
      </c>
      <c r="E217" t="s">
        <v>40</v>
      </c>
      <c r="F217">
        <v>0.05</v>
      </c>
      <c r="G217">
        <v>3786315</v>
      </c>
      <c r="H217">
        <v>585715</v>
      </c>
      <c r="I217">
        <v>792935</v>
      </c>
      <c r="J217">
        <v>535860</v>
      </c>
      <c r="K217">
        <v>0.7</v>
      </c>
      <c r="L217">
        <v>0.7</v>
      </c>
      <c r="M217">
        <v>0.05</v>
      </c>
      <c r="N217">
        <v>0.85</v>
      </c>
      <c r="O217">
        <v>0</v>
      </c>
      <c r="P217" s="9">
        <v>46147.642893518518</v>
      </c>
    </row>
    <row r="218" spans="1:16" x14ac:dyDescent="0.25">
      <c r="A218" t="s">
        <v>7</v>
      </c>
      <c r="B218" s="4">
        <v>46147</v>
      </c>
      <c r="C218" t="s">
        <v>256</v>
      </c>
      <c r="D218">
        <v>25450</v>
      </c>
      <c r="E218" t="s">
        <v>42</v>
      </c>
      <c r="F218">
        <v>1415.6</v>
      </c>
      <c r="G218">
        <v>2080</v>
      </c>
      <c r="H218">
        <v>520</v>
      </c>
      <c r="I218">
        <v>780</v>
      </c>
      <c r="J218">
        <v>520</v>
      </c>
      <c r="K218">
        <v>1382.65</v>
      </c>
      <c r="L218">
        <v>1510.95</v>
      </c>
      <c r="M218">
        <v>1372</v>
      </c>
      <c r="N218">
        <v>1289.8</v>
      </c>
      <c r="O218">
        <v>1416.1</v>
      </c>
      <c r="P218" s="9">
        <v>46147.642824074072</v>
      </c>
    </row>
    <row r="219" spans="1:16" x14ac:dyDescent="0.25">
      <c r="A219" t="s">
        <v>7</v>
      </c>
      <c r="B219" s="4">
        <v>46147</v>
      </c>
      <c r="C219" t="s">
        <v>257</v>
      </c>
      <c r="D219">
        <v>25500</v>
      </c>
      <c r="E219" t="s">
        <v>40</v>
      </c>
      <c r="F219">
        <v>0.05</v>
      </c>
      <c r="G219">
        <v>33807410</v>
      </c>
      <c r="H219">
        <v>4954105</v>
      </c>
      <c r="I219">
        <v>8005855</v>
      </c>
      <c r="J219">
        <v>4954105</v>
      </c>
      <c r="K219">
        <v>0.5</v>
      </c>
      <c r="L219">
        <v>0.55000000000000004</v>
      </c>
      <c r="M219">
        <v>0.05</v>
      </c>
      <c r="N219">
        <v>0.85</v>
      </c>
      <c r="O219">
        <v>0</v>
      </c>
      <c r="P219" s="9">
        <v>46147.645787037036</v>
      </c>
    </row>
    <row r="220" spans="1:16" x14ac:dyDescent="0.25">
      <c r="A220" t="s">
        <v>7</v>
      </c>
      <c r="B220" s="4">
        <v>46147</v>
      </c>
      <c r="C220" t="s">
        <v>258</v>
      </c>
      <c r="D220">
        <v>25500</v>
      </c>
      <c r="E220" t="s">
        <v>42</v>
      </c>
      <c r="F220">
        <v>1468.1</v>
      </c>
      <c r="G220">
        <v>191945</v>
      </c>
      <c r="H220">
        <v>51090</v>
      </c>
      <c r="I220">
        <v>170820</v>
      </c>
      <c r="J220">
        <v>51090</v>
      </c>
      <c r="K220">
        <v>1566.55</v>
      </c>
      <c r="L220">
        <v>1615.3</v>
      </c>
      <c r="M220">
        <v>1415.5</v>
      </c>
      <c r="N220">
        <v>1337.25</v>
      </c>
      <c r="O220">
        <v>1466.15</v>
      </c>
      <c r="P220" s="9">
        <v>46147.645486111112</v>
      </c>
    </row>
    <row r="221" spans="1:16" x14ac:dyDescent="0.25">
      <c r="A221" t="s">
        <v>7</v>
      </c>
      <c r="B221" s="4">
        <v>46147</v>
      </c>
      <c r="C221" t="s">
        <v>259</v>
      </c>
      <c r="D221">
        <v>25550</v>
      </c>
      <c r="E221" t="s">
        <v>40</v>
      </c>
      <c r="F221">
        <v>0.05</v>
      </c>
      <c r="G221">
        <v>2951910</v>
      </c>
      <c r="H221">
        <v>227240</v>
      </c>
      <c r="I221">
        <v>837070</v>
      </c>
      <c r="J221">
        <v>227240</v>
      </c>
      <c r="K221">
        <v>0.8</v>
      </c>
      <c r="L221">
        <v>0.8</v>
      </c>
      <c r="M221">
        <v>0.05</v>
      </c>
      <c r="N221">
        <v>0.8</v>
      </c>
      <c r="O221">
        <v>0</v>
      </c>
      <c r="P221" s="9">
        <v>46147.645046296297</v>
      </c>
    </row>
    <row r="222" spans="1:16" x14ac:dyDescent="0.25">
      <c r="A222" t="s">
        <v>7</v>
      </c>
      <c r="B222" s="4">
        <v>46147</v>
      </c>
      <c r="C222" t="s">
        <v>260</v>
      </c>
      <c r="D222">
        <v>25550</v>
      </c>
      <c r="E222" t="s">
        <v>42</v>
      </c>
      <c r="F222">
        <v>1584.7</v>
      </c>
      <c r="G222">
        <v>130</v>
      </c>
      <c r="H222">
        <v>650</v>
      </c>
      <c r="I222">
        <v>650</v>
      </c>
      <c r="J222">
        <v>585</v>
      </c>
      <c r="K222">
        <v>1640.35</v>
      </c>
      <c r="L222">
        <v>1640.35</v>
      </c>
      <c r="M222">
        <v>1584.7</v>
      </c>
      <c r="N222">
        <v>1523.4</v>
      </c>
      <c r="O222">
        <v>1474.35</v>
      </c>
      <c r="P222" s="9">
        <v>46147.513483796298</v>
      </c>
    </row>
    <row r="223" spans="1:16" x14ac:dyDescent="0.25">
      <c r="A223" t="s">
        <v>7</v>
      </c>
      <c r="B223" s="4">
        <v>46147</v>
      </c>
      <c r="C223" t="s">
        <v>261</v>
      </c>
      <c r="D223">
        <v>25600</v>
      </c>
      <c r="E223" t="s">
        <v>40</v>
      </c>
      <c r="F223">
        <v>0.05</v>
      </c>
      <c r="G223">
        <v>4341610</v>
      </c>
      <c r="H223">
        <v>588835</v>
      </c>
      <c r="I223">
        <v>1588600</v>
      </c>
      <c r="J223">
        <v>588835</v>
      </c>
      <c r="K223">
        <v>0.45</v>
      </c>
      <c r="L223">
        <v>0.5</v>
      </c>
      <c r="M223">
        <v>0.05</v>
      </c>
      <c r="N223">
        <v>0.7</v>
      </c>
      <c r="O223">
        <v>0</v>
      </c>
      <c r="P223" s="9">
        <v>46147.642280092594</v>
      </c>
    </row>
    <row r="224" spans="1:16" x14ac:dyDescent="0.25">
      <c r="A224" t="s">
        <v>7</v>
      </c>
      <c r="B224" s="4">
        <v>46147</v>
      </c>
      <c r="C224" t="s">
        <v>262</v>
      </c>
      <c r="D224">
        <v>25600</v>
      </c>
      <c r="E224" t="s">
        <v>42</v>
      </c>
      <c r="F224">
        <v>1571.95</v>
      </c>
      <c r="G224">
        <v>2340</v>
      </c>
      <c r="H224">
        <v>715</v>
      </c>
      <c r="I224">
        <v>2535</v>
      </c>
      <c r="J224">
        <v>715</v>
      </c>
      <c r="K224">
        <v>1650</v>
      </c>
      <c r="L224">
        <v>1695</v>
      </c>
      <c r="M224">
        <v>1520</v>
      </c>
      <c r="N224">
        <v>1429.4</v>
      </c>
      <c r="O224">
        <v>1563.55</v>
      </c>
      <c r="P224" s="9">
        <v>46147.644513888888</v>
      </c>
    </row>
    <row r="225" spans="1:16" x14ac:dyDescent="0.25">
      <c r="A225" t="s">
        <v>7</v>
      </c>
      <c r="B225" s="4">
        <v>46147</v>
      </c>
      <c r="C225" t="s">
        <v>263</v>
      </c>
      <c r="D225">
        <v>25650</v>
      </c>
      <c r="E225" t="s">
        <v>40</v>
      </c>
      <c r="F225">
        <v>0.05</v>
      </c>
      <c r="G225">
        <v>1409915</v>
      </c>
      <c r="H225">
        <v>223340</v>
      </c>
      <c r="I225">
        <v>389155</v>
      </c>
      <c r="J225">
        <v>197210</v>
      </c>
      <c r="K225">
        <v>0.55000000000000004</v>
      </c>
      <c r="L225">
        <v>0.6</v>
      </c>
      <c r="M225">
        <v>0.05</v>
      </c>
      <c r="N225">
        <v>0.75</v>
      </c>
      <c r="O225">
        <v>0</v>
      </c>
      <c r="P225" s="9">
        <v>46147.63789351852</v>
      </c>
    </row>
    <row r="226" spans="1:16" x14ac:dyDescent="0.25">
      <c r="A226" t="s">
        <v>7</v>
      </c>
      <c r="B226" s="4">
        <v>46147</v>
      </c>
      <c r="C226" t="s">
        <v>264</v>
      </c>
      <c r="D226">
        <v>25650</v>
      </c>
      <c r="E226" t="s">
        <v>42</v>
      </c>
      <c r="F226">
        <v>1400</v>
      </c>
      <c r="G226">
        <v>0</v>
      </c>
      <c r="H226">
        <v>1625</v>
      </c>
      <c r="I226">
        <v>1625</v>
      </c>
      <c r="J226">
        <v>1625</v>
      </c>
      <c r="K226">
        <v>0</v>
      </c>
      <c r="L226">
        <v>0</v>
      </c>
      <c r="M226">
        <v>0</v>
      </c>
      <c r="N226">
        <v>1400</v>
      </c>
      <c r="O226">
        <v>1451.75</v>
      </c>
      <c r="P226" s="9">
        <v>46146.437685185185</v>
      </c>
    </row>
    <row r="227" spans="1:16" x14ac:dyDescent="0.25">
      <c r="A227" t="s">
        <v>7</v>
      </c>
      <c r="B227" s="4">
        <v>46147</v>
      </c>
      <c r="C227" t="s">
        <v>265</v>
      </c>
      <c r="D227">
        <v>25700</v>
      </c>
      <c r="E227" t="s">
        <v>40</v>
      </c>
      <c r="F227">
        <v>0.05</v>
      </c>
      <c r="G227">
        <v>5173610</v>
      </c>
      <c r="H227">
        <v>604890</v>
      </c>
      <c r="I227">
        <v>1416480</v>
      </c>
      <c r="J227">
        <v>604890</v>
      </c>
      <c r="K227">
        <v>0.8</v>
      </c>
      <c r="L227">
        <v>0.8</v>
      </c>
      <c r="M227">
        <v>0.05</v>
      </c>
      <c r="N227">
        <v>0.65</v>
      </c>
      <c r="O227">
        <v>0</v>
      </c>
      <c r="P227" s="9">
        <v>46147.641747685186</v>
      </c>
    </row>
    <row r="228" spans="1:16" x14ac:dyDescent="0.25">
      <c r="A228" t="s">
        <v>7</v>
      </c>
      <c r="B228" s="4">
        <v>46147</v>
      </c>
      <c r="C228" t="s">
        <v>266</v>
      </c>
      <c r="D228">
        <v>25700</v>
      </c>
      <c r="E228" t="s">
        <v>42</v>
      </c>
      <c r="F228">
        <v>1725</v>
      </c>
      <c r="G228">
        <v>1430</v>
      </c>
      <c r="H228">
        <v>1105</v>
      </c>
      <c r="I228">
        <v>1820</v>
      </c>
      <c r="J228">
        <v>1105</v>
      </c>
      <c r="K228">
        <v>1810</v>
      </c>
      <c r="L228">
        <v>1810</v>
      </c>
      <c r="M228">
        <v>1725</v>
      </c>
      <c r="N228">
        <v>1426.55</v>
      </c>
      <c r="O228">
        <v>1663.6</v>
      </c>
      <c r="P228" s="9">
        <v>46147.516967592594</v>
      </c>
    </row>
    <row r="229" spans="1:16" x14ac:dyDescent="0.25">
      <c r="A229" t="s">
        <v>7</v>
      </c>
      <c r="B229" s="4">
        <v>46147</v>
      </c>
      <c r="C229" t="s">
        <v>267</v>
      </c>
      <c r="D229">
        <v>25750</v>
      </c>
      <c r="E229" t="s">
        <v>40</v>
      </c>
      <c r="F229">
        <v>0.05</v>
      </c>
      <c r="G229">
        <v>1725490</v>
      </c>
      <c r="H229">
        <v>322660</v>
      </c>
      <c r="I229">
        <v>480675</v>
      </c>
      <c r="J229">
        <v>316875</v>
      </c>
      <c r="K229">
        <v>0.5</v>
      </c>
      <c r="L229">
        <v>0.5</v>
      </c>
      <c r="M229">
        <v>0.05</v>
      </c>
      <c r="N229">
        <v>0.65</v>
      </c>
      <c r="O229">
        <v>0</v>
      </c>
      <c r="P229" s="9">
        <v>46147.636944444443</v>
      </c>
    </row>
    <row r="230" spans="1:16" x14ac:dyDescent="0.25">
      <c r="A230" t="s">
        <v>7</v>
      </c>
      <c r="B230" s="4">
        <v>46147</v>
      </c>
      <c r="C230" t="s">
        <v>268</v>
      </c>
      <c r="D230">
        <v>25750</v>
      </c>
      <c r="E230" t="s">
        <v>42</v>
      </c>
      <c r="F230">
        <v>1732.2</v>
      </c>
      <c r="G230">
        <v>130</v>
      </c>
      <c r="H230">
        <v>65</v>
      </c>
      <c r="I230">
        <v>65</v>
      </c>
      <c r="J230">
        <v>65</v>
      </c>
      <c r="K230">
        <v>1761.8</v>
      </c>
      <c r="L230">
        <v>1761.8</v>
      </c>
      <c r="M230">
        <v>1732.2</v>
      </c>
      <c r="N230">
        <v>2638</v>
      </c>
      <c r="O230">
        <v>1706.95</v>
      </c>
      <c r="P230" s="9">
        <v>46147.403564814813</v>
      </c>
    </row>
    <row r="231" spans="1:16" x14ac:dyDescent="0.25">
      <c r="A231" t="s">
        <v>7</v>
      </c>
      <c r="B231" s="4">
        <v>46147</v>
      </c>
      <c r="C231" t="s">
        <v>269</v>
      </c>
      <c r="D231">
        <v>25800</v>
      </c>
      <c r="E231" t="s">
        <v>40</v>
      </c>
      <c r="F231">
        <v>0.05</v>
      </c>
      <c r="G231">
        <v>9817275</v>
      </c>
      <c r="H231">
        <v>1117025</v>
      </c>
      <c r="I231">
        <v>3470415</v>
      </c>
      <c r="J231">
        <v>1117025</v>
      </c>
      <c r="K231">
        <v>0.5</v>
      </c>
      <c r="L231">
        <v>0.5</v>
      </c>
      <c r="M231">
        <v>0.05</v>
      </c>
      <c r="N231">
        <v>0.7</v>
      </c>
      <c r="O231">
        <v>0</v>
      </c>
      <c r="P231" s="9">
        <v>46147.641226851854</v>
      </c>
    </row>
    <row r="232" spans="1:16" x14ac:dyDescent="0.25">
      <c r="A232" t="s">
        <v>7</v>
      </c>
      <c r="B232" s="4">
        <v>46147</v>
      </c>
      <c r="C232" t="s">
        <v>270</v>
      </c>
      <c r="D232">
        <v>25800</v>
      </c>
      <c r="E232" t="s">
        <v>42</v>
      </c>
      <c r="F232">
        <v>1783.8</v>
      </c>
      <c r="G232">
        <v>1105</v>
      </c>
      <c r="H232">
        <v>325</v>
      </c>
      <c r="I232">
        <v>1105</v>
      </c>
      <c r="J232">
        <v>325</v>
      </c>
      <c r="K232">
        <v>1808.55</v>
      </c>
      <c r="L232">
        <v>1897.4</v>
      </c>
      <c r="M232">
        <v>1750</v>
      </c>
      <c r="N232">
        <v>1762</v>
      </c>
      <c r="O232">
        <v>1564.1</v>
      </c>
      <c r="P232" s="9">
        <v>46147.630856481483</v>
      </c>
    </row>
    <row r="233" spans="1:16" x14ac:dyDescent="0.25">
      <c r="A233" t="s">
        <v>7</v>
      </c>
      <c r="B233" s="4">
        <v>46147</v>
      </c>
      <c r="C233" t="s">
        <v>271</v>
      </c>
      <c r="D233">
        <v>25850</v>
      </c>
      <c r="E233" t="s">
        <v>40</v>
      </c>
      <c r="F233">
        <v>0.05</v>
      </c>
      <c r="G233">
        <v>1103310</v>
      </c>
      <c r="H233">
        <v>356785</v>
      </c>
      <c r="I233">
        <v>402805</v>
      </c>
      <c r="J233">
        <v>356785</v>
      </c>
      <c r="K233">
        <v>0.4</v>
      </c>
      <c r="L233">
        <v>0.5</v>
      </c>
      <c r="M233">
        <v>0.05</v>
      </c>
      <c r="N233">
        <v>0.5</v>
      </c>
      <c r="O233">
        <v>0</v>
      </c>
      <c r="P233" s="9">
        <v>46147.636967592596</v>
      </c>
    </row>
    <row r="234" spans="1:16" x14ac:dyDescent="0.25">
      <c r="A234" t="s">
        <v>7</v>
      </c>
      <c r="B234" s="4">
        <v>46147</v>
      </c>
      <c r="C234" t="s">
        <v>272</v>
      </c>
      <c r="D234">
        <v>25850</v>
      </c>
      <c r="E234" t="s">
        <v>42</v>
      </c>
      <c r="F234">
        <v>1857.85</v>
      </c>
      <c r="G234">
        <v>260</v>
      </c>
      <c r="H234">
        <v>130</v>
      </c>
      <c r="I234">
        <v>195</v>
      </c>
      <c r="J234">
        <v>130</v>
      </c>
      <c r="K234">
        <v>1871</v>
      </c>
      <c r="L234">
        <v>1910</v>
      </c>
      <c r="M234">
        <v>1836.7</v>
      </c>
      <c r="N234">
        <v>1681.4</v>
      </c>
      <c r="O234">
        <v>1615.4</v>
      </c>
      <c r="P234" s="9">
        <v>46147.536562499998</v>
      </c>
    </row>
    <row r="235" spans="1:16" x14ac:dyDescent="0.25">
      <c r="A235" t="s">
        <v>7</v>
      </c>
      <c r="B235" s="4">
        <v>46147</v>
      </c>
      <c r="C235" t="s">
        <v>273</v>
      </c>
      <c r="D235">
        <v>25900</v>
      </c>
      <c r="E235" t="s">
        <v>40</v>
      </c>
      <c r="F235">
        <v>0.05</v>
      </c>
      <c r="G235">
        <v>1089075</v>
      </c>
      <c r="H235">
        <v>297245</v>
      </c>
      <c r="I235">
        <v>440245</v>
      </c>
      <c r="J235">
        <v>297245</v>
      </c>
      <c r="K235">
        <v>0.45</v>
      </c>
      <c r="L235">
        <v>0.45</v>
      </c>
      <c r="M235">
        <v>0.05</v>
      </c>
      <c r="N235">
        <v>0.6</v>
      </c>
      <c r="O235">
        <v>0</v>
      </c>
      <c r="P235" s="9">
        <v>46147.635879629626</v>
      </c>
    </row>
    <row r="236" spans="1:16" x14ac:dyDescent="0.25">
      <c r="A236" t="s">
        <v>7</v>
      </c>
      <c r="B236" s="4">
        <v>46147</v>
      </c>
      <c r="C236" t="s">
        <v>274</v>
      </c>
      <c r="D236">
        <v>25900</v>
      </c>
      <c r="E236" t="s">
        <v>42</v>
      </c>
      <c r="F236">
        <v>1930</v>
      </c>
      <c r="G236">
        <v>390</v>
      </c>
      <c r="H236">
        <v>130</v>
      </c>
      <c r="I236">
        <v>455</v>
      </c>
      <c r="J236">
        <v>130</v>
      </c>
      <c r="K236">
        <v>1880</v>
      </c>
      <c r="L236">
        <v>2004.85</v>
      </c>
      <c r="M236">
        <v>1880</v>
      </c>
      <c r="N236">
        <v>1730</v>
      </c>
      <c r="O236">
        <v>1661.45</v>
      </c>
      <c r="P236" s="9">
        <v>46147.527719907404</v>
      </c>
    </row>
    <row r="237" spans="1:16" x14ac:dyDescent="0.25">
      <c r="A237" t="s">
        <v>7</v>
      </c>
      <c r="B237" s="4">
        <v>46147</v>
      </c>
      <c r="C237" t="s">
        <v>275</v>
      </c>
      <c r="D237">
        <v>25950</v>
      </c>
      <c r="E237" t="s">
        <v>40</v>
      </c>
      <c r="F237">
        <v>0.05</v>
      </c>
      <c r="G237">
        <v>593385</v>
      </c>
      <c r="H237">
        <v>127790</v>
      </c>
      <c r="I237">
        <v>145015</v>
      </c>
      <c r="J237">
        <v>114075</v>
      </c>
      <c r="K237">
        <v>0.45</v>
      </c>
      <c r="L237">
        <v>0.45</v>
      </c>
      <c r="M237">
        <v>0.05</v>
      </c>
      <c r="N237">
        <v>0.6</v>
      </c>
      <c r="O237">
        <v>0</v>
      </c>
      <c r="P237" s="9">
        <v>46147.631655092591</v>
      </c>
    </row>
    <row r="238" spans="1:16" x14ac:dyDescent="0.25">
      <c r="A238" t="s">
        <v>7</v>
      </c>
      <c r="B238" s="4">
        <v>46147</v>
      </c>
      <c r="C238" t="s">
        <v>276</v>
      </c>
      <c r="D238">
        <v>25950</v>
      </c>
      <c r="E238" t="s">
        <v>42</v>
      </c>
      <c r="F238">
        <v>2832.5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2832.5</v>
      </c>
      <c r="O238">
        <v>1266.3499999999999</v>
      </c>
      <c r="P238" s="9">
        <v>25569.229166666668</v>
      </c>
    </row>
    <row r="239" spans="1:16" x14ac:dyDescent="0.25">
      <c r="A239" t="s">
        <v>7</v>
      </c>
      <c r="B239" s="4">
        <v>46147</v>
      </c>
      <c r="C239" t="s">
        <v>277</v>
      </c>
      <c r="D239">
        <v>26000</v>
      </c>
      <c r="E239" t="s">
        <v>40</v>
      </c>
      <c r="F239">
        <v>0.05</v>
      </c>
      <c r="G239">
        <v>7652645</v>
      </c>
      <c r="H239">
        <v>1796600</v>
      </c>
      <c r="I239">
        <v>2944695</v>
      </c>
      <c r="J239">
        <v>1735500</v>
      </c>
      <c r="K239">
        <v>0.35</v>
      </c>
      <c r="L239">
        <v>0.45</v>
      </c>
      <c r="M239">
        <v>0.05</v>
      </c>
      <c r="N239">
        <v>0.5</v>
      </c>
      <c r="O239">
        <v>0</v>
      </c>
      <c r="P239" s="9">
        <v>46147.64576388889</v>
      </c>
    </row>
    <row r="240" spans="1:16" x14ac:dyDescent="0.25">
      <c r="A240" t="s">
        <v>7</v>
      </c>
      <c r="B240" s="4">
        <v>46147</v>
      </c>
      <c r="C240" t="s">
        <v>278</v>
      </c>
      <c r="D240">
        <v>26000</v>
      </c>
      <c r="E240" t="s">
        <v>42</v>
      </c>
      <c r="F240">
        <v>1971</v>
      </c>
      <c r="G240">
        <v>94640</v>
      </c>
      <c r="H240">
        <v>47190</v>
      </c>
      <c r="I240">
        <v>103675</v>
      </c>
      <c r="J240">
        <v>47190</v>
      </c>
      <c r="K240">
        <v>1950</v>
      </c>
      <c r="L240">
        <v>2119.5</v>
      </c>
      <c r="M240">
        <v>1910.1</v>
      </c>
      <c r="N240">
        <v>1841.55</v>
      </c>
      <c r="O240">
        <v>1970</v>
      </c>
      <c r="P240" s="9">
        <v>46147.645428240743</v>
      </c>
    </row>
    <row r="241" spans="1:16" x14ac:dyDescent="0.25">
      <c r="A241" t="s">
        <v>7</v>
      </c>
      <c r="B241" s="4">
        <v>46147</v>
      </c>
      <c r="C241" t="s">
        <v>279</v>
      </c>
      <c r="D241">
        <v>26050</v>
      </c>
      <c r="E241" t="s">
        <v>40</v>
      </c>
      <c r="F241">
        <v>0.05</v>
      </c>
      <c r="G241">
        <v>568425</v>
      </c>
      <c r="H241">
        <v>207935</v>
      </c>
      <c r="I241">
        <v>252980</v>
      </c>
      <c r="J241">
        <v>205075</v>
      </c>
      <c r="K241">
        <v>0.6</v>
      </c>
      <c r="L241">
        <v>0.65</v>
      </c>
      <c r="M241">
        <v>0.05</v>
      </c>
      <c r="N241">
        <v>0.5</v>
      </c>
      <c r="O241">
        <v>0</v>
      </c>
      <c r="P241" s="9">
        <v>46147.645289351851</v>
      </c>
    </row>
    <row r="242" spans="1:16" x14ac:dyDescent="0.25">
      <c r="A242" t="s">
        <v>7</v>
      </c>
      <c r="B242" s="4">
        <v>46147</v>
      </c>
      <c r="C242" t="s">
        <v>280</v>
      </c>
      <c r="D242">
        <v>26050</v>
      </c>
      <c r="E242" t="s">
        <v>42</v>
      </c>
      <c r="F242">
        <v>2930.2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2930.2</v>
      </c>
      <c r="O242">
        <v>1993.85</v>
      </c>
      <c r="P242" s="9">
        <v>25569.229166666668</v>
      </c>
    </row>
    <row r="243" spans="1:16" x14ac:dyDescent="0.25">
      <c r="A243" t="s">
        <v>7</v>
      </c>
      <c r="B243" s="4">
        <v>46147</v>
      </c>
      <c r="C243" t="s">
        <v>281</v>
      </c>
      <c r="D243">
        <v>26100</v>
      </c>
      <c r="E243" t="s">
        <v>40</v>
      </c>
      <c r="F243">
        <v>0.05</v>
      </c>
      <c r="G243">
        <v>1263405</v>
      </c>
      <c r="H243">
        <v>248300</v>
      </c>
      <c r="I243">
        <v>452530</v>
      </c>
      <c r="J243">
        <v>248300</v>
      </c>
      <c r="K243">
        <v>0.6</v>
      </c>
      <c r="L243">
        <v>0.6</v>
      </c>
      <c r="M243">
        <v>0.05</v>
      </c>
      <c r="N243">
        <v>0.45</v>
      </c>
      <c r="O243">
        <v>0</v>
      </c>
      <c r="P243" s="9">
        <v>46147.63690972222</v>
      </c>
    </row>
    <row r="244" spans="1:16" x14ac:dyDescent="0.25">
      <c r="A244" t="s">
        <v>7</v>
      </c>
      <c r="B244" s="4">
        <v>46147</v>
      </c>
      <c r="C244" t="s">
        <v>282</v>
      </c>
      <c r="D244">
        <v>26100</v>
      </c>
      <c r="E244" t="s">
        <v>42</v>
      </c>
      <c r="F244">
        <v>2070</v>
      </c>
      <c r="G244">
        <v>585</v>
      </c>
      <c r="H244">
        <v>585</v>
      </c>
      <c r="I244">
        <v>715</v>
      </c>
      <c r="J244">
        <v>585</v>
      </c>
      <c r="K244">
        <v>2059</v>
      </c>
      <c r="L244">
        <v>2070</v>
      </c>
      <c r="M244">
        <v>2059</v>
      </c>
      <c r="N244">
        <v>1924.45</v>
      </c>
      <c r="O244">
        <v>1894.3</v>
      </c>
      <c r="P244" s="9">
        <v>46147.594606481478</v>
      </c>
    </row>
    <row r="245" spans="1:16" x14ac:dyDescent="0.25">
      <c r="A245" t="s">
        <v>7</v>
      </c>
      <c r="B245" s="4">
        <v>46147</v>
      </c>
      <c r="C245" t="s">
        <v>283</v>
      </c>
      <c r="D245">
        <v>26150</v>
      </c>
      <c r="E245" t="s">
        <v>40</v>
      </c>
      <c r="F245">
        <v>0.05</v>
      </c>
      <c r="G245">
        <v>350545</v>
      </c>
      <c r="H245">
        <v>107315</v>
      </c>
      <c r="I245">
        <v>174785</v>
      </c>
      <c r="J245">
        <v>105950</v>
      </c>
      <c r="K245">
        <v>0.45</v>
      </c>
      <c r="L245">
        <v>0.45</v>
      </c>
      <c r="M245">
        <v>0.05</v>
      </c>
      <c r="N245">
        <v>0.4</v>
      </c>
      <c r="O245">
        <v>0</v>
      </c>
      <c r="P245" s="9">
        <v>46147.632025462961</v>
      </c>
    </row>
    <row r="246" spans="1:16" x14ac:dyDescent="0.25">
      <c r="A246" t="s">
        <v>7</v>
      </c>
      <c r="B246" s="4">
        <v>46147</v>
      </c>
      <c r="C246" t="s">
        <v>284</v>
      </c>
      <c r="D246">
        <v>26150</v>
      </c>
      <c r="E246" t="s">
        <v>42</v>
      </c>
      <c r="F246">
        <v>3028.15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3028.15</v>
      </c>
      <c r="O246">
        <v>2093.4</v>
      </c>
      <c r="P246" s="9">
        <v>25569.229166666668</v>
      </c>
    </row>
    <row r="247" spans="1:16" x14ac:dyDescent="0.25">
      <c r="A247" t="s">
        <v>7</v>
      </c>
      <c r="B247" s="4">
        <v>46147</v>
      </c>
      <c r="C247" t="s">
        <v>285</v>
      </c>
      <c r="D247">
        <v>26200</v>
      </c>
      <c r="E247" t="s">
        <v>40</v>
      </c>
      <c r="F247">
        <v>0.05</v>
      </c>
      <c r="G247">
        <v>1381445</v>
      </c>
      <c r="H247">
        <v>286130</v>
      </c>
      <c r="I247">
        <v>496730</v>
      </c>
      <c r="J247">
        <v>286130</v>
      </c>
      <c r="K247">
        <v>0.4</v>
      </c>
      <c r="L247">
        <v>0.45</v>
      </c>
      <c r="M247">
        <v>0.05</v>
      </c>
      <c r="N247">
        <v>0.5</v>
      </c>
      <c r="O247">
        <v>0</v>
      </c>
      <c r="P247" s="9">
        <v>46147.633240740739</v>
      </c>
    </row>
    <row r="248" spans="1:16" x14ac:dyDescent="0.25">
      <c r="A248" t="s">
        <v>7</v>
      </c>
      <c r="B248" s="4">
        <v>46147</v>
      </c>
      <c r="C248" t="s">
        <v>286</v>
      </c>
      <c r="D248">
        <v>26200</v>
      </c>
      <c r="E248" t="s">
        <v>42</v>
      </c>
      <c r="F248">
        <v>2250</v>
      </c>
      <c r="G248">
        <v>1625</v>
      </c>
      <c r="H248">
        <v>260</v>
      </c>
      <c r="I248">
        <v>325</v>
      </c>
      <c r="J248">
        <v>260</v>
      </c>
      <c r="K248">
        <v>2235.35</v>
      </c>
      <c r="L248">
        <v>2250</v>
      </c>
      <c r="M248">
        <v>2206.6999999999998</v>
      </c>
      <c r="N248">
        <v>2003</v>
      </c>
      <c r="O248">
        <v>1923.05</v>
      </c>
      <c r="P248" s="9">
        <v>46147.47148148148</v>
      </c>
    </row>
    <row r="249" spans="1:16" x14ac:dyDescent="0.25">
      <c r="A249" t="s">
        <v>7</v>
      </c>
      <c r="B249" s="4">
        <v>46147</v>
      </c>
      <c r="C249" t="s">
        <v>287</v>
      </c>
      <c r="D249">
        <v>26250</v>
      </c>
      <c r="E249" t="s">
        <v>40</v>
      </c>
      <c r="F249">
        <v>0.05</v>
      </c>
      <c r="G249">
        <v>363545</v>
      </c>
      <c r="H249">
        <v>123435</v>
      </c>
      <c r="I249">
        <v>141505</v>
      </c>
      <c r="J249">
        <v>120705</v>
      </c>
      <c r="K249">
        <v>0.6</v>
      </c>
      <c r="L249">
        <v>0.7</v>
      </c>
      <c r="M249">
        <v>0.05</v>
      </c>
      <c r="N249">
        <v>0.45</v>
      </c>
      <c r="O249">
        <v>0</v>
      </c>
      <c r="P249" s="9">
        <v>46147.632870370369</v>
      </c>
    </row>
    <row r="250" spans="1:16" x14ac:dyDescent="0.25">
      <c r="A250" t="s">
        <v>7</v>
      </c>
      <c r="B250" s="4">
        <v>46147</v>
      </c>
      <c r="C250" t="s">
        <v>288</v>
      </c>
      <c r="D250">
        <v>26250</v>
      </c>
      <c r="E250" t="s">
        <v>42</v>
      </c>
      <c r="F250">
        <v>3126.3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3126.3</v>
      </c>
      <c r="O250">
        <v>2185</v>
      </c>
      <c r="P250" s="9">
        <v>25569.229166666668</v>
      </c>
    </row>
    <row r="251" spans="1:16" x14ac:dyDescent="0.25">
      <c r="A251" t="s">
        <v>7</v>
      </c>
      <c r="B251" s="4">
        <v>46147</v>
      </c>
      <c r="C251" t="s">
        <v>289</v>
      </c>
      <c r="D251">
        <v>26300</v>
      </c>
      <c r="E251" t="s">
        <v>40</v>
      </c>
      <c r="F251">
        <v>0.05</v>
      </c>
      <c r="G251">
        <v>962975</v>
      </c>
      <c r="H251">
        <v>217230</v>
      </c>
      <c r="I251">
        <v>307385</v>
      </c>
      <c r="J251">
        <v>187525</v>
      </c>
      <c r="K251">
        <v>0.35</v>
      </c>
      <c r="L251">
        <v>0.35</v>
      </c>
      <c r="M251">
        <v>0.05</v>
      </c>
      <c r="N251">
        <v>0.4</v>
      </c>
      <c r="O251">
        <v>0</v>
      </c>
      <c r="P251" s="9">
        <v>46147.641770833332</v>
      </c>
    </row>
    <row r="252" spans="1:16" x14ac:dyDescent="0.25">
      <c r="A252" t="s">
        <v>7</v>
      </c>
      <c r="B252" s="4">
        <v>46147</v>
      </c>
      <c r="C252" t="s">
        <v>290</v>
      </c>
      <c r="D252">
        <v>26300</v>
      </c>
      <c r="E252" t="s">
        <v>42</v>
      </c>
      <c r="F252">
        <v>2130.0500000000002</v>
      </c>
      <c r="G252">
        <v>0</v>
      </c>
      <c r="H252">
        <v>65</v>
      </c>
      <c r="I252">
        <v>65</v>
      </c>
      <c r="J252">
        <v>65</v>
      </c>
      <c r="K252">
        <v>0</v>
      </c>
      <c r="L252">
        <v>0</v>
      </c>
      <c r="M252">
        <v>0</v>
      </c>
      <c r="N252">
        <v>2130.0500000000002</v>
      </c>
      <c r="O252">
        <v>2248.15</v>
      </c>
      <c r="P252" s="9">
        <v>46146.641342592593</v>
      </c>
    </row>
    <row r="253" spans="1:16" x14ac:dyDescent="0.25">
      <c r="A253" t="s">
        <v>7</v>
      </c>
      <c r="B253" s="4">
        <v>46147</v>
      </c>
      <c r="C253" t="s">
        <v>291</v>
      </c>
      <c r="D253">
        <v>26350</v>
      </c>
      <c r="E253" t="s">
        <v>40</v>
      </c>
      <c r="F253">
        <v>0.05</v>
      </c>
      <c r="G253">
        <v>325260</v>
      </c>
      <c r="H253">
        <v>113880</v>
      </c>
      <c r="I253">
        <v>135265</v>
      </c>
      <c r="J253">
        <v>90805</v>
      </c>
      <c r="K253">
        <v>0.35</v>
      </c>
      <c r="L253">
        <v>0.35</v>
      </c>
      <c r="M253">
        <v>0.05</v>
      </c>
      <c r="N253">
        <v>0.35</v>
      </c>
      <c r="O253">
        <v>0</v>
      </c>
      <c r="P253" s="9">
        <v>46147.637430555558</v>
      </c>
    </row>
    <row r="254" spans="1:16" x14ac:dyDescent="0.25">
      <c r="A254" t="s">
        <v>7</v>
      </c>
      <c r="B254" s="4">
        <v>46147</v>
      </c>
      <c r="C254" t="s">
        <v>292</v>
      </c>
      <c r="D254">
        <v>26350</v>
      </c>
      <c r="E254" t="s">
        <v>42</v>
      </c>
      <c r="F254">
        <v>2338.35</v>
      </c>
      <c r="G254">
        <v>520</v>
      </c>
      <c r="H254">
        <v>520</v>
      </c>
      <c r="I254">
        <v>520</v>
      </c>
      <c r="J254">
        <v>520</v>
      </c>
      <c r="K254">
        <v>2338.35</v>
      </c>
      <c r="L254">
        <v>2338.35</v>
      </c>
      <c r="M254">
        <v>2338.35</v>
      </c>
      <c r="N254">
        <v>2329.15</v>
      </c>
      <c r="O254">
        <v>2105.0500000000002</v>
      </c>
      <c r="P254" s="9">
        <v>46147.637430555558</v>
      </c>
    </row>
    <row r="255" spans="1:16" x14ac:dyDescent="0.25">
      <c r="A255" t="s">
        <v>7</v>
      </c>
      <c r="B255" s="4">
        <v>46147</v>
      </c>
      <c r="C255" t="s">
        <v>293</v>
      </c>
      <c r="D255">
        <v>26400</v>
      </c>
      <c r="E255" t="s">
        <v>40</v>
      </c>
      <c r="F255">
        <v>0.05</v>
      </c>
      <c r="G255">
        <v>919165</v>
      </c>
      <c r="H255">
        <v>276705</v>
      </c>
      <c r="I255">
        <v>276705</v>
      </c>
      <c r="J255">
        <v>194935</v>
      </c>
      <c r="K255">
        <v>0.35</v>
      </c>
      <c r="L255">
        <v>0.4</v>
      </c>
      <c r="M255">
        <v>0.05</v>
      </c>
      <c r="N255">
        <v>0.35</v>
      </c>
      <c r="O255">
        <v>0</v>
      </c>
      <c r="P255" s="9">
        <v>46147.636342592596</v>
      </c>
    </row>
    <row r="256" spans="1:16" x14ac:dyDescent="0.25">
      <c r="A256" t="s">
        <v>7</v>
      </c>
      <c r="B256" s="4">
        <v>46147</v>
      </c>
      <c r="C256" t="s">
        <v>294</v>
      </c>
      <c r="D256">
        <v>26400</v>
      </c>
      <c r="E256" t="s">
        <v>42</v>
      </c>
      <c r="F256">
        <v>2389.75</v>
      </c>
      <c r="G256">
        <v>65</v>
      </c>
      <c r="H256">
        <v>65</v>
      </c>
      <c r="I256">
        <v>65</v>
      </c>
      <c r="J256">
        <v>65</v>
      </c>
      <c r="K256">
        <v>2389.75</v>
      </c>
      <c r="L256">
        <v>2389.75</v>
      </c>
      <c r="M256">
        <v>2389.75</v>
      </c>
      <c r="N256">
        <v>2356.65</v>
      </c>
      <c r="O256">
        <v>2347.5500000000002</v>
      </c>
      <c r="P256" s="9">
        <v>46147.636342592596</v>
      </c>
    </row>
    <row r="257" spans="1:16" x14ac:dyDescent="0.25">
      <c r="A257" t="s">
        <v>7</v>
      </c>
      <c r="B257" s="4">
        <v>46147</v>
      </c>
      <c r="C257" t="s">
        <v>295</v>
      </c>
      <c r="D257">
        <v>26450</v>
      </c>
      <c r="E257" t="s">
        <v>40</v>
      </c>
      <c r="F257">
        <v>0.05</v>
      </c>
      <c r="G257">
        <v>497965</v>
      </c>
      <c r="H257">
        <v>149760</v>
      </c>
      <c r="I257">
        <v>149760</v>
      </c>
      <c r="J257">
        <v>92300</v>
      </c>
      <c r="K257">
        <v>0.35</v>
      </c>
      <c r="L257">
        <v>0.35</v>
      </c>
      <c r="M257">
        <v>0.05</v>
      </c>
      <c r="N257">
        <v>0.35</v>
      </c>
      <c r="O257">
        <v>0</v>
      </c>
      <c r="P257" s="9">
        <v>46147.629189814812</v>
      </c>
    </row>
    <row r="258" spans="1:16" x14ac:dyDescent="0.25">
      <c r="A258" t="s">
        <v>7</v>
      </c>
      <c r="B258" s="4">
        <v>46147</v>
      </c>
      <c r="C258" t="s">
        <v>296</v>
      </c>
      <c r="D258">
        <v>26450</v>
      </c>
      <c r="E258" t="s">
        <v>42</v>
      </c>
      <c r="F258">
        <v>3323.05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3323.05</v>
      </c>
      <c r="O258">
        <v>2381.4</v>
      </c>
      <c r="P258" s="9">
        <v>25569.229166666668</v>
      </c>
    </row>
    <row r="259" spans="1:16" x14ac:dyDescent="0.25">
      <c r="A259" t="s">
        <v>7</v>
      </c>
      <c r="B259" s="4">
        <v>46147</v>
      </c>
      <c r="C259" t="s">
        <v>297</v>
      </c>
      <c r="D259">
        <v>26500</v>
      </c>
      <c r="E259" t="s">
        <v>40</v>
      </c>
      <c r="F259">
        <v>0.05</v>
      </c>
      <c r="G259">
        <v>2392585</v>
      </c>
      <c r="H259">
        <v>549120</v>
      </c>
      <c r="I259">
        <v>978835</v>
      </c>
      <c r="J259">
        <v>547300</v>
      </c>
      <c r="K259">
        <v>0.25</v>
      </c>
      <c r="L259">
        <v>0.3</v>
      </c>
      <c r="M259">
        <v>0.05</v>
      </c>
      <c r="N259">
        <v>0.3</v>
      </c>
      <c r="O259">
        <v>0</v>
      </c>
      <c r="P259" s="9">
        <v>46147.643310185187</v>
      </c>
    </row>
    <row r="260" spans="1:16" x14ac:dyDescent="0.25">
      <c r="A260" t="s">
        <v>7</v>
      </c>
      <c r="B260" s="4">
        <v>46147</v>
      </c>
      <c r="C260" t="s">
        <v>298</v>
      </c>
      <c r="D260">
        <v>26500</v>
      </c>
      <c r="E260" t="s">
        <v>42</v>
      </c>
      <c r="F260">
        <v>2470.8000000000002</v>
      </c>
      <c r="G260">
        <v>12155</v>
      </c>
      <c r="H260">
        <v>6240</v>
      </c>
      <c r="I260">
        <v>11375</v>
      </c>
      <c r="J260">
        <v>6240</v>
      </c>
      <c r="K260">
        <v>2490</v>
      </c>
      <c r="L260">
        <v>2595</v>
      </c>
      <c r="M260">
        <v>2437.1999999999998</v>
      </c>
      <c r="N260">
        <v>2330</v>
      </c>
      <c r="O260">
        <v>2465.5</v>
      </c>
      <c r="P260" s="9">
        <v>46147.638912037037</v>
      </c>
    </row>
    <row r="261" spans="1:16" x14ac:dyDescent="0.25">
      <c r="A261" t="s">
        <v>7</v>
      </c>
      <c r="B261" s="4">
        <v>46147</v>
      </c>
      <c r="C261" t="s">
        <v>299</v>
      </c>
      <c r="D261">
        <v>26550</v>
      </c>
      <c r="E261" t="s">
        <v>40</v>
      </c>
      <c r="F261">
        <v>0.05</v>
      </c>
      <c r="G261">
        <v>1192620</v>
      </c>
      <c r="H261">
        <v>360360</v>
      </c>
      <c r="I261">
        <v>380770</v>
      </c>
      <c r="J261">
        <v>280865</v>
      </c>
      <c r="K261">
        <v>0.4</v>
      </c>
      <c r="L261">
        <v>0.4</v>
      </c>
      <c r="M261">
        <v>0.05</v>
      </c>
      <c r="N261">
        <v>0.35</v>
      </c>
      <c r="O261">
        <v>0</v>
      </c>
      <c r="P261" s="9">
        <v>46147.633414351854</v>
      </c>
    </row>
    <row r="262" spans="1:16" x14ac:dyDescent="0.25">
      <c r="A262" t="s">
        <v>7</v>
      </c>
      <c r="B262" s="4">
        <v>46147</v>
      </c>
      <c r="C262" t="s">
        <v>300</v>
      </c>
      <c r="D262">
        <v>26550</v>
      </c>
      <c r="E262" t="s">
        <v>42</v>
      </c>
      <c r="F262">
        <v>3421.65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3421.65</v>
      </c>
      <c r="O262">
        <v>2256</v>
      </c>
      <c r="P262" s="9">
        <v>25569.229166666668</v>
      </c>
    </row>
    <row r="263" spans="1:16" hidden="1" x14ac:dyDescent="0.25">
      <c r="A263" t="s">
        <v>8</v>
      </c>
      <c r="B263" s="4">
        <v>46168</v>
      </c>
      <c r="C263" t="s">
        <v>301</v>
      </c>
      <c r="F263">
        <v>54547.05</v>
      </c>
      <c r="K263">
        <v>54691.3</v>
      </c>
      <c r="L263">
        <v>54888.55</v>
      </c>
      <c r="M263">
        <v>54221.65</v>
      </c>
      <c r="N263">
        <v>54878.5</v>
      </c>
    </row>
    <row r="264" spans="1:16" hidden="1" x14ac:dyDescent="0.25">
      <c r="A264" t="s">
        <v>8</v>
      </c>
      <c r="B264" s="4">
        <v>46168</v>
      </c>
      <c r="C264" t="s">
        <v>302</v>
      </c>
      <c r="D264">
        <v>43000</v>
      </c>
      <c r="E264" t="s">
        <v>40</v>
      </c>
      <c r="F264">
        <v>8000</v>
      </c>
      <c r="G264">
        <v>0</v>
      </c>
      <c r="H264">
        <v>30</v>
      </c>
      <c r="I264">
        <v>30</v>
      </c>
      <c r="J264">
        <v>30</v>
      </c>
      <c r="K264">
        <v>0</v>
      </c>
      <c r="L264">
        <v>0</v>
      </c>
      <c r="M264">
        <v>0</v>
      </c>
      <c r="N264">
        <v>8000</v>
      </c>
      <c r="O264">
        <v>10917.5</v>
      </c>
      <c r="P264" s="9">
        <v>46114.39775462963</v>
      </c>
    </row>
    <row r="265" spans="1:16" hidden="1" x14ac:dyDescent="0.25">
      <c r="A265" t="s">
        <v>8</v>
      </c>
      <c r="B265" s="4">
        <v>46168</v>
      </c>
      <c r="C265" t="s">
        <v>303</v>
      </c>
      <c r="D265">
        <v>43000</v>
      </c>
      <c r="E265" t="s">
        <v>42</v>
      </c>
      <c r="F265">
        <v>6.4</v>
      </c>
      <c r="G265">
        <v>60420</v>
      </c>
      <c r="H265">
        <v>88980</v>
      </c>
      <c r="I265">
        <v>97470</v>
      </c>
      <c r="J265">
        <v>86970</v>
      </c>
      <c r="K265">
        <v>6.55</v>
      </c>
      <c r="L265">
        <v>8.8000000000000007</v>
      </c>
      <c r="M265">
        <v>6.25</v>
      </c>
      <c r="N265">
        <v>7.05</v>
      </c>
      <c r="O265">
        <v>6.4</v>
      </c>
      <c r="P265" s="9">
        <v>46147.645590277774</v>
      </c>
    </row>
    <row r="266" spans="1:16" hidden="1" x14ac:dyDescent="0.25">
      <c r="A266" t="s">
        <v>8</v>
      </c>
      <c r="B266" s="4">
        <v>46168</v>
      </c>
      <c r="C266" t="s">
        <v>304</v>
      </c>
      <c r="D266">
        <v>43500</v>
      </c>
      <c r="E266" t="s">
        <v>40</v>
      </c>
      <c r="F266">
        <v>18263.650000000001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18263.650000000001</v>
      </c>
      <c r="O266">
        <v>10304.85</v>
      </c>
      <c r="P266" s="9">
        <v>25569.229166666668</v>
      </c>
    </row>
    <row r="267" spans="1:16" hidden="1" x14ac:dyDescent="0.25">
      <c r="A267" t="s">
        <v>8</v>
      </c>
      <c r="B267" s="4">
        <v>46168</v>
      </c>
      <c r="C267" t="s">
        <v>305</v>
      </c>
      <c r="D267">
        <v>43500</v>
      </c>
      <c r="E267" t="s">
        <v>42</v>
      </c>
      <c r="F267">
        <v>6.45</v>
      </c>
      <c r="G267">
        <v>17910</v>
      </c>
      <c r="H267">
        <v>20340</v>
      </c>
      <c r="I267">
        <v>20580</v>
      </c>
      <c r="J267">
        <v>20190</v>
      </c>
      <c r="K267">
        <v>7.1</v>
      </c>
      <c r="L267">
        <v>8.6</v>
      </c>
      <c r="M267">
        <v>5.85</v>
      </c>
      <c r="N267">
        <v>7.35</v>
      </c>
      <c r="O267">
        <v>6.2</v>
      </c>
      <c r="P267" s="9">
        <v>46147.645219907405</v>
      </c>
    </row>
    <row r="268" spans="1:16" hidden="1" x14ac:dyDescent="0.25">
      <c r="A268" t="s">
        <v>8</v>
      </c>
      <c r="B268" s="4">
        <v>46168</v>
      </c>
      <c r="C268" t="s">
        <v>306</v>
      </c>
      <c r="D268">
        <v>44000</v>
      </c>
      <c r="E268" t="s">
        <v>40</v>
      </c>
      <c r="F268">
        <v>12162</v>
      </c>
      <c r="G268">
        <v>0</v>
      </c>
      <c r="H268">
        <v>1290</v>
      </c>
      <c r="I268">
        <v>1290</v>
      </c>
      <c r="J268">
        <v>1290</v>
      </c>
      <c r="K268">
        <v>0</v>
      </c>
      <c r="L268">
        <v>0</v>
      </c>
      <c r="M268">
        <v>0</v>
      </c>
      <c r="N268">
        <v>12162</v>
      </c>
      <c r="O268">
        <v>9854.5499999999993</v>
      </c>
      <c r="P268" s="9">
        <v>46141.436493055553</v>
      </c>
    </row>
    <row r="269" spans="1:16" hidden="1" x14ac:dyDescent="0.25">
      <c r="A269" t="s">
        <v>8</v>
      </c>
      <c r="B269" s="4">
        <v>46168</v>
      </c>
      <c r="C269" t="s">
        <v>307</v>
      </c>
      <c r="D269">
        <v>44000</v>
      </c>
      <c r="E269" t="s">
        <v>42</v>
      </c>
      <c r="F269">
        <v>7.1</v>
      </c>
      <c r="G269">
        <v>24360</v>
      </c>
      <c r="H269">
        <v>90000</v>
      </c>
      <c r="I269">
        <v>90330</v>
      </c>
      <c r="J269">
        <v>86520</v>
      </c>
      <c r="K269">
        <v>7.25</v>
      </c>
      <c r="L269">
        <v>10.25</v>
      </c>
      <c r="M269">
        <v>7.1</v>
      </c>
      <c r="N269">
        <v>8.0500000000000007</v>
      </c>
      <c r="O269">
        <v>7.05</v>
      </c>
      <c r="P269" s="9">
        <v>46147.645555555559</v>
      </c>
    </row>
    <row r="270" spans="1:16" hidden="1" x14ac:dyDescent="0.25">
      <c r="A270" t="s">
        <v>8</v>
      </c>
      <c r="B270" s="4">
        <v>46168</v>
      </c>
      <c r="C270" t="s">
        <v>308</v>
      </c>
      <c r="D270">
        <v>44500</v>
      </c>
      <c r="E270" t="s">
        <v>40</v>
      </c>
      <c r="F270">
        <v>17280.099999999999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17280.099999999999</v>
      </c>
      <c r="O270">
        <v>9388.25</v>
      </c>
      <c r="P270" s="9">
        <v>25569.229166666668</v>
      </c>
    </row>
    <row r="271" spans="1:16" hidden="1" x14ac:dyDescent="0.25">
      <c r="A271" t="s">
        <v>8</v>
      </c>
      <c r="B271" s="4">
        <v>46168</v>
      </c>
      <c r="C271" t="s">
        <v>309</v>
      </c>
      <c r="D271">
        <v>44500</v>
      </c>
      <c r="E271" t="s">
        <v>42</v>
      </c>
      <c r="F271">
        <v>7.75</v>
      </c>
      <c r="G271">
        <v>2820</v>
      </c>
      <c r="H271">
        <v>6870</v>
      </c>
      <c r="I271">
        <v>6870</v>
      </c>
      <c r="J271">
        <v>6630</v>
      </c>
      <c r="K271">
        <v>8</v>
      </c>
      <c r="L271">
        <v>9.5</v>
      </c>
      <c r="M271">
        <v>7.75</v>
      </c>
      <c r="N271">
        <v>8.5500000000000007</v>
      </c>
      <c r="O271">
        <v>7.75</v>
      </c>
      <c r="P271" s="9">
        <v>46147.6409375</v>
      </c>
    </row>
    <row r="272" spans="1:16" hidden="1" x14ac:dyDescent="0.25">
      <c r="A272" t="s">
        <v>8</v>
      </c>
      <c r="B272" s="4">
        <v>46168</v>
      </c>
      <c r="C272" t="s">
        <v>310</v>
      </c>
      <c r="D272">
        <v>45000</v>
      </c>
      <c r="E272" t="s">
        <v>40</v>
      </c>
      <c r="F272">
        <v>16788.349999999999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16788.349999999999</v>
      </c>
      <c r="O272">
        <v>8929.4</v>
      </c>
      <c r="P272" s="9">
        <v>25569.229166666668</v>
      </c>
    </row>
    <row r="273" spans="1:16" hidden="1" x14ac:dyDescent="0.25">
      <c r="A273" t="s">
        <v>8</v>
      </c>
      <c r="B273" s="4">
        <v>46168</v>
      </c>
      <c r="C273" t="s">
        <v>311</v>
      </c>
      <c r="D273">
        <v>45000</v>
      </c>
      <c r="E273" t="s">
        <v>42</v>
      </c>
      <c r="F273">
        <v>8.1</v>
      </c>
      <c r="G273">
        <v>72450</v>
      </c>
      <c r="H273">
        <v>105540</v>
      </c>
      <c r="I273">
        <v>106680</v>
      </c>
      <c r="J273">
        <v>103830</v>
      </c>
      <c r="K273">
        <v>9.0500000000000007</v>
      </c>
      <c r="L273">
        <v>11</v>
      </c>
      <c r="M273">
        <v>8.1</v>
      </c>
      <c r="N273">
        <v>8.9</v>
      </c>
      <c r="O273">
        <v>8.1</v>
      </c>
      <c r="P273" s="9">
        <v>46147.645497685182</v>
      </c>
    </row>
    <row r="274" spans="1:16" hidden="1" x14ac:dyDescent="0.25">
      <c r="A274" t="s">
        <v>8</v>
      </c>
      <c r="B274" s="4">
        <v>46168</v>
      </c>
      <c r="C274" t="s">
        <v>312</v>
      </c>
      <c r="D274">
        <v>45300</v>
      </c>
      <c r="E274" t="s">
        <v>40</v>
      </c>
      <c r="F274">
        <v>15239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15239</v>
      </c>
      <c r="O274">
        <v>8685.85</v>
      </c>
      <c r="P274" s="9">
        <v>25569.229166666668</v>
      </c>
    </row>
    <row r="275" spans="1:16" hidden="1" x14ac:dyDescent="0.25">
      <c r="A275" t="s">
        <v>8</v>
      </c>
      <c r="B275" s="4">
        <v>46168</v>
      </c>
      <c r="C275" t="s">
        <v>313</v>
      </c>
      <c r="D275">
        <v>45300</v>
      </c>
      <c r="E275" t="s">
        <v>42</v>
      </c>
      <c r="F275">
        <v>8.75</v>
      </c>
      <c r="G275">
        <v>5490</v>
      </c>
      <c r="H275">
        <v>3000</v>
      </c>
      <c r="I275">
        <v>3030</v>
      </c>
      <c r="J275">
        <v>870</v>
      </c>
      <c r="K275">
        <v>9</v>
      </c>
      <c r="L275">
        <v>12.5</v>
      </c>
      <c r="M275">
        <v>7.7</v>
      </c>
      <c r="N275">
        <v>9.4499999999999993</v>
      </c>
      <c r="O275">
        <v>8.75</v>
      </c>
      <c r="P275" s="9">
        <v>46147.643599537034</v>
      </c>
    </row>
    <row r="276" spans="1:16" hidden="1" x14ac:dyDescent="0.25">
      <c r="A276" t="s">
        <v>8</v>
      </c>
      <c r="B276" s="4">
        <v>46168</v>
      </c>
      <c r="C276" t="s">
        <v>314</v>
      </c>
      <c r="D276">
        <v>45400</v>
      </c>
      <c r="E276" t="s">
        <v>40</v>
      </c>
      <c r="F276">
        <v>15140.55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15140.55</v>
      </c>
      <c r="O276">
        <v>8604.15</v>
      </c>
      <c r="P276" s="9">
        <v>25569.229166666668</v>
      </c>
    </row>
    <row r="277" spans="1:16" hidden="1" x14ac:dyDescent="0.25">
      <c r="A277" t="s">
        <v>8</v>
      </c>
      <c r="B277" s="4">
        <v>46168</v>
      </c>
      <c r="C277" t="s">
        <v>315</v>
      </c>
      <c r="D277">
        <v>45400</v>
      </c>
      <c r="E277" t="s">
        <v>42</v>
      </c>
      <c r="F277">
        <v>12.4</v>
      </c>
      <c r="G277">
        <v>2580</v>
      </c>
      <c r="H277">
        <v>4830</v>
      </c>
      <c r="I277">
        <v>5040</v>
      </c>
      <c r="J277">
        <v>4800</v>
      </c>
      <c r="K277">
        <v>13.8</v>
      </c>
      <c r="L277">
        <v>13.8</v>
      </c>
      <c r="M277">
        <v>8.6</v>
      </c>
      <c r="N277">
        <v>11.35</v>
      </c>
      <c r="O277">
        <v>9.75</v>
      </c>
      <c r="P277" s="9">
        <v>46147.642812500002</v>
      </c>
    </row>
    <row r="278" spans="1:16" hidden="1" x14ac:dyDescent="0.25">
      <c r="A278" t="s">
        <v>8</v>
      </c>
      <c r="B278" s="4">
        <v>46168</v>
      </c>
      <c r="C278" t="s">
        <v>316</v>
      </c>
      <c r="D278">
        <v>45500</v>
      </c>
      <c r="E278" t="s">
        <v>40</v>
      </c>
      <c r="F278">
        <v>16296.6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16296.6</v>
      </c>
      <c r="O278">
        <v>8484</v>
      </c>
      <c r="P278" s="9">
        <v>25569.229166666668</v>
      </c>
    </row>
    <row r="279" spans="1:16" hidden="1" x14ac:dyDescent="0.25">
      <c r="A279" t="s">
        <v>8</v>
      </c>
      <c r="B279" s="4">
        <v>46168</v>
      </c>
      <c r="C279" t="s">
        <v>317</v>
      </c>
      <c r="D279">
        <v>45500</v>
      </c>
      <c r="E279" t="s">
        <v>42</v>
      </c>
      <c r="F279">
        <v>10.5</v>
      </c>
      <c r="G279">
        <v>4170</v>
      </c>
      <c r="H279">
        <v>4560</v>
      </c>
      <c r="I279">
        <v>4560</v>
      </c>
      <c r="J279">
        <v>3180</v>
      </c>
      <c r="K279">
        <v>9.5</v>
      </c>
      <c r="L279">
        <v>13.75</v>
      </c>
      <c r="M279">
        <v>9.5</v>
      </c>
      <c r="N279">
        <v>11.05</v>
      </c>
      <c r="O279">
        <v>9.5</v>
      </c>
      <c r="P279" s="9">
        <v>46147.641562500001</v>
      </c>
    </row>
    <row r="280" spans="1:16" hidden="1" x14ac:dyDescent="0.25">
      <c r="A280" t="s">
        <v>8</v>
      </c>
      <c r="B280" s="4">
        <v>46168</v>
      </c>
      <c r="C280" t="s">
        <v>318</v>
      </c>
      <c r="D280">
        <v>45600</v>
      </c>
      <c r="E280" t="s">
        <v>40</v>
      </c>
      <c r="F280">
        <v>15647.5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15647.5</v>
      </c>
      <c r="O280">
        <v>8415.4</v>
      </c>
      <c r="P280" s="9">
        <v>25569.229166666668</v>
      </c>
    </row>
    <row r="281" spans="1:16" hidden="1" x14ac:dyDescent="0.25">
      <c r="A281" t="s">
        <v>8</v>
      </c>
      <c r="B281" s="4">
        <v>46168</v>
      </c>
      <c r="C281" t="s">
        <v>319</v>
      </c>
      <c r="D281">
        <v>45600</v>
      </c>
      <c r="E281" t="s">
        <v>42</v>
      </c>
      <c r="F281">
        <v>13.2</v>
      </c>
      <c r="G281">
        <v>150</v>
      </c>
      <c r="H281">
        <v>810</v>
      </c>
      <c r="I281">
        <v>810</v>
      </c>
      <c r="J281">
        <v>750</v>
      </c>
      <c r="K281">
        <v>12</v>
      </c>
      <c r="L281">
        <v>13.2</v>
      </c>
      <c r="M281">
        <v>12</v>
      </c>
      <c r="N281">
        <v>12</v>
      </c>
      <c r="O281">
        <v>9.3000000000000007</v>
      </c>
      <c r="P281" s="9">
        <v>46147.539398148147</v>
      </c>
    </row>
    <row r="282" spans="1:16" hidden="1" x14ac:dyDescent="0.25">
      <c r="A282" t="s">
        <v>8</v>
      </c>
      <c r="B282" s="4">
        <v>46168</v>
      </c>
      <c r="C282" t="s">
        <v>320</v>
      </c>
      <c r="D282">
        <v>45700</v>
      </c>
      <c r="E282" t="s">
        <v>40</v>
      </c>
      <c r="F282">
        <v>15549.05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15549.05</v>
      </c>
      <c r="O282">
        <v>8318</v>
      </c>
      <c r="P282" s="9">
        <v>25569.229166666668</v>
      </c>
    </row>
    <row r="283" spans="1:16" hidden="1" x14ac:dyDescent="0.25">
      <c r="A283" t="s">
        <v>8</v>
      </c>
      <c r="B283" s="4">
        <v>46168</v>
      </c>
      <c r="C283" t="s">
        <v>321</v>
      </c>
      <c r="D283">
        <v>45700</v>
      </c>
      <c r="E283" t="s">
        <v>42</v>
      </c>
      <c r="F283">
        <v>14.85</v>
      </c>
      <c r="G283">
        <v>360</v>
      </c>
      <c r="H283">
        <v>480</v>
      </c>
      <c r="I283">
        <v>570</v>
      </c>
      <c r="J283">
        <v>420</v>
      </c>
      <c r="K283">
        <v>8</v>
      </c>
      <c r="L283">
        <v>16.95</v>
      </c>
      <c r="M283">
        <v>8</v>
      </c>
      <c r="N283">
        <v>11.65</v>
      </c>
      <c r="O283">
        <v>9.75</v>
      </c>
      <c r="P283" s="9">
        <v>46147.635601851849</v>
      </c>
    </row>
    <row r="284" spans="1:16" hidden="1" x14ac:dyDescent="0.25">
      <c r="A284" t="s">
        <v>8</v>
      </c>
      <c r="B284" s="4">
        <v>46168</v>
      </c>
      <c r="C284" t="s">
        <v>322</v>
      </c>
      <c r="D284">
        <v>45800</v>
      </c>
      <c r="E284" t="s">
        <v>40</v>
      </c>
      <c r="F284">
        <v>15450.65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15450.65</v>
      </c>
      <c r="O284">
        <v>8227.5499999999993</v>
      </c>
      <c r="P284" s="9">
        <v>25569.229166666668</v>
      </c>
    </row>
    <row r="285" spans="1:16" hidden="1" x14ac:dyDescent="0.25">
      <c r="A285" t="s">
        <v>8</v>
      </c>
      <c r="B285" s="4">
        <v>46168</v>
      </c>
      <c r="C285" t="s">
        <v>323</v>
      </c>
      <c r="D285">
        <v>45800</v>
      </c>
      <c r="E285" t="s">
        <v>42</v>
      </c>
      <c r="F285">
        <v>12</v>
      </c>
      <c r="G285">
        <v>1500</v>
      </c>
      <c r="H285">
        <v>2070</v>
      </c>
      <c r="I285">
        <v>2100</v>
      </c>
      <c r="J285">
        <v>1800</v>
      </c>
      <c r="K285">
        <v>13.4</v>
      </c>
      <c r="L285">
        <v>16.600000000000001</v>
      </c>
      <c r="M285">
        <v>10.1</v>
      </c>
      <c r="N285">
        <v>12.65</v>
      </c>
      <c r="O285">
        <v>9.6999999999999993</v>
      </c>
      <c r="P285" s="9">
        <v>46147.644490740742</v>
      </c>
    </row>
    <row r="286" spans="1:16" hidden="1" x14ac:dyDescent="0.25">
      <c r="A286" t="s">
        <v>8</v>
      </c>
      <c r="B286" s="4">
        <v>46168</v>
      </c>
      <c r="C286" t="s">
        <v>324</v>
      </c>
      <c r="D286">
        <v>45900</v>
      </c>
      <c r="E286" t="s">
        <v>40</v>
      </c>
      <c r="F286">
        <v>15352.25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15352.25</v>
      </c>
      <c r="O286">
        <v>8134</v>
      </c>
      <c r="P286" s="9">
        <v>25569.229166666668</v>
      </c>
    </row>
    <row r="287" spans="1:16" hidden="1" x14ac:dyDescent="0.25">
      <c r="A287" t="s">
        <v>8</v>
      </c>
      <c r="B287" s="4">
        <v>46168</v>
      </c>
      <c r="C287" t="s">
        <v>325</v>
      </c>
      <c r="D287">
        <v>45900</v>
      </c>
      <c r="E287" t="s">
        <v>42</v>
      </c>
      <c r="F287">
        <v>12.5</v>
      </c>
      <c r="G287">
        <v>180</v>
      </c>
      <c r="H287">
        <v>1290</v>
      </c>
      <c r="I287">
        <v>1290</v>
      </c>
      <c r="J287">
        <v>1290</v>
      </c>
      <c r="K287">
        <v>10.15</v>
      </c>
      <c r="L287">
        <v>12.5</v>
      </c>
      <c r="M287">
        <v>10.15</v>
      </c>
      <c r="N287">
        <v>12.35</v>
      </c>
      <c r="O287">
        <v>10.6</v>
      </c>
      <c r="P287" s="9">
        <v>46147.636157407411</v>
      </c>
    </row>
    <row r="288" spans="1:16" hidden="1" x14ac:dyDescent="0.25">
      <c r="A288" t="s">
        <v>8</v>
      </c>
      <c r="B288" s="4">
        <v>46168</v>
      </c>
      <c r="C288" t="s">
        <v>326</v>
      </c>
      <c r="D288">
        <v>46000</v>
      </c>
      <c r="E288" t="s">
        <v>40</v>
      </c>
      <c r="F288">
        <v>8721.7999999999993</v>
      </c>
      <c r="G288">
        <v>60</v>
      </c>
      <c r="H288">
        <v>25260</v>
      </c>
      <c r="I288">
        <v>25260</v>
      </c>
      <c r="J288">
        <v>25260</v>
      </c>
      <c r="K288">
        <v>8673.35</v>
      </c>
      <c r="L288">
        <v>8721.7999999999993</v>
      </c>
      <c r="M288">
        <v>8673.35</v>
      </c>
      <c r="N288">
        <v>9080.75</v>
      </c>
      <c r="O288">
        <v>8645.4500000000007</v>
      </c>
      <c r="P288" s="9">
        <v>46147.634583333333</v>
      </c>
    </row>
    <row r="289" spans="1:16" hidden="1" x14ac:dyDescent="0.25">
      <c r="A289" t="s">
        <v>8</v>
      </c>
      <c r="B289" s="4">
        <v>46168</v>
      </c>
      <c r="C289" t="s">
        <v>327</v>
      </c>
      <c r="D289">
        <v>46000</v>
      </c>
      <c r="E289" t="s">
        <v>42</v>
      </c>
      <c r="F289">
        <v>11.55</v>
      </c>
      <c r="G289">
        <v>30630</v>
      </c>
      <c r="H289">
        <v>52440</v>
      </c>
      <c r="I289">
        <v>53070</v>
      </c>
      <c r="J289">
        <v>51210</v>
      </c>
      <c r="K289">
        <v>17.649999999999999</v>
      </c>
      <c r="L289">
        <v>17.649999999999999</v>
      </c>
      <c r="M289">
        <v>11.55</v>
      </c>
      <c r="N289">
        <v>12.55</v>
      </c>
      <c r="O289">
        <v>11.55</v>
      </c>
      <c r="P289" s="9">
        <v>46147.645798611113</v>
      </c>
    </row>
    <row r="290" spans="1:16" hidden="1" x14ac:dyDescent="0.25">
      <c r="A290" t="s">
        <v>8</v>
      </c>
      <c r="B290" s="4">
        <v>46168</v>
      </c>
      <c r="C290" t="s">
        <v>328</v>
      </c>
      <c r="D290">
        <v>46100</v>
      </c>
      <c r="E290" t="s">
        <v>40</v>
      </c>
      <c r="F290">
        <v>15706.55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15706.55</v>
      </c>
      <c r="O290">
        <v>7947.05</v>
      </c>
      <c r="P290" s="9">
        <v>25569.229166666668</v>
      </c>
    </row>
    <row r="291" spans="1:16" hidden="1" x14ac:dyDescent="0.25">
      <c r="A291" t="s">
        <v>8</v>
      </c>
      <c r="B291" s="4">
        <v>46168</v>
      </c>
      <c r="C291" t="s">
        <v>329</v>
      </c>
      <c r="D291">
        <v>46100</v>
      </c>
      <c r="E291" t="s">
        <v>42</v>
      </c>
      <c r="F291">
        <v>16.8</v>
      </c>
      <c r="G291">
        <v>420</v>
      </c>
      <c r="H291">
        <v>1410</v>
      </c>
      <c r="I291">
        <v>1410</v>
      </c>
      <c r="J291">
        <v>1260</v>
      </c>
      <c r="K291">
        <v>15.2</v>
      </c>
      <c r="L291">
        <v>19.45</v>
      </c>
      <c r="M291">
        <v>10.8</v>
      </c>
      <c r="N291">
        <v>16.05</v>
      </c>
      <c r="O291">
        <v>11.75</v>
      </c>
      <c r="P291" s="9">
        <v>46147.64135416667</v>
      </c>
    </row>
    <row r="292" spans="1:16" hidden="1" x14ac:dyDescent="0.25">
      <c r="A292" t="s">
        <v>8</v>
      </c>
      <c r="B292" s="4">
        <v>46168</v>
      </c>
      <c r="C292" t="s">
        <v>330</v>
      </c>
      <c r="D292">
        <v>46200</v>
      </c>
      <c r="E292" t="s">
        <v>40</v>
      </c>
      <c r="F292">
        <v>15608.2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15608.2</v>
      </c>
      <c r="O292">
        <v>7847.3</v>
      </c>
      <c r="P292" s="9">
        <v>25569.229166666668</v>
      </c>
    </row>
    <row r="293" spans="1:16" hidden="1" x14ac:dyDescent="0.25">
      <c r="A293" t="s">
        <v>8</v>
      </c>
      <c r="B293" s="4">
        <v>46168</v>
      </c>
      <c r="C293" t="s">
        <v>331</v>
      </c>
      <c r="D293">
        <v>46200</v>
      </c>
      <c r="E293" t="s">
        <v>42</v>
      </c>
      <c r="F293">
        <v>13</v>
      </c>
      <c r="G293">
        <v>0</v>
      </c>
      <c r="H293">
        <v>1200</v>
      </c>
      <c r="I293">
        <v>1200</v>
      </c>
      <c r="J293">
        <v>1200</v>
      </c>
      <c r="K293">
        <v>0</v>
      </c>
      <c r="L293">
        <v>0</v>
      </c>
      <c r="M293">
        <v>0</v>
      </c>
      <c r="N293">
        <v>13</v>
      </c>
      <c r="O293">
        <v>10.65</v>
      </c>
      <c r="P293" s="9">
        <v>46146.645740740743</v>
      </c>
    </row>
    <row r="294" spans="1:16" hidden="1" x14ac:dyDescent="0.25">
      <c r="A294" t="s">
        <v>8</v>
      </c>
      <c r="B294" s="4">
        <v>46168</v>
      </c>
      <c r="C294" t="s">
        <v>332</v>
      </c>
      <c r="D294">
        <v>46300</v>
      </c>
      <c r="E294" t="s">
        <v>40</v>
      </c>
      <c r="F294">
        <v>15509.85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15509.85</v>
      </c>
      <c r="O294">
        <v>7760.75</v>
      </c>
      <c r="P294" s="9">
        <v>25569.229166666668</v>
      </c>
    </row>
    <row r="295" spans="1:16" hidden="1" x14ac:dyDescent="0.25">
      <c r="A295" t="s">
        <v>8</v>
      </c>
      <c r="B295" s="4">
        <v>46168</v>
      </c>
      <c r="C295" t="s">
        <v>333</v>
      </c>
      <c r="D295">
        <v>46300</v>
      </c>
      <c r="E295" t="s">
        <v>42</v>
      </c>
      <c r="F295">
        <v>13.45</v>
      </c>
      <c r="G295">
        <v>390</v>
      </c>
      <c r="H295">
        <v>1050</v>
      </c>
      <c r="I295">
        <v>1230</v>
      </c>
      <c r="J295">
        <v>1050</v>
      </c>
      <c r="K295">
        <v>17.649999999999999</v>
      </c>
      <c r="L295">
        <v>17.7</v>
      </c>
      <c r="M295">
        <v>12</v>
      </c>
      <c r="N295">
        <v>17.7</v>
      </c>
      <c r="O295">
        <v>11.5</v>
      </c>
      <c r="P295" s="9">
        <v>46147.644745370373</v>
      </c>
    </row>
    <row r="296" spans="1:16" hidden="1" x14ac:dyDescent="0.25">
      <c r="A296" t="s">
        <v>8</v>
      </c>
      <c r="B296" s="4">
        <v>46168</v>
      </c>
      <c r="C296" t="s">
        <v>334</v>
      </c>
      <c r="D296">
        <v>46400</v>
      </c>
      <c r="E296" t="s">
        <v>40</v>
      </c>
      <c r="F296">
        <v>15411.5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15411.5</v>
      </c>
      <c r="O296">
        <v>7662.25</v>
      </c>
      <c r="P296" s="9">
        <v>25569.229166666668</v>
      </c>
    </row>
    <row r="297" spans="1:16" hidden="1" x14ac:dyDescent="0.25">
      <c r="A297" t="s">
        <v>8</v>
      </c>
      <c r="B297" s="4">
        <v>46168</v>
      </c>
      <c r="C297" t="s">
        <v>335</v>
      </c>
      <c r="D297">
        <v>46400</v>
      </c>
      <c r="E297" t="s">
        <v>42</v>
      </c>
      <c r="F297">
        <v>15.45</v>
      </c>
      <c r="G297">
        <v>600</v>
      </c>
      <c r="H297">
        <v>1140</v>
      </c>
      <c r="I297">
        <v>1140</v>
      </c>
      <c r="J297">
        <v>1080</v>
      </c>
      <c r="K297">
        <v>12.5</v>
      </c>
      <c r="L297">
        <v>18.399999999999999</v>
      </c>
      <c r="M297">
        <v>12.5</v>
      </c>
      <c r="N297">
        <v>13.85</v>
      </c>
      <c r="O297">
        <v>11.95</v>
      </c>
      <c r="P297" s="9">
        <v>46147.641516203701</v>
      </c>
    </row>
    <row r="298" spans="1:16" hidden="1" x14ac:dyDescent="0.25">
      <c r="A298" t="s">
        <v>8</v>
      </c>
      <c r="B298" s="4">
        <v>46168</v>
      </c>
      <c r="C298" t="s">
        <v>336</v>
      </c>
      <c r="D298">
        <v>46500</v>
      </c>
      <c r="E298" t="s">
        <v>40</v>
      </c>
      <c r="F298">
        <v>10600</v>
      </c>
      <c r="G298">
        <v>0</v>
      </c>
      <c r="H298">
        <v>3240</v>
      </c>
      <c r="I298">
        <v>3240</v>
      </c>
      <c r="J298">
        <v>3240</v>
      </c>
      <c r="K298">
        <v>0</v>
      </c>
      <c r="L298">
        <v>0</v>
      </c>
      <c r="M298">
        <v>0</v>
      </c>
      <c r="N298">
        <v>10600</v>
      </c>
      <c r="O298">
        <v>7976.7</v>
      </c>
      <c r="P298" s="9">
        <v>46135.42324074074</v>
      </c>
    </row>
    <row r="299" spans="1:16" hidden="1" x14ac:dyDescent="0.25">
      <c r="A299" t="s">
        <v>8</v>
      </c>
      <c r="B299" s="4">
        <v>46168</v>
      </c>
      <c r="C299" t="s">
        <v>337</v>
      </c>
      <c r="D299">
        <v>46500</v>
      </c>
      <c r="E299" t="s">
        <v>42</v>
      </c>
      <c r="F299">
        <v>14.5</v>
      </c>
      <c r="G299">
        <v>32250</v>
      </c>
      <c r="H299">
        <v>18210</v>
      </c>
      <c r="I299">
        <v>21240</v>
      </c>
      <c r="J299">
        <v>14490</v>
      </c>
      <c r="K299">
        <v>17.899999999999999</v>
      </c>
      <c r="L299">
        <v>20.05</v>
      </c>
      <c r="M299">
        <v>13.65</v>
      </c>
      <c r="N299">
        <v>15.8</v>
      </c>
      <c r="O299">
        <v>13.5</v>
      </c>
      <c r="P299" s="9">
        <v>46147.645497685182</v>
      </c>
    </row>
    <row r="300" spans="1:16" hidden="1" x14ac:dyDescent="0.25">
      <c r="A300" t="s">
        <v>8</v>
      </c>
      <c r="B300" s="4">
        <v>46168</v>
      </c>
      <c r="C300" t="s">
        <v>338</v>
      </c>
      <c r="D300">
        <v>46600</v>
      </c>
      <c r="E300" t="s">
        <v>40</v>
      </c>
      <c r="F300">
        <v>15214.8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15214.8</v>
      </c>
      <c r="O300">
        <v>7478.65</v>
      </c>
      <c r="P300" s="9">
        <v>25569.229166666668</v>
      </c>
    </row>
    <row r="301" spans="1:16" hidden="1" x14ac:dyDescent="0.25">
      <c r="A301" t="s">
        <v>8</v>
      </c>
      <c r="B301" s="4">
        <v>46168</v>
      </c>
      <c r="C301" t="s">
        <v>339</v>
      </c>
      <c r="D301">
        <v>46600</v>
      </c>
      <c r="E301" t="s">
        <v>42</v>
      </c>
      <c r="F301">
        <v>15.05</v>
      </c>
      <c r="G301">
        <v>2550</v>
      </c>
      <c r="H301">
        <v>1920</v>
      </c>
      <c r="I301">
        <v>1920</v>
      </c>
      <c r="J301">
        <v>1230</v>
      </c>
      <c r="K301">
        <v>14.75</v>
      </c>
      <c r="L301">
        <v>20.6</v>
      </c>
      <c r="M301">
        <v>13.2</v>
      </c>
      <c r="N301">
        <v>16.2</v>
      </c>
      <c r="O301">
        <v>13.2</v>
      </c>
      <c r="P301" s="9">
        <v>46147.640787037039</v>
      </c>
    </row>
    <row r="302" spans="1:16" hidden="1" x14ac:dyDescent="0.25">
      <c r="A302" t="s">
        <v>8</v>
      </c>
      <c r="B302" s="4">
        <v>46168</v>
      </c>
      <c r="C302" t="s">
        <v>340</v>
      </c>
      <c r="D302">
        <v>46700</v>
      </c>
      <c r="E302" t="s">
        <v>40</v>
      </c>
      <c r="F302">
        <v>15116.5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15116.5</v>
      </c>
      <c r="O302">
        <v>7379.55</v>
      </c>
      <c r="P302" s="9">
        <v>25569.229166666668</v>
      </c>
    </row>
    <row r="303" spans="1:16" hidden="1" x14ac:dyDescent="0.25">
      <c r="A303" t="s">
        <v>8</v>
      </c>
      <c r="B303" s="4">
        <v>46168</v>
      </c>
      <c r="C303" t="s">
        <v>341</v>
      </c>
      <c r="D303">
        <v>46700</v>
      </c>
      <c r="E303" t="s">
        <v>42</v>
      </c>
      <c r="F303">
        <v>19.45</v>
      </c>
      <c r="G303">
        <v>270</v>
      </c>
      <c r="H303">
        <v>240</v>
      </c>
      <c r="I303">
        <v>240</v>
      </c>
      <c r="J303">
        <v>150</v>
      </c>
      <c r="K303">
        <v>20.100000000000001</v>
      </c>
      <c r="L303">
        <v>20.55</v>
      </c>
      <c r="M303">
        <v>19.45</v>
      </c>
      <c r="N303">
        <v>0.15</v>
      </c>
      <c r="O303">
        <v>13.5</v>
      </c>
      <c r="P303" s="9">
        <v>46147.643090277779</v>
      </c>
    </row>
    <row r="304" spans="1:16" hidden="1" x14ac:dyDescent="0.25">
      <c r="A304" t="s">
        <v>8</v>
      </c>
      <c r="B304" s="4">
        <v>46168</v>
      </c>
      <c r="C304" t="s">
        <v>342</v>
      </c>
      <c r="D304">
        <v>46800</v>
      </c>
      <c r="E304" t="s">
        <v>40</v>
      </c>
      <c r="F304">
        <v>15018.15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15018.15</v>
      </c>
      <c r="O304">
        <v>7302.45</v>
      </c>
      <c r="P304" s="9">
        <v>25569.229166666668</v>
      </c>
    </row>
    <row r="305" spans="1:16" hidden="1" x14ac:dyDescent="0.25">
      <c r="A305" t="s">
        <v>8</v>
      </c>
      <c r="B305" s="4">
        <v>46168</v>
      </c>
      <c r="C305" t="s">
        <v>343</v>
      </c>
      <c r="D305">
        <v>46800</v>
      </c>
      <c r="E305" t="s">
        <v>42</v>
      </c>
      <c r="F305">
        <v>20.65</v>
      </c>
      <c r="G305">
        <v>180</v>
      </c>
      <c r="H305">
        <v>150</v>
      </c>
      <c r="I305">
        <v>150</v>
      </c>
      <c r="J305">
        <v>150</v>
      </c>
      <c r="K305">
        <v>20.2</v>
      </c>
      <c r="L305">
        <v>20.65</v>
      </c>
      <c r="M305">
        <v>20.2</v>
      </c>
      <c r="N305">
        <v>0.2</v>
      </c>
      <c r="O305">
        <v>14.25</v>
      </c>
      <c r="P305" s="9">
        <v>46147.582083333335</v>
      </c>
    </row>
    <row r="306" spans="1:16" hidden="1" x14ac:dyDescent="0.25">
      <c r="A306" t="s">
        <v>8</v>
      </c>
      <c r="B306" s="4">
        <v>46168</v>
      </c>
      <c r="C306" t="s">
        <v>344</v>
      </c>
      <c r="D306">
        <v>46900</v>
      </c>
      <c r="E306" t="s">
        <v>40</v>
      </c>
      <c r="F306">
        <v>14919.8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14919.8</v>
      </c>
      <c r="O306">
        <v>7196.5</v>
      </c>
      <c r="P306" s="9">
        <v>25569.229166666668</v>
      </c>
    </row>
    <row r="307" spans="1:16" hidden="1" x14ac:dyDescent="0.25">
      <c r="A307" t="s">
        <v>8</v>
      </c>
      <c r="B307" s="4">
        <v>46168</v>
      </c>
      <c r="C307" t="s">
        <v>345</v>
      </c>
      <c r="D307">
        <v>46900</v>
      </c>
      <c r="E307" t="s">
        <v>42</v>
      </c>
      <c r="F307">
        <v>15.25</v>
      </c>
      <c r="G307">
        <v>450</v>
      </c>
      <c r="H307">
        <v>330</v>
      </c>
      <c r="I307">
        <v>360</v>
      </c>
      <c r="J307">
        <v>150</v>
      </c>
      <c r="K307">
        <v>20.399999999999999</v>
      </c>
      <c r="L307">
        <v>20.75</v>
      </c>
      <c r="M307">
        <v>15.1</v>
      </c>
      <c r="N307">
        <v>0.2</v>
      </c>
      <c r="O307">
        <v>14.55</v>
      </c>
      <c r="P307" s="9">
        <v>46147.63</v>
      </c>
    </row>
    <row r="308" spans="1:16" hidden="1" x14ac:dyDescent="0.25">
      <c r="A308" t="s">
        <v>8</v>
      </c>
      <c r="B308" s="4">
        <v>46168</v>
      </c>
      <c r="C308" t="s">
        <v>346</v>
      </c>
      <c r="D308">
        <v>47000</v>
      </c>
      <c r="E308" t="s">
        <v>40</v>
      </c>
      <c r="F308">
        <v>7707.45</v>
      </c>
      <c r="G308">
        <v>0</v>
      </c>
      <c r="H308">
        <v>2130</v>
      </c>
      <c r="I308">
        <v>2130</v>
      </c>
      <c r="J308">
        <v>2130</v>
      </c>
      <c r="K308">
        <v>0</v>
      </c>
      <c r="L308">
        <v>0</v>
      </c>
      <c r="M308">
        <v>0</v>
      </c>
      <c r="N308">
        <v>7707.45</v>
      </c>
      <c r="O308">
        <v>7514.05</v>
      </c>
      <c r="P308" s="9">
        <v>46142.45621527778</v>
      </c>
    </row>
    <row r="309" spans="1:16" hidden="1" x14ac:dyDescent="0.25">
      <c r="A309" t="s">
        <v>8</v>
      </c>
      <c r="B309" s="4">
        <v>46168</v>
      </c>
      <c r="C309" t="s">
        <v>347</v>
      </c>
      <c r="D309">
        <v>47000</v>
      </c>
      <c r="E309" t="s">
        <v>42</v>
      </c>
      <c r="F309">
        <v>18.3</v>
      </c>
      <c r="G309">
        <v>179940</v>
      </c>
      <c r="H309">
        <v>79500</v>
      </c>
      <c r="I309">
        <v>79500</v>
      </c>
      <c r="J309">
        <v>54570</v>
      </c>
      <c r="K309">
        <v>19.899999999999999</v>
      </c>
      <c r="L309">
        <v>28.45</v>
      </c>
      <c r="M309">
        <v>16.600000000000001</v>
      </c>
      <c r="N309">
        <v>19.600000000000001</v>
      </c>
      <c r="O309">
        <v>17.600000000000001</v>
      </c>
      <c r="P309" s="9">
        <v>46147.645752314813</v>
      </c>
    </row>
    <row r="310" spans="1:16" hidden="1" x14ac:dyDescent="0.25">
      <c r="A310" t="s">
        <v>8</v>
      </c>
      <c r="B310" s="4">
        <v>46168</v>
      </c>
      <c r="C310" t="s">
        <v>348</v>
      </c>
      <c r="D310">
        <v>47100</v>
      </c>
      <c r="E310" t="s">
        <v>40</v>
      </c>
      <c r="F310">
        <v>14723.15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14723.15</v>
      </c>
      <c r="O310">
        <v>7014.5</v>
      </c>
      <c r="P310" s="9">
        <v>25569.229166666668</v>
      </c>
    </row>
    <row r="311" spans="1:16" hidden="1" x14ac:dyDescent="0.25">
      <c r="A311" t="s">
        <v>8</v>
      </c>
      <c r="B311" s="4">
        <v>46168</v>
      </c>
      <c r="C311" t="s">
        <v>349</v>
      </c>
      <c r="D311">
        <v>47100</v>
      </c>
      <c r="E311" t="s">
        <v>42</v>
      </c>
      <c r="F311">
        <v>20.399999999999999</v>
      </c>
      <c r="G311">
        <v>10410</v>
      </c>
      <c r="H311">
        <v>2400</v>
      </c>
      <c r="I311">
        <v>2640</v>
      </c>
      <c r="J311">
        <v>2040</v>
      </c>
      <c r="K311">
        <v>20.95</v>
      </c>
      <c r="L311">
        <v>24.95</v>
      </c>
      <c r="M311">
        <v>18.3</v>
      </c>
      <c r="N311">
        <v>20.5</v>
      </c>
      <c r="O311">
        <v>18.45</v>
      </c>
      <c r="P311" s="9">
        <v>46147.636562500003</v>
      </c>
    </row>
    <row r="312" spans="1:16" hidden="1" x14ac:dyDescent="0.25">
      <c r="A312" t="s">
        <v>8</v>
      </c>
      <c r="B312" s="4">
        <v>46168</v>
      </c>
      <c r="C312" t="s">
        <v>350</v>
      </c>
      <c r="D312">
        <v>47200</v>
      </c>
      <c r="E312" t="s">
        <v>40</v>
      </c>
      <c r="F312">
        <v>14624.85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14624.85</v>
      </c>
      <c r="O312">
        <v>6934.25</v>
      </c>
      <c r="P312" s="9">
        <v>25569.229166666668</v>
      </c>
    </row>
    <row r="313" spans="1:16" hidden="1" x14ac:dyDescent="0.25">
      <c r="A313" t="s">
        <v>8</v>
      </c>
      <c r="B313" s="4">
        <v>46168</v>
      </c>
      <c r="C313" t="s">
        <v>351</v>
      </c>
      <c r="D313">
        <v>47200</v>
      </c>
      <c r="E313" t="s">
        <v>42</v>
      </c>
      <c r="F313">
        <v>0.25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0.25</v>
      </c>
      <c r="O313">
        <v>18.149999999999999</v>
      </c>
      <c r="P313" s="9">
        <v>25569.229166666668</v>
      </c>
    </row>
    <row r="314" spans="1:16" hidden="1" x14ac:dyDescent="0.25">
      <c r="A314" t="s">
        <v>8</v>
      </c>
      <c r="B314" s="4">
        <v>46168</v>
      </c>
      <c r="C314" t="s">
        <v>352</v>
      </c>
      <c r="D314">
        <v>47300</v>
      </c>
      <c r="E314" t="s">
        <v>40</v>
      </c>
      <c r="F314">
        <v>14526.5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14526.5</v>
      </c>
      <c r="O314">
        <v>6826.4</v>
      </c>
      <c r="P314" s="9">
        <v>25569.229166666668</v>
      </c>
    </row>
    <row r="315" spans="1:16" hidden="1" x14ac:dyDescent="0.25">
      <c r="A315" t="s">
        <v>8</v>
      </c>
      <c r="B315" s="4">
        <v>46168</v>
      </c>
      <c r="C315" t="s">
        <v>353</v>
      </c>
      <c r="D315">
        <v>47300</v>
      </c>
      <c r="E315" t="s">
        <v>42</v>
      </c>
      <c r="F315">
        <v>0.3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0.3</v>
      </c>
      <c r="O315">
        <v>19.2</v>
      </c>
      <c r="P315" s="9">
        <v>25569.229166666668</v>
      </c>
    </row>
    <row r="316" spans="1:16" hidden="1" x14ac:dyDescent="0.25">
      <c r="A316" t="s">
        <v>8</v>
      </c>
      <c r="B316" s="4">
        <v>46168</v>
      </c>
      <c r="C316" t="s">
        <v>354</v>
      </c>
      <c r="D316">
        <v>47400</v>
      </c>
      <c r="E316" t="s">
        <v>40</v>
      </c>
      <c r="F316">
        <v>14428.2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14428.2</v>
      </c>
      <c r="O316">
        <v>6725.55</v>
      </c>
      <c r="P316" s="9">
        <v>25569.229166666668</v>
      </c>
    </row>
    <row r="317" spans="1:16" hidden="1" x14ac:dyDescent="0.25">
      <c r="A317" t="s">
        <v>8</v>
      </c>
      <c r="B317" s="4">
        <v>46168</v>
      </c>
      <c r="C317" t="s">
        <v>355</v>
      </c>
      <c r="D317">
        <v>47400</v>
      </c>
      <c r="E317" t="s">
        <v>42</v>
      </c>
      <c r="F317">
        <v>0.35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0.35</v>
      </c>
      <c r="O317">
        <v>20</v>
      </c>
      <c r="P317" s="9">
        <v>25569.229166666668</v>
      </c>
    </row>
    <row r="318" spans="1:16" hidden="1" x14ac:dyDescent="0.25">
      <c r="A318" t="s">
        <v>8</v>
      </c>
      <c r="B318" s="4">
        <v>46168</v>
      </c>
      <c r="C318" t="s">
        <v>356</v>
      </c>
      <c r="D318">
        <v>47500</v>
      </c>
      <c r="E318" t="s">
        <v>40</v>
      </c>
      <c r="F318">
        <v>9500</v>
      </c>
      <c r="G318">
        <v>0</v>
      </c>
      <c r="H318">
        <v>420</v>
      </c>
      <c r="I318">
        <v>420</v>
      </c>
      <c r="J318">
        <v>420</v>
      </c>
      <c r="K318">
        <v>0</v>
      </c>
      <c r="L318">
        <v>0</v>
      </c>
      <c r="M318">
        <v>0</v>
      </c>
      <c r="N318">
        <v>9500</v>
      </c>
      <c r="O318">
        <v>6897.9</v>
      </c>
      <c r="P318" s="9">
        <v>46135.423692129632</v>
      </c>
    </row>
    <row r="319" spans="1:16" hidden="1" x14ac:dyDescent="0.25">
      <c r="A319" t="s">
        <v>8</v>
      </c>
      <c r="B319" s="4">
        <v>46168</v>
      </c>
      <c r="C319" t="s">
        <v>357</v>
      </c>
      <c r="D319">
        <v>47500</v>
      </c>
      <c r="E319" t="s">
        <v>42</v>
      </c>
      <c r="F319">
        <v>21.55</v>
      </c>
      <c r="G319">
        <v>152940</v>
      </c>
      <c r="H319">
        <v>66270</v>
      </c>
      <c r="I319">
        <v>74430</v>
      </c>
      <c r="J319">
        <v>38970</v>
      </c>
      <c r="K319">
        <v>26.7</v>
      </c>
      <c r="L319">
        <v>31.05</v>
      </c>
      <c r="M319">
        <v>21.15</v>
      </c>
      <c r="N319">
        <v>24.55</v>
      </c>
      <c r="O319">
        <v>21.4</v>
      </c>
      <c r="P319" s="9">
        <v>46147.645752314813</v>
      </c>
    </row>
    <row r="320" spans="1:16" hidden="1" x14ac:dyDescent="0.25">
      <c r="A320" t="s">
        <v>8</v>
      </c>
      <c r="B320" s="4">
        <v>46168</v>
      </c>
      <c r="C320" t="s">
        <v>358</v>
      </c>
      <c r="D320">
        <v>47600</v>
      </c>
      <c r="E320" t="s">
        <v>40</v>
      </c>
      <c r="F320">
        <v>14231.55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14231.55</v>
      </c>
      <c r="O320">
        <v>5370.1</v>
      </c>
      <c r="P320" s="9">
        <v>25569.229166666668</v>
      </c>
    </row>
    <row r="321" spans="1:16" hidden="1" x14ac:dyDescent="0.25">
      <c r="A321" t="s">
        <v>8</v>
      </c>
      <c r="B321" s="4">
        <v>46168</v>
      </c>
      <c r="C321" t="s">
        <v>359</v>
      </c>
      <c r="D321">
        <v>47600</v>
      </c>
      <c r="E321" t="s">
        <v>42</v>
      </c>
      <c r="F321">
        <v>0.4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0.4</v>
      </c>
      <c r="O321">
        <v>3.5</v>
      </c>
      <c r="P321" s="9">
        <v>25569.229166666668</v>
      </c>
    </row>
    <row r="322" spans="1:16" hidden="1" x14ac:dyDescent="0.25">
      <c r="A322" t="s">
        <v>8</v>
      </c>
      <c r="B322" s="4">
        <v>46168</v>
      </c>
      <c r="C322" t="s">
        <v>360</v>
      </c>
      <c r="D322">
        <v>47700</v>
      </c>
      <c r="E322" t="s">
        <v>40</v>
      </c>
      <c r="F322">
        <v>14133.25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14133.25</v>
      </c>
      <c r="O322">
        <v>6256.4</v>
      </c>
      <c r="P322" s="9">
        <v>25569.229166666668</v>
      </c>
    </row>
    <row r="323" spans="1:16" hidden="1" x14ac:dyDescent="0.25">
      <c r="A323" t="s">
        <v>8</v>
      </c>
      <c r="B323" s="4">
        <v>46168</v>
      </c>
      <c r="C323" t="s">
        <v>361</v>
      </c>
      <c r="D323">
        <v>47700</v>
      </c>
      <c r="E323" t="s">
        <v>42</v>
      </c>
      <c r="F323">
        <v>0.45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0.45</v>
      </c>
      <c r="O323">
        <v>3.5</v>
      </c>
      <c r="P323" s="9">
        <v>25569.229166666668</v>
      </c>
    </row>
    <row r="324" spans="1:16" hidden="1" x14ac:dyDescent="0.25">
      <c r="A324" t="s">
        <v>8</v>
      </c>
      <c r="B324" s="4">
        <v>46168</v>
      </c>
      <c r="C324" t="s">
        <v>362</v>
      </c>
      <c r="D324">
        <v>47800</v>
      </c>
      <c r="E324" t="s">
        <v>40</v>
      </c>
      <c r="F324">
        <v>14034.95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14034.95</v>
      </c>
      <c r="O324">
        <v>6143.9</v>
      </c>
      <c r="P324" s="9">
        <v>25569.229166666668</v>
      </c>
    </row>
    <row r="325" spans="1:16" hidden="1" x14ac:dyDescent="0.25">
      <c r="A325" t="s">
        <v>8</v>
      </c>
      <c r="B325" s="4">
        <v>46168</v>
      </c>
      <c r="C325" t="s">
        <v>363</v>
      </c>
      <c r="D325">
        <v>47800</v>
      </c>
      <c r="E325" t="s">
        <v>42</v>
      </c>
      <c r="F325">
        <v>0.5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0.5</v>
      </c>
      <c r="O325">
        <v>3.5</v>
      </c>
      <c r="P325" s="9">
        <v>25569.229166666668</v>
      </c>
    </row>
    <row r="326" spans="1:16" hidden="1" x14ac:dyDescent="0.25">
      <c r="A326" t="s">
        <v>8</v>
      </c>
      <c r="B326" s="4">
        <v>46168</v>
      </c>
      <c r="C326" t="s">
        <v>364</v>
      </c>
      <c r="D326">
        <v>47900</v>
      </c>
      <c r="E326" t="s">
        <v>40</v>
      </c>
      <c r="F326">
        <v>13936.65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13936.65</v>
      </c>
      <c r="O326">
        <v>6091.25</v>
      </c>
      <c r="P326" s="9">
        <v>25569.229166666668</v>
      </c>
    </row>
    <row r="327" spans="1:16" hidden="1" x14ac:dyDescent="0.25">
      <c r="A327" t="s">
        <v>8</v>
      </c>
      <c r="B327" s="4">
        <v>46168</v>
      </c>
      <c r="C327" t="s">
        <v>365</v>
      </c>
      <c r="D327">
        <v>47900</v>
      </c>
      <c r="E327" t="s">
        <v>42</v>
      </c>
      <c r="F327">
        <v>0.55000000000000004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0.55000000000000004</v>
      </c>
      <c r="O327">
        <v>3.75</v>
      </c>
      <c r="P327" s="9">
        <v>25569.229166666668</v>
      </c>
    </row>
    <row r="328" spans="1:16" hidden="1" x14ac:dyDescent="0.25">
      <c r="A328" t="s">
        <v>8</v>
      </c>
      <c r="B328" s="4">
        <v>46168</v>
      </c>
      <c r="C328" t="s">
        <v>366</v>
      </c>
      <c r="D328">
        <v>48000</v>
      </c>
      <c r="E328" t="s">
        <v>40</v>
      </c>
      <c r="F328">
        <v>6742.2</v>
      </c>
      <c r="G328">
        <v>240</v>
      </c>
      <c r="H328">
        <v>9420</v>
      </c>
      <c r="I328">
        <v>9480</v>
      </c>
      <c r="J328">
        <v>9390</v>
      </c>
      <c r="K328">
        <v>6900</v>
      </c>
      <c r="L328">
        <v>6900</v>
      </c>
      <c r="M328">
        <v>6558.5</v>
      </c>
      <c r="N328">
        <v>7373.3</v>
      </c>
      <c r="O328">
        <v>6739.95</v>
      </c>
      <c r="P328" s="9">
        <v>46147.634745370371</v>
      </c>
    </row>
    <row r="329" spans="1:16" hidden="1" x14ac:dyDescent="0.25">
      <c r="A329" t="s">
        <v>8</v>
      </c>
      <c r="B329" s="4">
        <v>46168</v>
      </c>
      <c r="C329" t="s">
        <v>367</v>
      </c>
      <c r="D329">
        <v>48000</v>
      </c>
      <c r="E329" t="s">
        <v>42</v>
      </c>
      <c r="F329">
        <v>29</v>
      </c>
      <c r="G329">
        <v>285570</v>
      </c>
      <c r="H329">
        <v>200010</v>
      </c>
      <c r="I329">
        <v>205770</v>
      </c>
      <c r="J329">
        <v>175320</v>
      </c>
      <c r="K329">
        <v>35</v>
      </c>
      <c r="L329">
        <v>39.4</v>
      </c>
      <c r="M329">
        <v>26.65</v>
      </c>
      <c r="N329">
        <v>31</v>
      </c>
      <c r="O329">
        <v>28</v>
      </c>
      <c r="P329" s="9">
        <v>46147.645787037036</v>
      </c>
    </row>
    <row r="330" spans="1:16" hidden="1" x14ac:dyDescent="0.25">
      <c r="A330" t="s">
        <v>8</v>
      </c>
      <c r="B330" s="4">
        <v>46168</v>
      </c>
      <c r="C330" t="s">
        <v>368</v>
      </c>
      <c r="D330">
        <v>48100</v>
      </c>
      <c r="E330" t="s">
        <v>40</v>
      </c>
      <c r="F330">
        <v>13740.05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13740.05</v>
      </c>
      <c r="O330">
        <v>4505.6499999999996</v>
      </c>
      <c r="P330" s="9">
        <v>25569.229166666668</v>
      </c>
    </row>
    <row r="331" spans="1:16" hidden="1" x14ac:dyDescent="0.25">
      <c r="A331" t="s">
        <v>8</v>
      </c>
      <c r="B331" s="4">
        <v>46168</v>
      </c>
      <c r="C331" t="s">
        <v>369</v>
      </c>
      <c r="D331">
        <v>48100</v>
      </c>
      <c r="E331" t="s">
        <v>42</v>
      </c>
      <c r="F331">
        <v>0.65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0.65</v>
      </c>
      <c r="O331">
        <v>23.9</v>
      </c>
      <c r="P331" s="9">
        <v>25569.229166666668</v>
      </c>
    </row>
    <row r="332" spans="1:16" hidden="1" x14ac:dyDescent="0.25">
      <c r="A332" t="s">
        <v>8</v>
      </c>
      <c r="B332" s="4">
        <v>46168</v>
      </c>
      <c r="C332" t="s">
        <v>370</v>
      </c>
      <c r="D332">
        <v>48200</v>
      </c>
      <c r="E332" t="s">
        <v>40</v>
      </c>
      <c r="F332">
        <v>13641.75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13641.75</v>
      </c>
      <c r="O332">
        <v>5129.6000000000004</v>
      </c>
      <c r="P332" s="9">
        <v>25569.229166666668</v>
      </c>
    </row>
    <row r="333" spans="1:16" hidden="1" x14ac:dyDescent="0.25">
      <c r="A333" t="s">
        <v>8</v>
      </c>
      <c r="B333" s="4">
        <v>46168</v>
      </c>
      <c r="C333" t="s">
        <v>371</v>
      </c>
      <c r="D333">
        <v>48200</v>
      </c>
      <c r="E333" t="s">
        <v>42</v>
      </c>
      <c r="F333">
        <v>0.75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0.75</v>
      </c>
      <c r="O333">
        <v>24.4</v>
      </c>
      <c r="P333" s="9">
        <v>25569.229166666668</v>
      </c>
    </row>
    <row r="334" spans="1:16" hidden="1" x14ac:dyDescent="0.25">
      <c r="A334" t="s">
        <v>8</v>
      </c>
      <c r="B334" s="4">
        <v>46168</v>
      </c>
      <c r="C334" t="s">
        <v>372</v>
      </c>
      <c r="D334">
        <v>48300</v>
      </c>
      <c r="E334" t="s">
        <v>40</v>
      </c>
      <c r="F334">
        <v>13543.45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13543.45</v>
      </c>
      <c r="O334">
        <v>5206.8500000000004</v>
      </c>
      <c r="P334" s="9">
        <v>25569.229166666668</v>
      </c>
    </row>
    <row r="335" spans="1:16" hidden="1" x14ac:dyDescent="0.25">
      <c r="A335" t="s">
        <v>8</v>
      </c>
      <c r="B335" s="4">
        <v>46168</v>
      </c>
      <c r="C335" t="s">
        <v>373</v>
      </c>
      <c r="D335">
        <v>48300</v>
      </c>
      <c r="E335" t="s">
        <v>42</v>
      </c>
      <c r="F335">
        <v>0.8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0.8</v>
      </c>
      <c r="O335">
        <v>25</v>
      </c>
      <c r="P335" s="9">
        <v>25569.229166666668</v>
      </c>
    </row>
    <row r="336" spans="1:16" hidden="1" x14ac:dyDescent="0.25">
      <c r="A336" t="s">
        <v>8</v>
      </c>
      <c r="B336" s="4">
        <v>46168</v>
      </c>
      <c r="C336" t="s">
        <v>374</v>
      </c>
      <c r="D336">
        <v>48400</v>
      </c>
      <c r="E336" t="s">
        <v>40</v>
      </c>
      <c r="F336">
        <v>13445.2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13445.2</v>
      </c>
      <c r="O336">
        <v>4425.75</v>
      </c>
      <c r="P336" s="9">
        <v>25569.229166666668</v>
      </c>
    </row>
    <row r="337" spans="1:16" hidden="1" x14ac:dyDescent="0.25">
      <c r="A337" t="s">
        <v>8</v>
      </c>
      <c r="B337" s="4">
        <v>46168</v>
      </c>
      <c r="C337" t="s">
        <v>375</v>
      </c>
      <c r="D337">
        <v>48400</v>
      </c>
      <c r="E337" t="s">
        <v>42</v>
      </c>
      <c r="F337">
        <v>0.9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0.9</v>
      </c>
      <c r="O337">
        <v>25.65</v>
      </c>
      <c r="P337" s="9">
        <v>25569.229166666668</v>
      </c>
    </row>
    <row r="338" spans="1:16" hidden="1" x14ac:dyDescent="0.25">
      <c r="A338" t="s">
        <v>8</v>
      </c>
      <c r="B338" s="4">
        <v>46168</v>
      </c>
      <c r="C338" t="s">
        <v>376</v>
      </c>
      <c r="D338">
        <v>48500</v>
      </c>
      <c r="E338" t="s">
        <v>40</v>
      </c>
      <c r="F338">
        <v>8150</v>
      </c>
      <c r="G338">
        <v>0</v>
      </c>
      <c r="H338">
        <v>390</v>
      </c>
      <c r="I338">
        <v>390</v>
      </c>
      <c r="J338">
        <v>390</v>
      </c>
      <c r="K338">
        <v>0</v>
      </c>
      <c r="L338">
        <v>0</v>
      </c>
      <c r="M338">
        <v>0</v>
      </c>
      <c r="N338">
        <v>8150</v>
      </c>
      <c r="O338">
        <v>5555.65</v>
      </c>
      <c r="P338" s="9">
        <v>46139.566041666665</v>
      </c>
    </row>
    <row r="339" spans="1:16" hidden="1" x14ac:dyDescent="0.25">
      <c r="A339" t="s">
        <v>8</v>
      </c>
      <c r="B339" s="4">
        <v>46168</v>
      </c>
      <c r="C339" t="s">
        <v>377</v>
      </c>
      <c r="D339">
        <v>48500</v>
      </c>
      <c r="E339" t="s">
        <v>42</v>
      </c>
      <c r="F339">
        <v>37</v>
      </c>
      <c r="G339">
        <v>169470</v>
      </c>
      <c r="H339">
        <v>95520</v>
      </c>
      <c r="I339">
        <v>96870</v>
      </c>
      <c r="J339">
        <v>88950</v>
      </c>
      <c r="K339">
        <v>46.4</v>
      </c>
      <c r="L339">
        <v>52.8</v>
      </c>
      <c r="M339">
        <v>34.200000000000003</v>
      </c>
      <c r="N339">
        <v>39.15</v>
      </c>
      <c r="O339">
        <v>37</v>
      </c>
      <c r="P339" s="9">
        <v>46147.645798611113</v>
      </c>
    </row>
    <row r="340" spans="1:16" hidden="1" x14ac:dyDescent="0.25">
      <c r="A340" t="s">
        <v>8</v>
      </c>
      <c r="B340" s="4">
        <v>46168</v>
      </c>
      <c r="C340" t="s">
        <v>378</v>
      </c>
      <c r="D340">
        <v>48600</v>
      </c>
      <c r="E340" t="s">
        <v>40</v>
      </c>
      <c r="F340">
        <v>13248.7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13248.7</v>
      </c>
      <c r="O340">
        <v>4782.75</v>
      </c>
      <c r="P340" s="9">
        <v>25569.229166666668</v>
      </c>
    </row>
    <row r="341" spans="1:16" hidden="1" x14ac:dyDescent="0.25">
      <c r="A341" t="s">
        <v>8</v>
      </c>
      <c r="B341" s="4">
        <v>46168</v>
      </c>
      <c r="C341" t="s">
        <v>379</v>
      </c>
      <c r="D341">
        <v>48600</v>
      </c>
      <c r="E341" t="s">
        <v>42</v>
      </c>
      <c r="F341">
        <v>1.05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1.05</v>
      </c>
      <c r="O341">
        <v>30.3</v>
      </c>
      <c r="P341" s="9">
        <v>25569.229166666668</v>
      </c>
    </row>
    <row r="342" spans="1:16" hidden="1" x14ac:dyDescent="0.25">
      <c r="A342" t="s">
        <v>8</v>
      </c>
      <c r="B342" s="4">
        <v>46168</v>
      </c>
      <c r="C342" t="s">
        <v>380</v>
      </c>
      <c r="D342">
        <v>48700</v>
      </c>
      <c r="E342" t="s">
        <v>40</v>
      </c>
      <c r="F342">
        <v>13150.45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13150.45</v>
      </c>
      <c r="O342">
        <v>5530.85</v>
      </c>
      <c r="P342" s="9">
        <v>25569.229166666668</v>
      </c>
    </row>
    <row r="343" spans="1:16" hidden="1" x14ac:dyDescent="0.25">
      <c r="A343" t="s">
        <v>8</v>
      </c>
      <c r="B343" s="4">
        <v>46168</v>
      </c>
      <c r="C343" t="s">
        <v>381</v>
      </c>
      <c r="D343">
        <v>48700</v>
      </c>
      <c r="E343" t="s">
        <v>42</v>
      </c>
      <c r="F343">
        <v>39.9</v>
      </c>
      <c r="G343">
        <v>12510</v>
      </c>
      <c r="H343">
        <v>1890</v>
      </c>
      <c r="I343">
        <v>2100</v>
      </c>
      <c r="J343">
        <v>30</v>
      </c>
      <c r="K343">
        <v>49.3</v>
      </c>
      <c r="L343">
        <v>57</v>
      </c>
      <c r="M343">
        <v>37.9</v>
      </c>
      <c r="N343">
        <v>29.95</v>
      </c>
      <c r="O343">
        <v>39.4</v>
      </c>
      <c r="P343" s="9">
        <v>46147.645173611112</v>
      </c>
    </row>
    <row r="344" spans="1:16" hidden="1" x14ac:dyDescent="0.25">
      <c r="A344" t="s">
        <v>8</v>
      </c>
      <c r="B344" s="4">
        <v>46168</v>
      </c>
      <c r="C344" t="s">
        <v>382</v>
      </c>
      <c r="D344">
        <v>48800</v>
      </c>
      <c r="E344" t="s">
        <v>40</v>
      </c>
      <c r="F344">
        <v>13052.2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13052.2</v>
      </c>
      <c r="O344">
        <v>4273.6499999999996</v>
      </c>
      <c r="P344" s="9">
        <v>25569.229166666668</v>
      </c>
    </row>
    <row r="345" spans="1:16" hidden="1" x14ac:dyDescent="0.25">
      <c r="A345" t="s">
        <v>8</v>
      </c>
      <c r="B345" s="4">
        <v>46168</v>
      </c>
      <c r="C345" t="s">
        <v>383</v>
      </c>
      <c r="D345">
        <v>48800</v>
      </c>
      <c r="E345" t="s">
        <v>42</v>
      </c>
      <c r="F345">
        <v>1.3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1.3</v>
      </c>
      <c r="O345">
        <v>32.950000000000003</v>
      </c>
      <c r="P345" s="9">
        <v>25569.229166666668</v>
      </c>
    </row>
    <row r="346" spans="1:16" hidden="1" x14ac:dyDescent="0.25">
      <c r="A346" t="s">
        <v>8</v>
      </c>
      <c r="B346" s="4">
        <v>46168</v>
      </c>
      <c r="C346" t="s">
        <v>384</v>
      </c>
      <c r="D346">
        <v>48900</v>
      </c>
      <c r="E346" t="s">
        <v>40</v>
      </c>
      <c r="F346">
        <v>7361</v>
      </c>
      <c r="G346">
        <v>0</v>
      </c>
      <c r="H346">
        <v>210</v>
      </c>
      <c r="I346">
        <v>210</v>
      </c>
      <c r="J346">
        <v>210</v>
      </c>
      <c r="K346">
        <v>0</v>
      </c>
      <c r="L346">
        <v>0</v>
      </c>
      <c r="M346">
        <v>0</v>
      </c>
      <c r="N346">
        <v>7361</v>
      </c>
      <c r="O346">
        <v>5120.7</v>
      </c>
      <c r="P346" s="9">
        <v>46136.556851851848</v>
      </c>
    </row>
    <row r="347" spans="1:16" hidden="1" x14ac:dyDescent="0.25">
      <c r="A347" t="s">
        <v>8</v>
      </c>
      <c r="B347" s="4">
        <v>46168</v>
      </c>
      <c r="C347" t="s">
        <v>385</v>
      </c>
      <c r="D347">
        <v>48900</v>
      </c>
      <c r="E347" t="s">
        <v>42</v>
      </c>
      <c r="F347">
        <v>1.4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1.4</v>
      </c>
      <c r="O347">
        <v>34.549999999999997</v>
      </c>
      <c r="P347" s="9">
        <v>25569.229166666668</v>
      </c>
    </row>
    <row r="348" spans="1:16" hidden="1" x14ac:dyDescent="0.25">
      <c r="A348" t="s">
        <v>8</v>
      </c>
      <c r="B348" s="4">
        <v>46168</v>
      </c>
      <c r="C348" t="s">
        <v>386</v>
      </c>
      <c r="D348">
        <v>49000</v>
      </c>
      <c r="E348" t="s">
        <v>40</v>
      </c>
      <c r="F348">
        <v>6009</v>
      </c>
      <c r="G348">
        <v>120</v>
      </c>
      <c r="H348">
        <v>2610</v>
      </c>
      <c r="I348">
        <v>2640</v>
      </c>
      <c r="J348">
        <v>2610</v>
      </c>
      <c r="K348">
        <v>5629</v>
      </c>
      <c r="L348">
        <v>6009</v>
      </c>
      <c r="M348">
        <v>5626.9</v>
      </c>
      <c r="N348">
        <v>6009</v>
      </c>
      <c r="O348">
        <v>5677.85</v>
      </c>
      <c r="P348" s="9">
        <v>46147.60125</v>
      </c>
    </row>
    <row r="349" spans="1:16" hidden="1" x14ac:dyDescent="0.25">
      <c r="A349" t="s">
        <v>8</v>
      </c>
      <c r="B349" s="4">
        <v>46168</v>
      </c>
      <c r="C349" t="s">
        <v>387</v>
      </c>
      <c r="D349">
        <v>49000</v>
      </c>
      <c r="E349" t="s">
        <v>42</v>
      </c>
      <c r="F349">
        <v>47.5</v>
      </c>
      <c r="G349">
        <v>538770</v>
      </c>
      <c r="H349">
        <v>312750</v>
      </c>
      <c r="I349">
        <v>318960</v>
      </c>
      <c r="J349">
        <v>243180</v>
      </c>
      <c r="K349">
        <v>53</v>
      </c>
      <c r="L349">
        <v>68.3</v>
      </c>
      <c r="M349">
        <v>44.6</v>
      </c>
      <c r="N349">
        <v>50.45</v>
      </c>
      <c r="O349">
        <v>46.75</v>
      </c>
      <c r="P349" s="9">
        <v>46147.645752314813</v>
      </c>
    </row>
    <row r="350" spans="1:16" hidden="1" x14ac:dyDescent="0.25">
      <c r="A350" t="s">
        <v>8</v>
      </c>
      <c r="B350" s="4">
        <v>46168</v>
      </c>
      <c r="C350" t="s">
        <v>388</v>
      </c>
      <c r="D350">
        <v>49100</v>
      </c>
      <c r="E350" t="s">
        <v>40</v>
      </c>
      <c r="F350">
        <v>7244</v>
      </c>
      <c r="G350">
        <v>0</v>
      </c>
      <c r="H350">
        <v>210</v>
      </c>
      <c r="I350">
        <v>210</v>
      </c>
      <c r="J350">
        <v>210</v>
      </c>
      <c r="K350">
        <v>0</v>
      </c>
      <c r="L350">
        <v>0</v>
      </c>
      <c r="M350">
        <v>0</v>
      </c>
      <c r="N350">
        <v>7244</v>
      </c>
      <c r="O350">
        <v>5585.55</v>
      </c>
      <c r="P350" s="9">
        <v>46136.524074074077</v>
      </c>
    </row>
    <row r="351" spans="1:16" hidden="1" x14ac:dyDescent="0.25">
      <c r="A351" t="s">
        <v>8</v>
      </c>
      <c r="B351" s="4">
        <v>46168</v>
      </c>
      <c r="C351" t="s">
        <v>389</v>
      </c>
      <c r="D351">
        <v>49100</v>
      </c>
      <c r="E351" t="s">
        <v>42</v>
      </c>
      <c r="F351">
        <v>51.9</v>
      </c>
      <c r="G351">
        <v>15690</v>
      </c>
      <c r="H351">
        <v>5010</v>
      </c>
      <c r="I351">
        <v>5220</v>
      </c>
      <c r="J351">
        <v>4410</v>
      </c>
      <c r="K351">
        <v>52.7</v>
      </c>
      <c r="L351">
        <v>70.7</v>
      </c>
      <c r="M351">
        <v>47.3</v>
      </c>
      <c r="N351">
        <v>52.7</v>
      </c>
      <c r="O351">
        <v>49.45</v>
      </c>
      <c r="P351" s="9">
        <v>46147.644456018519</v>
      </c>
    </row>
    <row r="352" spans="1:16" hidden="1" x14ac:dyDescent="0.25">
      <c r="A352" t="s">
        <v>8</v>
      </c>
      <c r="B352" s="4">
        <v>46168</v>
      </c>
      <c r="C352" t="s">
        <v>390</v>
      </c>
      <c r="D352">
        <v>49200</v>
      </c>
      <c r="E352" t="s">
        <v>40</v>
      </c>
      <c r="F352">
        <v>12659.35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12659.35</v>
      </c>
      <c r="O352">
        <v>5477.15</v>
      </c>
      <c r="P352" s="9">
        <v>25569.229166666668</v>
      </c>
    </row>
    <row r="353" spans="1:16" hidden="1" x14ac:dyDescent="0.25">
      <c r="A353" t="s">
        <v>8</v>
      </c>
      <c r="B353" s="4">
        <v>46168</v>
      </c>
      <c r="C353" t="s">
        <v>391</v>
      </c>
      <c r="D353">
        <v>49200</v>
      </c>
      <c r="E353" t="s">
        <v>42</v>
      </c>
      <c r="F353">
        <v>52.05</v>
      </c>
      <c r="G353">
        <v>17190</v>
      </c>
      <c r="H353">
        <v>16110</v>
      </c>
      <c r="I353">
        <v>16110</v>
      </c>
      <c r="J353">
        <v>8220</v>
      </c>
      <c r="K353">
        <v>62.2</v>
      </c>
      <c r="L353">
        <v>75.25</v>
      </c>
      <c r="M353">
        <v>50.25</v>
      </c>
      <c r="N353">
        <v>55.9</v>
      </c>
      <c r="O353">
        <v>52.05</v>
      </c>
      <c r="P353" s="9">
        <v>46147.645509259259</v>
      </c>
    </row>
    <row r="354" spans="1:16" hidden="1" x14ac:dyDescent="0.25">
      <c r="A354" t="s">
        <v>8</v>
      </c>
      <c r="B354" s="4">
        <v>46168</v>
      </c>
      <c r="C354" t="s">
        <v>392</v>
      </c>
      <c r="D354">
        <v>49300</v>
      </c>
      <c r="E354" t="s">
        <v>40</v>
      </c>
      <c r="F354">
        <v>12561.2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12561.2</v>
      </c>
      <c r="O354">
        <v>5379.1</v>
      </c>
      <c r="P354" s="9">
        <v>25569.229166666668</v>
      </c>
    </row>
    <row r="355" spans="1:16" hidden="1" x14ac:dyDescent="0.25">
      <c r="A355" t="s">
        <v>8</v>
      </c>
      <c r="B355" s="4">
        <v>46168</v>
      </c>
      <c r="C355" t="s">
        <v>393</v>
      </c>
      <c r="D355">
        <v>49300</v>
      </c>
      <c r="E355" t="s">
        <v>42</v>
      </c>
      <c r="F355">
        <v>2.0499999999999998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2.0499999999999998</v>
      </c>
      <c r="O355">
        <v>48.85</v>
      </c>
      <c r="P355" s="9">
        <v>25569.229166666668</v>
      </c>
    </row>
    <row r="356" spans="1:16" hidden="1" x14ac:dyDescent="0.25">
      <c r="A356" t="s">
        <v>8</v>
      </c>
      <c r="B356" s="4">
        <v>46168</v>
      </c>
      <c r="C356" t="s">
        <v>394</v>
      </c>
      <c r="D356">
        <v>49400</v>
      </c>
      <c r="E356" t="s">
        <v>40</v>
      </c>
      <c r="F356">
        <v>3202.1</v>
      </c>
      <c r="G356">
        <v>0</v>
      </c>
      <c r="H356">
        <v>60</v>
      </c>
      <c r="I356">
        <v>60</v>
      </c>
      <c r="J356">
        <v>60</v>
      </c>
      <c r="K356">
        <v>0</v>
      </c>
      <c r="L356">
        <v>0</v>
      </c>
      <c r="M356">
        <v>0</v>
      </c>
      <c r="N356">
        <v>3202.1</v>
      </c>
      <c r="O356">
        <v>5331.9</v>
      </c>
      <c r="P356" s="9">
        <v>46111.629988425928</v>
      </c>
    </row>
    <row r="357" spans="1:16" hidden="1" x14ac:dyDescent="0.25">
      <c r="A357" t="s">
        <v>8</v>
      </c>
      <c r="B357" s="4">
        <v>46168</v>
      </c>
      <c r="C357" t="s">
        <v>395</v>
      </c>
      <c r="D357">
        <v>49400</v>
      </c>
      <c r="E357" t="s">
        <v>42</v>
      </c>
      <c r="F357">
        <v>2.25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2.25</v>
      </c>
      <c r="O357">
        <v>44.9</v>
      </c>
      <c r="P357" s="9">
        <v>25569.229166666668</v>
      </c>
    </row>
    <row r="358" spans="1:16" hidden="1" x14ac:dyDescent="0.25">
      <c r="A358" t="s">
        <v>8</v>
      </c>
      <c r="B358" s="4">
        <v>46168</v>
      </c>
      <c r="C358" t="s">
        <v>396</v>
      </c>
      <c r="D358">
        <v>49500</v>
      </c>
      <c r="E358" t="s">
        <v>40</v>
      </c>
      <c r="F358">
        <v>5530</v>
      </c>
      <c r="G358">
        <v>120</v>
      </c>
      <c r="H358">
        <v>3030</v>
      </c>
      <c r="I358">
        <v>3030</v>
      </c>
      <c r="J358">
        <v>2940</v>
      </c>
      <c r="K358">
        <v>5273.35</v>
      </c>
      <c r="L358">
        <v>5530</v>
      </c>
      <c r="M358">
        <v>5273.35</v>
      </c>
      <c r="N358">
        <v>5380</v>
      </c>
      <c r="O358">
        <v>5261.05</v>
      </c>
      <c r="P358" s="9">
        <v>46147.54791666667</v>
      </c>
    </row>
    <row r="359" spans="1:16" hidden="1" x14ac:dyDescent="0.25">
      <c r="A359" t="s">
        <v>8</v>
      </c>
      <c r="B359" s="4">
        <v>46168</v>
      </c>
      <c r="C359" t="s">
        <v>397</v>
      </c>
      <c r="D359">
        <v>49500</v>
      </c>
      <c r="E359" t="s">
        <v>42</v>
      </c>
      <c r="F359">
        <v>62.6</v>
      </c>
      <c r="G359">
        <v>213210</v>
      </c>
      <c r="H359">
        <v>153300</v>
      </c>
      <c r="I359">
        <v>156030</v>
      </c>
      <c r="J359">
        <v>135180</v>
      </c>
      <c r="K359">
        <v>67.650000000000006</v>
      </c>
      <c r="L359">
        <v>90</v>
      </c>
      <c r="M359">
        <v>58.05</v>
      </c>
      <c r="N359">
        <v>65.05</v>
      </c>
      <c r="O359">
        <v>61.75</v>
      </c>
      <c r="P359" s="9">
        <v>46147.645752314813</v>
      </c>
    </row>
    <row r="360" spans="1:16" hidden="1" x14ac:dyDescent="0.25">
      <c r="A360" t="s">
        <v>8</v>
      </c>
      <c r="B360" s="4">
        <v>46168</v>
      </c>
      <c r="C360" t="s">
        <v>398</v>
      </c>
      <c r="D360">
        <v>49600</v>
      </c>
      <c r="E360" t="s">
        <v>40</v>
      </c>
      <c r="F360">
        <v>5849</v>
      </c>
      <c r="G360">
        <v>0</v>
      </c>
      <c r="H360">
        <v>120</v>
      </c>
      <c r="I360">
        <v>120</v>
      </c>
      <c r="J360">
        <v>120</v>
      </c>
      <c r="K360">
        <v>0</v>
      </c>
      <c r="L360">
        <v>0</v>
      </c>
      <c r="M360">
        <v>0</v>
      </c>
      <c r="N360">
        <v>5849</v>
      </c>
      <c r="O360">
        <v>5132.3</v>
      </c>
      <c r="P360" s="9">
        <v>46125.40457175926</v>
      </c>
    </row>
    <row r="361" spans="1:16" hidden="1" x14ac:dyDescent="0.25">
      <c r="A361" t="s">
        <v>8</v>
      </c>
      <c r="B361" s="4">
        <v>46168</v>
      </c>
      <c r="C361" t="s">
        <v>399</v>
      </c>
      <c r="D361">
        <v>49600</v>
      </c>
      <c r="E361" t="s">
        <v>42</v>
      </c>
      <c r="F361">
        <v>65.2</v>
      </c>
      <c r="G361">
        <v>7710</v>
      </c>
      <c r="H361">
        <v>3120</v>
      </c>
      <c r="I361">
        <v>3300</v>
      </c>
      <c r="J361">
        <v>510</v>
      </c>
      <c r="K361">
        <v>81</v>
      </c>
      <c r="L361">
        <v>89.9</v>
      </c>
      <c r="M361">
        <v>63.8</v>
      </c>
      <c r="N361">
        <v>2.7</v>
      </c>
      <c r="O361">
        <v>64.7</v>
      </c>
      <c r="P361" s="9">
        <v>46147.645729166667</v>
      </c>
    </row>
    <row r="362" spans="1:16" hidden="1" x14ac:dyDescent="0.25">
      <c r="A362" t="s">
        <v>8</v>
      </c>
      <c r="B362" s="4">
        <v>46168</v>
      </c>
      <c r="C362" t="s">
        <v>400</v>
      </c>
      <c r="D362">
        <v>49700</v>
      </c>
      <c r="E362" t="s">
        <v>40</v>
      </c>
      <c r="F362">
        <v>12168.65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12168.65</v>
      </c>
      <c r="O362">
        <v>5034.5</v>
      </c>
      <c r="P362" s="9">
        <v>25569.229166666668</v>
      </c>
    </row>
    <row r="363" spans="1:16" hidden="1" x14ac:dyDescent="0.25">
      <c r="A363" t="s">
        <v>8</v>
      </c>
      <c r="B363" s="4">
        <v>46168</v>
      </c>
      <c r="C363" t="s">
        <v>401</v>
      </c>
      <c r="D363">
        <v>49700</v>
      </c>
      <c r="E363" t="s">
        <v>42</v>
      </c>
      <c r="F363">
        <v>70.150000000000006</v>
      </c>
      <c r="G363">
        <v>20340</v>
      </c>
      <c r="H363">
        <v>5700</v>
      </c>
      <c r="I363">
        <v>5730</v>
      </c>
      <c r="J363">
        <v>2940</v>
      </c>
      <c r="K363">
        <v>77.849999999999994</v>
      </c>
      <c r="L363">
        <v>98.55</v>
      </c>
      <c r="M363">
        <v>64.849999999999994</v>
      </c>
      <c r="N363">
        <v>73.55</v>
      </c>
      <c r="O363">
        <v>68.650000000000006</v>
      </c>
      <c r="P363" s="9">
        <v>46147.644444444442</v>
      </c>
    </row>
    <row r="364" spans="1:16" hidden="1" x14ac:dyDescent="0.25">
      <c r="A364" t="s">
        <v>8</v>
      </c>
      <c r="B364" s="4">
        <v>46168</v>
      </c>
      <c r="C364" t="s">
        <v>402</v>
      </c>
      <c r="D364">
        <v>49800</v>
      </c>
      <c r="E364" t="s">
        <v>40</v>
      </c>
      <c r="F364">
        <v>5672.7</v>
      </c>
      <c r="G364">
        <v>0</v>
      </c>
      <c r="H364">
        <v>90</v>
      </c>
      <c r="I364">
        <v>90</v>
      </c>
      <c r="J364">
        <v>90</v>
      </c>
      <c r="K364">
        <v>0</v>
      </c>
      <c r="L364">
        <v>0</v>
      </c>
      <c r="M364">
        <v>0</v>
      </c>
      <c r="N364">
        <v>5672.7</v>
      </c>
      <c r="O364">
        <v>4929</v>
      </c>
      <c r="P364" s="9">
        <v>46125.404398148145</v>
      </c>
    </row>
    <row r="365" spans="1:16" hidden="1" x14ac:dyDescent="0.25">
      <c r="A365" t="s">
        <v>8</v>
      </c>
      <c r="B365" s="4">
        <v>46168</v>
      </c>
      <c r="C365" t="s">
        <v>403</v>
      </c>
      <c r="D365">
        <v>49800</v>
      </c>
      <c r="E365" t="s">
        <v>42</v>
      </c>
      <c r="F365">
        <v>73.75</v>
      </c>
      <c r="G365">
        <v>22050</v>
      </c>
      <c r="H365">
        <v>18030</v>
      </c>
      <c r="I365">
        <v>18060</v>
      </c>
      <c r="J365">
        <v>15390</v>
      </c>
      <c r="K365">
        <v>87.75</v>
      </c>
      <c r="L365">
        <v>109.9</v>
      </c>
      <c r="M365">
        <v>70</v>
      </c>
      <c r="N365">
        <v>77</v>
      </c>
      <c r="O365">
        <v>73.25</v>
      </c>
      <c r="P365" s="9">
        <v>46147.645405092589</v>
      </c>
    </row>
    <row r="366" spans="1:16" hidden="1" x14ac:dyDescent="0.25">
      <c r="A366" t="s">
        <v>8</v>
      </c>
      <c r="B366" s="4">
        <v>46168</v>
      </c>
      <c r="C366" t="s">
        <v>404</v>
      </c>
      <c r="D366">
        <v>49900</v>
      </c>
      <c r="E366" t="s">
        <v>40</v>
      </c>
      <c r="F366">
        <v>11972.5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11972.5</v>
      </c>
      <c r="O366">
        <v>4820.7</v>
      </c>
      <c r="P366" s="9">
        <v>25569.229166666668</v>
      </c>
    </row>
    <row r="367" spans="1:16" hidden="1" x14ac:dyDescent="0.25">
      <c r="A367" t="s">
        <v>8</v>
      </c>
      <c r="B367" s="4">
        <v>46168</v>
      </c>
      <c r="C367" t="s">
        <v>405</v>
      </c>
      <c r="D367">
        <v>49900</v>
      </c>
      <c r="E367" t="s">
        <v>42</v>
      </c>
      <c r="F367">
        <v>80.5</v>
      </c>
      <c r="G367">
        <v>29880</v>
      </c>
      <c r="H367">
        <v>11100</v>
      </c>
      <c r="I367">
        <v>11730</v>
      </c>
      <c r="J367">
        <v>8490</v>
      </c>
      <c r="K367">
        <v>93</v>
      </c>
      <c r="L367">
        <v>112</v>
      </c>
      <c r="M367">
        <v>69.900000000000006</v>
      </c>
      <c r="N367">
        <v>80.8</v>
      </c>
      <c r="O367">
        <v>77.3</v>
      </c>
      <c r="P367" s="9">
        <v>46147.644062500003</v>
      </c>
    </row>
    <row r="368" spans="1:16" hidden="1" x14ac:dyDescent="0.25">
      <c r="A368" t="s">
        <v>8</v>
      </c>
      <c r="B368" s="4">
        <v>46168</v>
      </c>
      <c r="C368" t="s">
        <v>406</v>
      </c>
      <c r="D368">
        <v>50000</v>
      </c>
      <c r="E368" t="s">
        <v>40</v>
      </c>
      <c r="F368">
        <v>4896.8999999999996</v>
      </c>
      <c r="G368">
        <v>3720</v>
      </c>
      <c r="H368">
        <v>57840</v>
      </c>
      <c r="I368">
        <v>57960</v>
      </c>
      <c r="J368">
        <v>57120</v>
      </c>
      <c r="K368">
        <v>4900</v>
      </c>
      <c r="L368">
        <v>5100</v>
      </c>
      <c r="M368">
        <v>4541</v>
      </c>
      <c r="N368">
        <v>5189.3</v>
      </c>
      <c r="O368">
        <v>4806.3</v>
      </c>
      <c r="P368" s="9">
        <v>46147.640868055554</v>
      </c>
    </row>
    <row r="369" spans="1:16" hidden="1" x14ac:dyDescent="0.25">
      <c r="A369" t="s">
        <v>8</v>
      </c>
      <c r="B369" s="4">
        <v>46168</v>
      </c>
      <c r="C369" t="s">
        <v>407</v>
      </c>
      <c r="D369">
        <v>50000</v>
      </c>
      <c r="E369" t="s">
        <v>42</v>
      </c>
      <c r="F369">
        <v>83.05</v>
      </c>
      <c r="G369">
        <v>946800</v>
      </c>
      <c r="H369">
        <v>831240</v>
      </c>
      <c r="I369">
        <v>831240</v>
      </c>
      <c r="J369">
        <v>719130</v>
      </c>
      <c r="K369">
        <v>101.75</v>
      </c>
      <c r="L369">
        <v>119</v>
      </c>
      <c r="M369">
        <v>75.7</v>
      </c>
      <c r="N369">
        <v>85.15</v>
      </c>
      <c r="O369">
        <v>83.15</v>
      </c>
      <c r="P369" s="9">
        <v>46147.645787037036</v>
      </c>
    </row>
    <row r="370" spans="1:16" hidden="1" x14ac:dyDescent="0.25">
      <c r="A370" t="s">
        <v>8</v>
      </c>
      <c r="B370" s="4">
        <v>46168</v>
      </c>
      <c r="C370" t="s">
        <v>408</v>
      </c>
      <c r="D370">
        <v>50100</v>
      </c>
      <c r="E370" t="s">
        <v>40</v>
      </c>
      <c r="F370">
        <v>11776.45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11776.45</v>
      </c>
      <c r="O370">
        <v>4636.1000000000004</v>
      </c>
      <c r="P370" s="9">
        <v>25569.229166666668</v>
      </c>
    </row>
    <row r="371" spans="1:16" hidden="1" x14ac:dyDescent="0.25">
      <c r="A371" t="s">
        <v>8</v>
      </c>
      <c r="B371" s="4">
        <v>46168</v>
      </c>
      <c r="C371" t="s">
        <v>409</v>
      </c>
      <c r="D371">
        <v>50100</v>
      </c>
      <c r="E371" t="s">
        <v>42</v>
      </c>
      <c r="F371">
        <v>89.65</v>
      </c>
      <c r="G371">
        <v>28080</v>
      </c>
      <c r="H371">
        <v>7200</v>
      </c>
      <c r="I371">
        <v>7230</v>
      </c>
      <c r="J371">
        <v>3930</v>
      </c>
      <c r="K371">
        <v>106.1</v>
      </c>
      <c r="L371">
        <v>125.5</v>
      </c>
      <c r="M371">
        <v>80</v>
      </c>
      <c r="N371">
        <v>89.65</v>
      </c>
      <c r="O371">
        <v>87.9</v>
      </c>
      <c r="P371" s="9">
        <v>46147.645011574074</v>
      </c>
    </row>
    <row r="372" spans="1:16" hidden="1" x14ac:dyDescent="0.25">
      <c r="A372" t="s">
        <v>8</v>
      </c>
      <c r="B372" s="4">
        <v>46168</v>
      </c>
      <c r="C372" t="s">
        <v>410</v>
      </c>
      <c r="D372">
        <v>50200</v>
      </c>
      <c r="E372" t="s">
        <v>40</v>
      </c>
      <c r="F372">
        <v>4547.3</v>
      </c>
      <c r="G372">
        <v>420</v>
      </c>
      <c r="H372">
        <v>1770</v>
      </c>
      <c r="I372">
        <v>1770</v>
      </c>
      <c r="J372">
        <v>1770</v>
      </c>
      <c r="K372">
        <v>4547.3</v>
      </c>
      <c r="L372">
        <v>4547.3</v>
      </c>
      <c r="M372">
        <v>4547.3</v>
      </c>
      <c r="N372">
        <v>5131.1499999999996</v>
      </c>
      <c r="O372">
        <v>4592.3</v>
      </c>
      <c r="P372" s="9">
        <v>46147.525972222225</v>
      </c>
    </row>
    <row r="373" spans="1:16" hidden="1" x14ac:dyDescent="0.25">
      <c r="A373" t="s">
        <v>8</v>
      </c>
      <c r="B373" s="4">
        <v>46168</v>
      </c>
      <c r="C373" t="s">
        <v>411</v>
      </c>
      <c r="D373">
        <v>50200</v>
      </c>
      <c r="E373" t="s">
        <v>42</v>
      </c>
      <c r="F373">
        <v>95.4</v>
      </c>
      <c r="G373">
        <v>19410</v>
      </c>
      <c r="H373">
        <v>9660</v>
      </c>
      <c r="I373">
        <v>9720</v>
      </c>
      <c r="J373">
        <v>5640</v>
      </c>
      <c r="K373">
        <v>102.85</v>
      </c>
      <c r="L373">
        <v>132.4</v>
      </c>
      <c r="M373">
        <v>85.5</v>
      </c>
      <c r="N373">
        <v>96.75</v>
      </c>
      <c r="O373">
        <v>92.9</v>
      </c>
      <c r="P373" s="9">
        <v>46147.64539351852</v>
      </c>
    </row>
    <row r="374" spans="1:16" hidden="1" x14ac:dyDescent="0.25">
      <c r="A374" t="s">
        <v>8</v>
      </c>
      <c r="B374" s="4">
        <v>46168</v>
      </c>
      <c r="C374" t="s">
        <v>412</v>
      </c>
      <c r="D374">
        <v>50300</v>
      </c>
      <c r="E374" t="s">
        <v>40</v>
      </c>
      <c r="F374">
        <v>4200</v>
      </c>
      <c r="G374">
        <v>30</v>
      </c>
      <c r="H374">
        <v>30</v>
      </c>
      <c r="I374">
        <v>30</v>
      </c>
      <c r="J374">
        <v>30</v>
      </c>
      <c r="K374">
        <v>4200</v>
      </c>
      <c r="L374">
        <v>4200</v>
      </c>
      <c r="M374">
        <v>4200</v>
      </c>
      <c r="N374">
        <v>5228.3999999999996</v>
      </c>
      <c r="O374">
        <v>4406.8500000000004</v>
      </c>
      <c r="P374" s="9">
        <v>46147.496851851851</v>
      </c>
    </row>
    <row r="375" spans="1:16" hidden="1" x14ac:dyDescent="0.25">
      <c r="A375" t="s">
        <v>8</v>
      </c>
      <c r="B375" s="4">
        <v>46168</v>
      </c>
      <c r="C375" t="s">
        <v>413</v>
      </c>
      <c r="D375">
        <v>50300</v>
      </c>
      <c r="E375" t="s">
        <v>42</v>
      </c>
      <c r="F375">
        <v>99</v>
      </c>
      <c r="G375">
        <v>22170</v>
      </c>
      <c r="H375">
        <v>8160</v>
      </c>
      <c r="I375">
        <v>8850</v>
      </c>
      <c r="J375">
        <v>6630</v>
      </c>
      <c r="K375">
        <v>114</v>
      </c>
      <c r="L375">
        <v>140.5</v>
      </c>
      <c r="M375">
        <v>88.3</v>
      </c>
      <c r="N375">
        <v>101.25</v>
      </c>
      <c r="O375">
        <v>97.25</v>
      </c>
      <c r="P375" s="9">
        <v>46147.645624999997</v>
      </c>
    </row>
    <row r="376" spans="1:16" hidden="1" x14ac:dyDescent="0.25">
      <c r="A376" t="s">
        <v>8</v>
      </c>
      <c r="B376" s="4">
        <v>46168</v>
      </c>
      <c r="C376" t="s">
        <v>414</v>
      </c>
      <c r="D376">
        <v>50400</v>
      </c>
      <c r="E376" t="s">
        <v>40</v>
      </c>
      <c r="F376">
        <v>3633.85</v>
      </c>
      <c r="G376">
        <v>0</v>
      </c>
      <c r="H376">
        <v>120</v>
      </c>
      <c r="I376">
        <v>120</v>
      </c>
      <c r="J376">
        <v>120</v>
      </c>
      <c r="K376">
        <v>0</v>
      </c>
      <c r="L376">
        <v>0</v>
      </c>
      <c r="M376">
        <v>0</v>
      </c>
      <c r="N376">
        <v>3633.85</v>
      </c>
      <c r="O376">
        <v>4375.3</v>
      </c>
      <c r="P376" s="9">
        <v>46119.569745370369</v>
      </c>
    </row>
    <row r="377" spans="1:16" hidden="1" x14ac:dyDescent="0.25">
      <c r="A377" t="s">
        <v>8</v>
      </c>
      <c r="B377" s="4">
        <v>46168</v>
      </c>
      <c r="C377" t="s">
        <v>415</v>
      </c>
      <c r="D377">
        <v>50400</v>
      </c>
      <c r="E377" t="s">
        <v>42</v>
      </c>
      <c r="F377">
        <v>106.15</v>
      </c>
      <c r="G377">
        <v>13590</v>
      </c>
      <c r="H377">
        <v>3270</v>
      </c>
      <c r="I377">
        <v>3720</v>
      </c>
      <c r="J377">
        <v>1950</v>
      </c>
      <c r="K377">
        <v>122.15</v>
      </c>
      <c r="L377">
        <v>145.55000000000001</v>
      </c>
      <c r="M377">
        <v>96.9</v>
      </c>
      <c r="N377">
        <v>106</v>
      </c>
      <c r="O377">
        <v>104.05</v>
      </c>
      <c r="P377" s="9">
        <v>46147.644386574073</v>
      </c>
    </row>
    <row r="378" spans="1:16" hidden="1" x14ac:dyDescent="0.25">
      <c r="A378" t="s">
        <v>8</v>
      </c>
      <c r="B378" s="4">
        <v>46168</v>
      </c>
      <c r="C378" t="s">
        <v>416</v>
      </c>
      <c r="D378">
        <v>50500</v>
      </c>
      <c r="E378" t="s">
        <v>40</v>
      </c>
      <c r="F378">
        <v>4315</v>
      </c>
      <c r="G378">
        <v>60</v>
      </c>
      <c r="H378">
        <v>1200</v>
      </c>
      <c r="I378">
        <v>1230</v>
      </c>
      <c r="J378">
        <v>1200</v>
      </c>
      <c r="K378">
        <v>4194</v>
      </c>
      <c r="L378">
        <v>4315</v>
      </c>
      <c r="M378">
        <v>4194</v>
      </c>
      <c r="N378">
        <v>4800</v>
      </c>
      <c r="O378">
        <v>4332.45</v>
      </c>
      <c r="P378" s="9">
        <v>46147.469699074078</v>
      </c>
    </row>
    <row r="379" spans="1:16" hidden="1" x14ac:dyDescent="0.25">
      <c r="A379" t="s">
        <v>8</v>
      </c>
      <c r="B379" s="4">
        <v>46168</v>
      </c>
      <c r="C379" t="s">
        <v>417</v>
      </c>
      <c r="D379">
        <v>50500</v>
      </c>
      <c r="E379" t="s">
        <v>42</v>
      </c>
      <c r="F379">
        <v>110</v>
      </c>
      <c r="G379">
        <v>231870</v>
      </c>
      <c r="H379">
        <v>147540</v>
      </c>
      <c r="I379">
        <v>147540</v>
      </c>
      <c r="J379">
        <v>114690</v>
      </c>
      <c r="K379">
        <v>109</v>
      </c>
      <c r="L379">
        <v>156.30000000000001</v>
      </c>
      <c r="M379">
        <v>99.2</v>
      </c>
      <c r="N379">
        <v>109.9</v>
      </c>
      <c r="O379">
        <v>110.65</v>
      </c>
      <c r="P379" s="9">
        <v>46147.645775462966</v>
      </c>
    </row>
    <row r="380" spans="1:16" hidden="1" x14ac:dyDescent="0.25">
      <c r="A380" t="s">
        <v>8</v>
      </c>
      <c r="B380" s="4">
        <v>46168</v>
      </c>
      <c r="C380" t="s">
        <v>418</v>
      </c>
      <c r="D380">
        <v>50600</v>
      </c>
      <c r="E380" t="s">
        <v>40</v>
      </c>
      <c r="F380">
        <v>7075</v>
      </c>
      <c r="G380">
        <v>0</v>
      </c>
      <c r="H380">
        <v>720</v>
      </c>
      <c r="I380">
        <v>720</v>
      </c>
      <c r="J380">
        <v>720</v>
      </c>
      <c r="K380">
        <v>0</v>
      </c>
      <c r="L380">
        <v>0</v>
      </c>
      <c r="M380">
        <v>0</v>
      </c>
      <c r="N380">
        <v>7075</v>
      </c>
      <c r="O380">
        <v>4193.3999999999996</v>
      </c>
      <c r="P380" s="9">
        <v>46133.641516203701</v>
      </c>
    </row>
    <row r="381" spans="1:16" hidden="1" x14ac:dyDescent="0.25">
      <c r="A381" t="s">
        <v>8</v>
      </c>
      <c r="B381" s="4">
        <v>46168</v>
      </c>
      <c r="C381" t="s">
        <v>419</v>
      </c>
      <c r="D381">
        <v>50600</v>
      </c>
      <c r="E381" t="s">
        <v>42</v>
      </c>
      <c r="F381">
        <v>119.35</v>
      </c>
      <c r="G381">
        <v>33900</v>
      </c>
      <c r="H381">
        <v>26460</v>
      </c>
      <c r="I381">
        <v>31440</v>
      </c>
      <c r="J381">
        <v>26400</v>
      </c>
      <c r="K381">
        <v>140</v>
      </c>
      <c r="L381">
        <v>161.75</v>
      </c>
      <c r="M381">
        <v>104.5</v>
      </c>
      <c r="N381">
        <v>117.2</v>
      </c>
      <c r="O381">
        <v>117.2</v>
      </c>
      <c r="P381" s="9">
        <v>46147.645486111112</v>
      </c>
    </row>
    <row r="382" spans="1:16" hidden="1" x14ac:dyDescent="0.25">
      <c r="A382" t="s">
        <v>8</v>
      </c>
      <c r="B382" s="4">
        <v>46168</v>
      </c>
      <c r="C382" t="s">
        <v>420</v>
      </c>
      <c r="D382">
        <v>50700</v>
      </c>
      <c r="E382" t="s">
        <v>40</v>
      </c>
      <c r="F382">
        <v>5411.1</v>
      </c>
      <c r="G382">
        <v>0</v>
      </c>
      <c r="H382">
        <v>330</v>
      </c>
      <c r="I382">
        <v>330</v>
      </c>
      <c r="J382">
        <v>330</v>
      </c>
      <c r="K382">
        <v>0</v>
      </c>
      <c r="L382">
        <v>0</v>
      </c>
      <c r="M382">
        <v>0</v>
      </c>
      <c r="N382">
        <v>5411.1</v>
      </c>
      <c r="O382">
        <v>4091.2</v>
      </c>
      <c r="P382" s="9">
        <v>46121.514965277776</v>
      </c>
    </row>
    <row r="383" spans="1:16" hidden="1" x14ac:dyDescent="0.25">
      <c r="A383" t="s">
        <v>8</v>
      </c>
      <c r="B383" s="4">
        <v>46168</v>
      </c>
      <c r="C383" t="s">
        <v>421</v>
      </c>
      <c r="D383">
        <v>50700</v>
      </c>
      <c r="E383" t="s">
        <v>42</v>
      </c>
      <c r="F383">
        <v>124.8</v>
      </c>
      <c r="G383">
        <v>22050</v>
      </c>
      <c r="H383">
        <v>6450</v>
      </c>
      <c r="I383">
        <v>7740</v>
      </c>
      <c r="J383">
        <v>3810</v>
      </c>
      <c r="K383">
        <v>144.94999999999999</v>
      </c>
      <c r="L383">
        <v>172.25</v>
      </c>
      <c r="M383">
        <v>113.5</v>
      </c>
      <c r="N383">
        <v>126.8</v>
      </c>
      <c r="O383">
        <v>125</v>
      </c>
      <c r="P383" s="9">
        <v>46147.645127314812</v>
      </c>
    </row>
    <row r="384" spans="1:16" hidden="1" x14ac:dyDescent="0.25">
      <c r="A384" t="s">
        <v>8</v>
      </c>
      <c r="B384" s="4">
        <v>46168</v>
      </c>
      <c r="C384" t="s">
        <v>422</v>
      </c>
      <c r="D384">
        <v>50800</v>
      </c>
      <c r="E384" t="s">
        <v>40</v>
      </c>
      <c r="F384">
        <v>5393.7</v>
      </c>
      <c r="G384">
        <v>0</v>
      </c>
      <c r="H384">
        <v>330</v>
      </c>
      <c r="I384">
        <v>330</v>
      </c>
      <c r="J384">
        <v>330</v>
      </c>
      <c r="K384">
        <v>0</v>
      </c>
      <c r="L384">
        <v>0</v>
      </c>
      <c r="M384">
        <v>0</v>
      </c>
      <c r="N384">
        <v>5393.7</v>
      </c>
      <c r="O384">
        <v>3997.95</v>
      </c>
      <c r="P384" s="9">
        <v>46140.457465277781</v>
      </c>
    </row>
    <row r="385" spans="1:16" hidden="1" x14ac:dyDescent="0.25">
      <c r="A385" t="s">
        <v>8</v>
      </c>
      <c r="B385" s="4">
        <v>46168</v>
      </c>
      <c r="C385" t="s">
        <v>423</v>
      </c>
      <c r="D385">
        <v>50800</v>
      </c>
      <c r="E385" t="s">
        <v>42</v>
      </c>
      <c r="F385">
        <v>132.4</v>
      </c>
      <c r="G385">
        <v>47730</v>
      </c>
      <c r="H385">
        <v>26220</v>
      </c>
      <c r="I385">
        <v>35010</v>
      </c>
      <c r="J385">
        <v>26220</v>
      </c>
      <c r="K385">
        <v>131</v>
      </c>
      <c r="L385">
        <v>181.5</v>
      </c>
      <c r="M385">
        <v>119.65</v>
      </c>
      <c r="N385">
        <v>130.1</v>
      </c>
      <c r="O385">
        <v>132</v>
      </c>
      <c r="P385" s="9">
        <v>46147.645486111112</v>
      </c>
    </row>
    <row r="386" spans="1:16" hidden="1" x14ac:dyDescent="0.25">
      <c r="A386" t="s">
        <v>8</v>
      </c>
      <c r="B386" s="4">
        <v>46168</v>
      </c>
      <c r="C386" t="s">
        <v>424</v>
      </c>
      <c r="D386">
        <v>50900</v>
      </c>
      <c r="E386" t="s">
        <v>40</v>
      </c>
      <c r="F386">
        <v>5000</v>
      </c>
      <c r="G386">
        <v>0</v>
      </c>
      <c r="H386">
        <v>300</v>
      </c>
      <c r="I386">
        <v>300</v>
      </c>
      <c r="J386">
        <v>300</v>
      </c>
      <c r="K386">
        <v>0</v>
      </c>
      <c r="L386">
        <v>0</v>
      </c>
      <c r="M386">
        <v>0</v>
      </c>
      <c r="N386">
        <v>5000</v>
      </c>
      <c r="O386">
        <v>3922.35</v>
      </c>
      <c r="P386" s="9">
        <v>46121.586331018516</v>
      </c>
    </row>
    <row r="387" spans="1:16" hidden="1" x14ac:dyDescent="0.25">
      <c r="A387" t="s">
        <v>8</v>
      </c>
      <c r="B387" s="4">
        <v>46168</v>
      </c>
      <c r="C387" t="s">
        <v>425</v>
      </c>
      <c r="D387">
        <v>50900</v>
      </c>
      <c r="E387" t="s">
        <v>42</v>
      </c>
      <c r="F387">
        <v>143</v>
      </c>
      <c r="G387">
        <v>19050</v>
      </c>
      <c r="H387">
        <v>13650</v>
      </c>
      <c r="I387">
        <v>14340</v>
      </c>
      <c r="J387">
        <v>10710</v>
      </c>
      <c r="K387">
        <v>150</v>
      </c>
      <c r="L387">
        <v>190.75</v>
      </c>
      <c r="M387">
        <v>125</v>
      </c>
      <c r="N387">
        <v>139.44999999999999</v>
      </c>
      <c r="O387">
        <v>139.25</v>
      </c>
      <c r="P387" s="9">
        <v>46147.645254629628</v>
      </c>
    </row>
    <row r="388" spans="1:16" hidden="1" x14ac:dyDescent="0.25">
      <c r="A388" t="s">
        <v>8</v>
      </c>
      <c r="B388" s="4">
        <v>46168</v>
      </c>
      <c r="C388" t="s">
        <v>426</v>
      </c>
      <c r="D388">
        <v>51000</v>
      </c>
      <c r="E388" t="s">
        <v>40</v>
      </c>
      <c r="F388">
        <v>3916</v>
      </c>
      <c r="G388">
        <v>3630</v>
      </c>
      <c r="H388">
        <v>29100</v>
      </c>
      <c r="I388">
        <v>29160</v>
      </c>
      <c r="J388">
        <v>28650</v>
      </c>
      <c r="K388">
        <v>4219.55</v>
      </c>
      <c r="L388">
        <v>4237.25</v>
      </c>
      <c r="M388">
        <v>3690.15</v>
      </c>
      <c r="N388">
        <v>4219.6000000000004</v>
      </c>
      <c r="O388">
        <v>3925</v>
      </c>
      <c r="P388" s="9">
        <v>46147.644155092596</v>
      </c>
    </row>
    <row r="389" spans="1:16" hidden="1" x14ac:dyDescent="0.25">
      <c r="A389" t="s">
        <v>8</v>
      </c>
      <c r="B389" s="4">
        <v>46168</v>
      </c>
      <c r="C389" t="s">
        <v>427</v>
      </c>
      <c r="D389">
        <v>51000</v>
      </c>
      <c r="E389" t="s">
        <v>42</v>
      </c>
      <c r="F389">
        <v>149</v>
      </c>
      <c r="G389">
        <v>855510</v>
      </c>
      <c r="H389">
        <v>349710</v>
      </c>
      <c r="I389">
        <v>349710</v>
      </c>
      <c r="J389">
        <v>308220</v>
      </c>
      <c r="K389">
        <v>159.94999999999999</v>
      </c>
      <c r="L389">
        <v>204.2</v>
      </c>
      <c r="M389">
        <v>129.94999999999999</v>
      </c>
      <c r="N389">
        <v>145.85</v>
      </c>
      <c r="O389">
        <v>148</v>
      </c>
      <c r="P389" s="9">
        <v>46147.645810185182</v>
      </c>
    </row>
    <row r="390" spans="1:16" hidden="1" x14ac:dyDescent="0.25">
      <c r="A390" t="s">
        <v>8</v>
      </c>
      <c r="B390" s="4">
        <v>46168</v>
      </c>
      <c r="C390" t="s">
        <v>428</v>
      </c>
      <c r="D390">
        <v>51100</v>
      </c>
      <c r="E390" t="s">
        <v>40</v>
      </c>
      <c r="F390">
        <v>4090</v>
      </c>
      <c r="G390">
        <v>60</v>
      </c>
      <c r="H390">
        <v>420</v>
      </c>
      <c r="I390">
        <v>420</v>
      </c>
      <c r="J390">
        <v>390</v>
      </c>
      <c r="K390">
        <v>3990</v>
      </c>
      <c r="L390">
        <v>4090</v>
      </c>
      <c r="M390">
        <v>3990</v>
      </c>
      <c r="N390">
        <v>5143.8</v>
      </c>
      <c r="O390">
        <v>3773.9</v>
      </c>
      <c r="P390" s="9">
        <v>46147.603645833333</v>
      </c>
    </row>
    <row r="391" spans="1:16" hidden="1" x14ac:dyDescent="0.25">
      <c r="A391" t="s">
        <v>8</v>
      </c>
      <c r="B391" s="4">
        <v>46168</v>
      </c>
      <c r="C391" t="s">
        <v>429</v>
      </c>
      <c r="D391">
        <v>51100</v>
      </c>
      <c r="E391" t="s">
        <v>42</v>
      </c>
      <c r="F391">
        <v>159.44999999999999</v>
      </c>
      <c r="G391">
        <v>34800</v>
      </c>
      <c r="H391">
        <v>16140</v>
      </c>
      <c r="I391">
        <v>16140</v>
      </c>
      <c r="J391">
        <v>10350</v>
      </c>
      <c r="K391">
        <v>177.9</v>
      </c>
      <c r="L391">
        <v>211.8</v>
      </c>
      <c r="M391">
        <v>136.4</v>
      </c>
      <c r="N391">
        <v>151.44999999999999</v>
      </c>
      <c r="O391">
        <v>155.85</v>
      </c>
      <c r="P391" s="9">
        <v>46147.645486111112</v>
      </c>
    </row>
    <row r="392" spans="1:16" hidden="1" x14ac:dyDescent="0.25">
      <c r="A392" t="s">
        <v>8</v>
      </c>
      <c r="B392" s="4">
        <v>46168</v>
      </c>
      <c r="C392" t="s">
        <v>430</v>
      </c>
      <c r="D392">
        <v>51200</v>
      </c>
      <c r="E392" t="s">
        <v>40</v>
      </c>
      <c r="F392">
        <v>3723.7</v>
      </c>
      <c r="G392">
        <v>0</v>
      </c>
      <c r="H392">
        <v>540</v>
      </c>
      <c r="I392">
        <v>540</v>
      </c>
      <c r="J392">
        <v>540</v>
      </c>
      <c r="K392">
        <v>0</v>
      </c>
      <c r="L392">
        <v>0</v>
      </c>
      <c r="M392">
        <v>0</v>
      </c>
      <c r="N392">
        <v>3723.7</v>
      </c>
      <c r="O392">
        <v>3691.85</v>
      </c>
      <c r="P392" s="9">
        <v>46142.431030092594</v>
      </c>
    </row>
    <row r="393" spans="1:16" hidden="1" x14ac:dyDescent="0.25">
      <c r="A393" t="s">
        <v>8</v>
      </c>
      <c r="B393" s="4">
        <v>46168</v>
      </c>
      <c r="C393" t="s">
        <v>431</v>
      </c>
      <c r="D393">
        <v>51200</v>
      </c>
      <c r="E393" t="s">
        <v>42</v>
      </c>
      <c r="F393">
        <v>168.7</v>
      </c>
      <c r="G393">
        <v>53520</v>
      </c>
      <c r="H393">
        <v>22710</v>
      </c>
      <c r="I393">
        <v>24810</v>
      </c>
      <c r="J393">
        <v>18570</v>
      </c>
      <c r="K393">
        <v>174</v>
      </c>
      <c r="L393">
        <v>225.75</v>
      </c>
      <c r="M393">
        <v>148.5</v>
      </c>
      <c r="N393">
        <v>160.6</v>
      </c>
      <c r="O393">
        <v>165</v>
      </c>
      <c r="P393" s="9">
        <v>46147.645486111112</v>
      </c>
    </row>
    <row r="394" spans="1:16" hidden="1" x14ac:dyDescent="0.25">
      <c r="A394" t="s">
        <v>8</v>
      </c>
      <c r="B394" s="4">
        <v>46168</v>
      </c>
      <c r="C394" t="s">
        <v>432</v>
      </c>
      <c r="D394">
        <v>51300</v>
      </c>
      <c r="E394" t="s">
        <v>40</v>
      </c>
      <c r="F394">
        <v>3753</v>
      </c>
      <c r="G394">
        <v>120</v>
      </c>
      <c r="H394">
        <v>390</v>
      </c>
      <c r="I394">
        <v>450</v>
      </c>
      <c r="J394">
        <v>390</v>
      </c>
      <c r="K394">
        <v>3690</v>
      </c>
      <c r="L394">
        <v>3753</v>
      </c>
      <c r="M394">
        <v>3456</v>
      </c>
      <c r="N394">
        <v>4005</v>
      </c>
      <c r="O394">
        <v>3584.75</v>
      </c>
      <c r="P394" s="9">
        <v>46147.54178240741</v>
      </c>
    </row>
    <row r="395" spans="1:16" hidden="1" x14ac:dyDescent="0.25">
      <c r="A395" t="s">
        <v>8</v>
      </c>
      <c r="B395" s="4">
        <v>46168</v>
      </c>
      <c r="C395" t="s">
        <v>433</v>
      </c>
      <c r="D395">
        <v>51300</v>
      </c>
      <c r="E395" t="s">
        <v>42</v>
      </c>
      <c r="F395">
        <v>175.55</v>
      </c>
      <c r="G395">
        <v>26970</v>
      </c>
      <c r="H395">
        <v>17010</v>
      </c>
      <c r="I395">
        <v>17100</v>
      </c>
      <c r="J395">
        <v>12720</v>
      </c>
      <c r="K395">
        <v>204.95</v>
      </c>
      <c r="L395">
        <v>236.1</v>
      </c>
      <c r="M395">
        <v>156.19999999999999</v>
      </c>
      <c r="N395">
        <v>170.35</v>
      </c>
      <c r="O395">
        <v>174.5</v>
      </c>
      <c r="P395" s="9">
        <v>46147.645682870374</v>
      </c>
    </row>
    <row r="396" spans="1:16" hidden="1" x14ac:dyDescent="0.25">
      <c r="A396" t="s">
        <v>8</v>
      </c>
      <c r="B396" s="4">
        <v>46168</v>
      </c>
      <c r="C396" t="s">
        <v>434</v>
      </c>
      <c r="D396">
        <v>51400</v>
      </c>
      <c r="E396" t="s">
        <v>40</v>
      </c>
      <c r="F396">
        <v>3600</v>
      </c>
      <c r="G396">
        <v>0</v>
      </c>
      <c r="H396">
        <v>420</v>
      </c>
      <c r="I396">
        <v>420</v>
      </c>
      <c r="J396">
        <v>420</v>
      </c>
      <c r="K396">
        <v>0</v>
      </c>
      <c r="L396">
        <v>0</v>
      </c>
      <c r="M396">
        <v>0</v>
      </c>
      <c r="N396">
        <v>3600</v>
      </c>
      <c r="O396">
        <v>3492.05</v>
      </c>
      <c r="P396" s="9">
        <v>46142.429108796299</v>
      </c>
    </row>
    <row r="397" spans="1:16" hidden="1" x14ac:dyDescent="0.25">
      <c r="A397" t="s">
        <v>8</v>
      </c>
      <c r="B397" s="4">
        <v>46168</v>
      </c>
      <c r="C397" t="s">
        <v>435</v>
      </c>
      <c r="D397">
        <v>51400</v>
      </c>
      <c r="E397" t="s">
        <v>42</v>
      </c>
      <c r="F397">
        <v>187.7</v>
      </c>
      <c r="G397">
        <v>37320</v>
      </c>
      <c r="H397">
        <v>14730</v>
      </c>
      <c r="I397">
        <v>15150</v>
      </c>
      <c r="J397">
        <v>9630</v>
      </c>
      <c r="K397">
        <v>221.95</v>
      </c>
      <c r="L397">
        <v>250.15</v>
      </c>
      <c r="M397">
        <v>165.55</v>
      </c>
      <c r="N397">
        <v>177.35</v>
      </c>
      <c r="O397">
        <v>184.2</v>
      </c>
      <c r="P397" s="9">
        <v>46147.64570601852</v>
      </c>
    </row>
    <row r="398" spans="1:16" hidden="1" x14ac:dyDescent="0.25">
      <c r="A398" t="s">
        <v>8</v>
      </c>
      <c r="B398" s="4">
        <v>46168</v>
      </c>
      <c r="C398" t="s">
        <v>436</v>
      </c>
      <c r="D398">
        <v>51500</v>
      </c>
      <c r="E398" t="s">
        <v>40</v>
      </c>
      <c r="F398">
        <v>3470.85</v>
      </c>
      <c r="G398">
        <v>540</v>
      </c>
      <c r="H398">
        <v>6990</v>
      </c>
      <c r="I398">
        <v>6990</v>
      </c>
      <c r="J398">
        <v>6960</v>
      </c>
      <c r="K398">
        <v>3435.6</v>
      </c>
      <c r="L398">
        <v>3470.85</v>
      </c>
      <c r="M398">
        <v>3390</v>
      </c>
      <c r="N398">
        <v>3825</v>
      </c>
      <c r="O398">
        <v>3437.95</v>
      </c>
      <c r="P398" s="9">
        <v>46147.62771990741</v>
      </c>
    </row>
    <row r="399" spans="1:16" hidden="1" x14ac:dyDescent="0.25">
      <c r="A399" t="s">
        <v>8</v>
      </c>
      <c r="B399" s="4">
        <v>46168</v>
      </c>
      <c r="C399" t="s">
        <v>437</v>
      </c>
      <c r="D399">
        <v>51500</v>
      </c>
      <c r="E399" t="s">
        <v>42</v>
      </c>
      <c r="F399">
        <v>195.85</v>
      </c>
      <c r="G399">
        <v>361410</v>
      </c>
      <c r="H399">
        <v>146580</v>
      </c>
      <c r="I399">
        <v>149130</v>
      </c>
      <c r="J399">
        <v>119520</v>
      </c>
      <c r="K399">
        <v>203.6</v>
      </c>
      <c r="L399">
        <v>263.75</v>
      </c>
      <c r="M399">
        <v>170.5</v>
      </c>
      <c r="N399">
        <v>187.25</v>
      </c>
      <c r="O399">
        <v>195.85</v>
      </c>
      <c r="P399" s="9">
        <v>46147.645775462966</v>
      </c>
    </row>
    <row r="400" spans="1:16" hidden="1" x14ac:dyDescent="0.25">
      <c r="A400" t="s">
        <v>8</v>
      </c>
      <c r="B400" s="4">
        <v>46168</v>
      </c>
      <c r="C400" t="s">
        <v>438</v>
      </c>
      <c r="D400">
        <v>51600</v>
      </c>
      <c r="E400" t="s">
        <v>40</v>
      </c>
      <c r="F400">
        <v>4361.95</v>
      </c>
      <c r="G400">
        <v>0</v>
      </c>
      <c r="H400">
        <v>360</v>
      </c>
      <c r="I400">
        <v>360</v>
      </c>
      <c r="J400">
        <v>360</v>
      </c>
      <c r="K400">
        <v>0</v>
      </c>
      <c r="L400">
        <v>0</v>
      </c>
      <c r="M400">
        <v>0</v>
      </c>
      <c r="N400">
        <v>4361.95</v>
      </c>
      <c r="O400">
        <v>3324.55</v>
      </c>
      <c r="P400" s="9">
        <v>46125.435752314814</v>
      </c>
    </row>
    <row r="401" spans="1:16" hidden="1" x14ac:dyDescent="0.25">
      <c r="A401" t="s">
        <v>8</v>
      </c>
      <c r="B401" s="4">
        <v>46168</v>
      </c>
      <c r="C401" t="s">
        <v>439</v>
      </c>
      <c r="D401">
        <v>51600</v>
      </c>
      <c r="E401" t="s">
        <v>42</v>
      </c>
      <c r="F401">
        <v>207.3</v>
      </c>
      <c r="G401">
        <v>47490</v>
      </c>
      <c r="H401">
        <v>25200</v>
      </c>
      <c r="I401">
        <v>25200</v>
      </c>
      <c r="J401">
        <v>14760</v>
      </c>
      <c r="K401">
        <v>223.85</v>
      </c>
      <c r="L401">
        <v>277</v>
      </c>
      <c r="M401">
        <v>183.85</v>
      </c>
      <c r="N401">
        <v>197.4</v>
      </c>
      <c r="O401">
        <v>206.6</v>
      </c>
      <c r="P401" s="9">
        <v>46147.64576388889</v>
      </c>
    </row>
    <row r="402" spans="1:16" hidden="1" x14ac:dyDescent="0.25">
      <c r="A402" t="s">
        <v>8</v>
      </c>
      <c r="B402" s="4">
        <v>46168</v>
      </c>
      <c r="C402" t="s">
        <v>440</v>
      </c>
      <c r="D402">
        <v>51700</v>
      </c>
      <c r="E402" t="s">
        <v>40</v>
      </c>
      <c r="F402">
        <v>6000</v>
      </c>
      <c r="G402">
        <v>0</v>
      </c>
      <c r="H402">
        <v>600</v>
      </c>
      <c r="I402">
        <v>600</v>
      </c>
      <c r="J402">
        <v>600</v>
      </c>
      <c r="K402">
        <v>0</v>
      </c>
      <c r="L402">
        <v>0</v>
      </c>
      <c r="M402">
        <v>0</v>
      </c>
      <c r="N402">
        <v>6000</v>
      </c>
      <c r="O402">
        <v>3228.3</v>
      </c>
      <c r="P402" s="9">
        <v>46134.603506944448</v>
      </c>
    </row>
    <row r="403" spans="1:16" hidden="1" x14ac:dyDescent="0.25">
      <c r="A403" t="s">
        <v>8</v>
      </c>
      <c r="B403" s="4">
        <v>46168</v>
      </c>
      <c r="C403" t="s">
        <v>441</v>
      </c>
      <c r="D403">
        <v>51700</v>
      </c>
      <c r="E403" t="s">
        <v>42</v>
      </c>
      <c r="F403">
        <v>221.75</v>
      </c>
      <c r="G403">
        <v>36300</v>
      </c>
      <c r="H403">
        <v>21030</v>
      </c>
      <c r="I403">
        <v>21030</v>
      </c>
      <c r="J403">
        <v>11400</v>
      </c>
      <c r="K403">
        <v>233.45</v>
      </c>
      <c r="L403">
        <v>291.25</v>
      </c>
      <c r="M403">
        <v>196</v>
      </c>
      <c r="N403">
        <v>209.5</v>
      </c>
      <c r="O403">
        <v>218.1</v>
      </c>
      <c r="P403" s="9">
        <v>46147.645497685182</v>
      </c>
    </row>
    <row r="404" spans="1:16" hidden="1" x14ac:dyDescent="0.25">
      <c r="A404" t="s">
        <v>8</v>
      </c>
      <c r="B404" s="4">
        <v>46168</v>
      </c>
      <c r="C404" t="s">
        <v>442</v>
      </c>
      <c r="D404">
        <v>51800</v>
      </c>
      <c r="E404" t="s">
        <v>40</v>
      </c>
      <c r="F404">
        <v>3175.3</v>
      </c>
      <c r="G404">
        <v>30</v>
      </c>
      <c r="H404">
        <v>840</v>
      </c>
      <c r="I404">
        <v>840</v>
      </c>
      <c r="J404">
        <v>840</v>
      </c>
      <c r="K404">
        <v>3175.3</v>
      </c>
      <c r="L404">
        <v>3175.3</v>
      </c>
      <c r="M404">
        <v>3175.3</v>
      </c>
      <c r="N404">
        <v>6002.85</v>
      </c>
      <c r="O404">
        <v>3152.45</v>
      </c>
      <c r="P404" s="9">
        <v>46147.534837962965</v>
      </c>
    </row>
    <row r="405" spans="1:16" hidden="1" x14ac:dyDescent="0.25">
      <c r="A405" t="s">
        <v>8</v>
      </c>
      <c r="B405" s="4">
        <v>46168</v>
      </c>
      <c r="C405" t="s">
        <v>443</v>
      </c>
      <c r="D405">
        <v>51800</v>
      </c>
      <c r="E405" t="s">
        <v>42</v>
      </c>
      <c r="F405">
        <v>233.5</v>
      </c>
      <c r="G405">
        <v>52380</v>
      </c>
      <c r="H405">
        <v>28260</v>
      </c>
      <c r="I405">
        <v>29970</v>
      </c>
      <c r="J405">
        <v>23220</v>
      </c>
      <c r="K405">
        <v>242.85</v>
      </c>
      <c r="L405">
        <v>307.39999999999998</v>
      </c>
      <c r="M405">
        <v>200</v>
      </c>
      <c r="N405">
        <v>216</v>
      </c>
      <c r="O405">
        <v>230.2</v>
      </c>
      <c r="P405" s="9">
        <v>46147.645567129628</v>
      </c>
    </row>
    <row r="406" spans="1:16" hidden="1" x14ac:dyDescent="0.25">
      <c r="A406" t="s">
        <v>8</v>
      </c>
      <c r="B406" s="4">
        <v>46168</v>
      </c>
      <c r="C406" t="s">
        <v>444</v>
      </c>
      <c r="D406">
        <v>51900</v>
      </c>
      <c r="E406" t="s">
        <v>40</v>
      </c>
      <c r="F406">
        <v>3900</v>
      </c>
      <c r="G406">
        <v>0</v>
      </c>
      <c r="H406">
        <v>510</v>
      </c>
      <c r="I406">
        <v>510</v>
      </c>
      <c r="J406">
        <v>510</v>
      </c>
      <c r="K406">
        <v>0</v>
      </c>
      <c r="L406">
        <v>0</v>
      </c>
      <c r="M406">
        <v>0</v>
      </c>
      <c r="N406">
        <v>3900</v>
      </c>
      <c r="O406">
        <v>3061.55</v>
      </c>
      <c r="P406" s="9">
        <v>46141.637152777781</v>
      </c>
    </row>
    <row r="407" spans="1:16" hidden="1" x14ac:dyDescent="0.25">
      <c r="A407" t="s">
        <v>8</v>
      </c>
      <c r="B407" s="4">
        <v>46168</v>
      </c>
      <c r="C407" t="s">
        <v>445</v>
      </c>
      <c r="D407">
        <v>51900</v>
      </c>
      <c r="E407" t="s">
        <v>42</v>
      </c>
      <c r="F407">
        <v>245.35</v>
      </c>
      <c r="G407">
        <v>59250</v>
      </c>
      <c r="H407">
        <v>18810</v>
      </c>
      <c r="I407">
        <v>19560</v>
      </c>
      <c r="J407">
        <v>11610</v>
      </c>
      <c r="K407">
        <v>286.95</v>
      </c>
      <c r="L407">
        <v>322.55</v>
      </c>
      <c r="M407">
        <v>215.85</v>
      </c>
      <c r="N407">
        <v>231.55</v>
      </c>
      <c r="O407">
        <v>243.25</v>
      </c>
      <c r="P407" s="9">
        <v>46147.645636574074</v>
      </c>
    </row>
    <row r="408" spans="1:16" hidden="1" x14ac:dyDescent="0.25">
      <c r="A408" t="s">
        <v>8</v>
      </c>
      <c r="B408" s="4">
        <v>46168</v>
      </c>
      <c r="C408" t="s">
        <v>446</v>
      </c>
      <c r="D408">
        <v>52000</v>
      </c>
      <c r="E408" t="s">
        <v>40</v>
      </c>
      <c r="F408">
        <v>3050</v>
      </c>
      <c r="G408">
        <v>18450</v>
      </c>
      <c r="H408">
        <v>72120</v>
      </c>
      <c r="I408">
        <v>72120</v>
      </c>
      <c r="J408">
        <v>64980</v>
      </c>
      <c r="K408">
        <v>3072.2</v>
      </c>
      <c r="L408">
        <v>3345</v>
      </c>
      <c r="M408">
        <v>2763</v>
      </c>
      <c r="N408">
        <v>3389.25</v>
      </c>
      <c r="O408">
        <v>3028</v>
      </c>
      <c r="P408" s="9">
        <v>46147.644224537034</v>
      </c>
    </row>
    <row r="409" spans="1:16" hidden="1" x14ac:dyDescent="0.25">
      <c r="A409" t="s">
        <v>8</v>
      </c>
      <c r="B409" s="4">
        <v>46168</v>
      </c>
      <c r="C409" t="s">
        <v>447</v>
      </c>
      <c r="D409">
        <v>52000</v>
      </c>
      <c r="E409" t="s">
        <v>42</v>
      </c>
      <c r="F409">
        <v>256.8</v>
      </c>
      <c r="G409">
        <v>1034190</v>
      </c>
      <c r="H409">
        <v>481650</v>
      </c>
      <c r="I409">
        <v>481650</v>
      </c>
      <c r="J409">
        <v>403140</v>
      </c>
      <c r="K409">
        <v>262.05</v>
      </c>
      <c r="L409">
        <v>342.6</v>
      </c>
      <c r="M409">
        <v>220.9</v>
      </c>
      <c r="N409">
        <v>243</v>
      </c>
      <c r="O409">
        <v>256.10000000000002</v>
      </c>
      <c r="P409" s="9">
        <v>46147.645798611113</v>
      </c>
    </row>
    <row r="410" spans="1:16" hidden="1" x14ac:dyDescent="0.25">
      <c r="A410" t="s">
        <v>8</v>
      </c>
      <c r="B410" s="4">
        <v>46168</v>
      </c>
      <c r="C410" t="s">
        <v>448</v>
      </c>
      <c r="D410">
        <v>52100</v>
      </c>
      <c r="E410" t="s">
        <v>40</v>
      </c>
      <c r="F410">
        <v>3222.3</v>
      </c>
      <c r="G410">
        <v>0</v>
      </c>
      <c r="H410">
        <v>600</v>
      </c>
      <c r="I410">
        <v>600</v>
      </c>
      <c r="J410">
        <v>600</v>
      </c>
      <c r="K410">
        <v>0</v>
      </c>
      <c r="L410">
        <v>0</v>
      </c>
      <c r="M410">
        <v>0</v>
      </c>
      <c r="N410">
        <v>3222.3</v>
      </c>
      <c r="O410">
        <v>2892.9</v>
      </c>
      <c r="P410" s="9">
        <v>46146.612407407411</v>
      </c>
    </row>
    <row r="411" spans="1:16" hidden="1" x14ac:dyDescent="0.25">
      <c r="A411" t="s">
        <v>8</v>
      </c>
      <c r="B411" s="4">
        <v>46168</v>
      </c>
      <c r="C411" t="s">
        <v>449</v>
      </c>
      <c r="D411">
        <v>52100</v>
      </c>
      <c r="E411" t="s">
        <v>42</v>
      </c>
      <c r="F411">
        <v>271.7</v>
      </c>
      <c r="G411">
        <v>78390</v>
      </c>
      <c r="H411">
        <v>25080</v>
      </c>
      <c r="I411">
        <v>25620</v>
      </c>
      <c r="J411">
        <v>21120</v>
      </c>
      <c r="K411">
        <v>297.14999999999998</v>
      </c>
      <c r="L411">
        <v>359.65</v>
      </c>
      <c r="M411">
        <v>239.5</v>
      </c>
      <c r="N411">
        <v>257.89999999999998</v>
      </c>
      <c r="O411">
        <v>271.3</v>
      </c>
      <c r="P411" s="9">
        <v>46147.645486111112</v>
      </c>
    </row>
    <row r="412" spans="1:16" hidden="1" x14ac:dyDescent="0.25">
      <c r="A412" t="s">
        <v>8</v>
      </c>
      <c r="B412" s="4">
        <v>46168</v>
      </c>
      <c r="C412" t="s">
        <v>450</v>
      </c>
      <c r="D412">
        <v>52200</v>
      </c>
      <c r="E412" t="s">
        <v>40</v>
      </c>
      <c r="F412">
        <v>2769</v>
      </c>
      <c r="G412">
        <v>30</v>
      </c>
      <c r="H412">
        <v>540</v>
      </c>
      <c r="I412">
        <v>540</v>
      </c>
      <c r="J412">
        <v>540</v>
      </c>
      <c r="K412">
        <v>2769</v>
      </c>
      <c r="L412">
        <v>2769</v>
      </c>
      <c r="M412">
        <v>2769</v>
      </c>
      <c r="N412">
        <v>3391.85</v>
      </c>
      <c r="O412">
        <v>2814.45</v>
      </c>
      <c r="P412" s="9">
        <v>46147.45034722222</v>
      </c>
    </row>
    <row r="413" spans="1:16" hidden="1" x14ac:dyDescent="0.25">
      <c r="A413" t="s">
        <v>8</v>
      </c>
      <c r="B413" s="4">
        <v>46168</v>
      </c>
      <c r="C413" t="s">
        <v>451</v>
      </c>
      <c r="D413">
        <v>52200</v>
      </c>
      <c r="E413" t="s">
        <v>42</v>
      </c>
      <c r="F413">
        <v>291.14999999999998</v>
      </c>
      <c r="G413">
        <v>62520</v>
      </c>
      <c r="H413">
        <v>28920</v>
      </c>
      <c r="I413">
        <v>29250</v>
      </c>
      <c r="J413">
        <v>20580</v>
      </c>
      <c r="K413">
        <v>333.3</v>
      </c>
      <c r="L413">
        <v>376.7</v>
      </c>
      <c r="M413">
        <v>250.2</v>
      </c>
      <c r="N413">
        <v>272.05</v>
      </c>
      <c r="O413">
        <v>286.3</v>
      </c>
      <c r="P413" s="9">
        <v>46147.645486111112</v>
      </c>
    </row>
    <row r="414" spans="1:16" hidden="1" x14ac:dyDescent="0.25">
      <c r="A414" t="s">
        <v>8</v>
      </c>
      <c r="B414" s="4">
        <v>46168</v>
      </c>
      <c r="C414" t="s">
        <v>452</v>
      </c>
      <c r="D414">
        <v>52300</v>
      </c>
      <c r="E414" t="s">
        <v>40</v>
      </c>
      <c r="F414">
        <v>2800</v>
      </c>
      <c r="G414">
        <v>30</v>
      </c>
      <c r="H414">
        <v>870</v>
      </c>
      <c r="I414">
        <v>870</v>
      </c>
      <c r="J414">
        <v>870</v>
      </c>
      <c r="K414">
        <v>2800</v>
      </c>
      <c r="L414">
        <v>2800</v>
      </c>
      <c r="M414">
        <v>2800</v>
      </c>
      <c r="N414">
        <v>4548.75</v>
      </c>
      <c r="O414">
        <v>2724.2</v>
      </c>
      <c r="P414" s="9">
        <v>46147.63521990741</v>
      </c>
    </row>
    <row r="415" spans="1:16" hidden="1" x14ac:dyDescent="0.25">
      <c r="A415" t="s">
        <v>8</v>
      </c>
      <c r="B415" s="4">
        <v>46168</v>
      </c>
      <c r="C415" t="s">
        <v>453</v>
      </c>
      <c r="D415">
        <v>52300</v>
      </c>
      <c r="E415" t="s">
        <v>42</v>
      </c>
      <c r="F415">
        <v>303.75</v>
      </c>
      <c r="G415">
        <v>63060</v>
      </c>
      <c r="H415">
        <v>21090</v>
      </c>
      <c r="I415">
        <v>21420</v>
      </c>
      <c r="J415">
        <v>16380</v>
      </c>
      <c r="K415">
        <v>329</v>
      </c>
      <c r="L415">
        <v>397.35</v>
      </c>
      <c r="M415">
        <v>263.89999999999998</v>
      </c>
      <c r="N415">
        <v>283.85000000000002</v>
      </c>
      <c r="O415">
        <v>301.55</v>
      </c>
      <c r="P415" s="9">
        <v>46147.645740740743</v>
      </c>
    </row>
    <row r="416" spans="1:16" hidden="1" x14ac:dyDescent="0.25">
      <c r="A416" t="s">
        <v>8</v>
      </c>
      <c r="B416" s="4">
        <v>46168</v>
      </c>
      <c r="C416" t="s">
        <v>454</v>
      </c>
      <c r="D416">
        <v>52400</v>
      </c>
      <c r="E416" t="s">
        <v>40</v>
      </c>
      <c r="F416">
        <v>4183.5</v>
      </c>
      <c r="G416">
        <v>0</v>
      </c>
      <c r="H416">
        <v>960</v>
      </c>
      <c r="I416">
        <v>960</v>
      </c>
      <c r="J416">
        <v>960</v>
      </c>
      <c r="K416">
        <v>0</v>
      </c>
      <c r="L416">
        <v>0</v>
      </c>
      <c r="M416">
        <v>0</v>
      </c>
      <c r="N416">
        <v>4183.5</v>
      </c>
      <c r="O416">
        <v>2638.75</v>
      </c>
      <c r="P416" s="9">
        <v>46120.604456018518</v>
      </c>
    </row>
    <row r="417" spans="1:16" hidden="1" x14ac:dyDescent="0.25">
      <c r="A417" t="s">
        <v>8</v>
      </c>
      <c r="B417" s="4">
        <v>46168</v>
      </c>
      <c r="C417" t="s">
        <v>455</v>
      </c>
      <c r="D417">
        <v>52400</v>
      </c>
      <c r="E417" t="s">
        <v>42</v>
      </c>
      <c r="F417">
        <v>323</v>
      </c>
      <c r="G417">
        <v>63630</v>
      </c>
      <c r="H417">
        <v>20550</v>
      </c>
      <c r="I417">
        <v>20700</v>
      </c>
      <c r="J417">
        <v>16710</v>
      </c>
      <c r="K417">
        <v>368.95</v>
      </c>
      <c r="L417">
        <v>417.85</v>
      </c>
      <c r="M417">
        <v>278.55</v>
      </c>
      <c r="N417">
        <v>297.8</v>
      </c>
      <c r="O417">
        <v>318.55</v>
      </c>
      <c r="P417" s="9">
        <v>46147.645671296297</v>
      </c>
    </row>
    <row r="418" spans="1:16" hidden="1" x14ac:dyDescent="0.25">
      <c r="A418" t="s">
        <v>8</v>
      </c>
      <c r="B418" s="4">
        <v>46168</v>
      </c>
      <c r="C418" t="s">
        <v>456</v>
      </c>
      <c r="D418">
        <v>52500</v>
      </c>
      <c r="E418" t="s">
        <v>40</v>
      </c>
      <c r="F418">
        <v>2631.25</v>
      </c>
      <c r="G418">
        <v>6420</v>
      </c>
      <c r="H418">
        <v>10410</v>
      </c>
      <c r="I418">
        <v>10500</v>
      </c>
      <c r="J418">
        <v>7680</v>
      </c>
      <c r="K418">
        <v>2665.6</v>
      </c>
      <c r="L418">
        <v>2870</v>
      </c>
      <c r="M418">
        <v>2371.9</v>
      </c>
      <c r="N418">
        <v>2951.75</v>
      </c>
      <c r="O418">
        <v>2591.8000000000002</v>
      </c>
      <c r="P418" s="9">
        <v>46147.643877314818</v>
      </c>
    </row>
    <row r="419" spans="1:16" hidden="1" x14ac:dyDescent="0.25">
      <c r="A419" t="s">
        <v>8</v>
      </c>
      <c r="B419" s="4">
        <v>46168</v>
      </c>
      <c r="C419" t="s">
        <v>457</v>
      </c>
      <c r="D419">
        <v>52500</v>
      </c>
      <c r="E419" t="s">
        <v>42</v>
      </c>
      <c r="F419">
        <v>334.45</v>
      </c>
      <c r="G419">
        <v>388020</v>
      </c>
      <c r="H419">
        <v>177540</v>
      </c>
      <c r="I419">
        <v>177540</v>
      </c>
      <c r="J419">
        <v>155460</v>
      </c>
      <c r="K419">
        <v>366.95</v>
      </c>
      <c r="L419">
        <v>439.25</v>
      </c>
      <c r="M419">
        <v>286.10000000000002</v>
      </c>
      <c r="N419">
        <v>314.25</v>
      </c>
      <c r="O419">
        <v>334.1</v>
      </c>
      <c r="P419" s="9">
        <v>46147.645752314813</v>
      </c>
    </row>
    <row r="420" spans="1:16" hidden="1" x14ac:dyDescent="0.25">
      <c r="A420" t="s">
        <v>8</v>
      </c>
      <c r="B420" s="4">
        <v>46168</v>
      </c>
      <c r="C420" t="s">
        <v>458</v>
      </c>
      <c r="D420">
        <v>52600</v>
      </c>
      <c r="E420" t="s">
        <v>40</v>
      </c>
      <c r="F420">
        <v>2600</v>
      </c>
      <c r="G420">
        <v>90</v>
      </c>
      <c r="H420">
        <v>1200</v>
      </c>
      <c r="I420">
        <v>1230</v>
      </c>
      <c r="J420">
        <v>1200</v>
      </c>
      <c r="K420">
        <v>2450.6999999999998</v>
      </c>
      <c r="L420">
        <v>2600</v>
      </c>
      <c r="M420">
        <v>2375</v>
      </c>
      <c r="N420">
        <v>2650</v>
      </c>
      <c r="O420">
        <v>2512.9</v>
      </c>
      <c r="P420" s="9">
        <v>46147.541134259256</v>
      </c>
    </row>
    <row r="421" spans="1:16" hidden="1" x14ac:dyDescent="0.25">
      <c r="A421" t="s">
        <v>8</v>
      </c>
      <c r="B421" s="4">
        <v>46168</v>
      </c>
      <c r="C421" t="s">
        <v>459</v>
      </c>
      <c r="D421">
        <v>52600</v>
      </c>
      <c r="E421" t="s">
        <v>42</v>
      </c>
      <c r="F421">
        <v>358</v>
      </c>
      <c r="G421">
        <v>82980</v>
      </c>
      <c r="H421">
        <v>22770</v>
      </c>
      <c r="I421">
        <v>24570</v>
      </c>
      <c r="J421">
        <v>17940</v>
      </c>
      <c r="K421">
        <v>420.7</v>
      </c>
      <c r="L421">
        <v>464.9</v>
      </c>
      <c r="M421">
        <v>312</v>
      </c>
      <c r="N421">
        <v>328.45</v>
      </c>
      <c r="O421">
        <v>352.6</v>
      </c>
      <c r="P421" s="9">
        <v>46147.645497685182</v>
      </c>
    </row>
    <row r="422" spans="1:16" hidden="1" x14ac:dyDescent="0.25">
      <c r="A422" t="s">
        <v>8</v>
      </c>
      <c r="B422" s="4">
        <v>46168</v>
      </c>
      <c r="C422" t="s">
        <v>460</v>
      </c>
      <c r="D422">
        <v>52700</v>
      </c>
      <c r="E422" t="s">
        <v>40</v>
      </c>
      <c r="F422">
        <v>2650</v>
      </c>
      <c r="G422">
        <v>30</v>
      </c>
      <c r="H422">
        <v>1290</v>
      </c>
      <c r="I422">
        <v>1290</v>
      </c>
      <c r="J422">
        <v>1290</v>
      </c>
      <c r="K422">
        <v>2650</v>
      </c>
      <c r="L422">
        <v>2650</v>
      </c>
      <c r="M422">
        <v>2650</v>
      </c>
      <c r="N422">
        <v>2711.6</v>
      </c>
      <c r="O422">
        <v>2423.3000000000002</v>
      </c>
      <c r="P422" s="9">
        <v>46147.549247685187</v>
      </c>
    </row>
    <row r="423" spans="1:16" hidden="1" x14ac:dyDescent="0.25">
      <c r="A423" t="s">
        <v>8</v>
      </c>
      <c r="B423" s="4">
        <v>46168</v>
      </c>
      <c r="C423" t="s">
        <v>461</v>
      </c>
      <c r="D423">
        <v>52700</v>
      </c>
      <c r="E423" t="s">
        <v>42</v>
      </c>
      <c r="F423">
        <v>371.25</v>
      </c>
      <c r="G423">
        <v>199170</v>
      </c>
      <c r="H423">
        <v>19290</v>
      </c>
      <c r="I423">
        <v>36210</v>
      </c>
      <c r="J423">
        <v>17160</v>
      </c>
      <c r="K423">
        <v>375.25</v>
      </c>
      <c r="L423">
        <v>485</v>
      </c>
      <c r="M423">
        <v>319.05</v>
      </c>
      <c r="N423">
        <v>346.65</v>
      </c>
      <c r="O423">
        <v>371.6</v>
      </c>
      <c r="P423" s="9">
        <v>46147.64576388889</v>
      </c>
    </row>
    <row r="424" spans="1:16" hidden="1" x14ac:dyDescent="0.25">
      <c r="A424" t="s">
        <v>8</v>
      </c>
      <c r="B424" s="4">
        <v>46168</v>
      </c>
      <c r="C424" t="s">
        <v>462</v>
      </c>
      <c r="D424">
        <v>52800</v>
      </c>
      <c r="E424" t="s">
        <v>40</v>
      </c>
      <c r="F424">
        <v>2561.0500000000002</v>
      </c>
      <c r="G424">
        <v>90</v>
      </c>
      <c r="H424">
        <v>2670</v>
      </c>
      <c r="I424">
        <v>2670</v>
      </c>
      <c r="J424">
        <v>2640</v>
      </c>
      <c r="K424">
        <v>2200</v>
      </c>
      <c r="L424">
        <v>2627.25</v>
      </c>
      <c r="M424">
        <v>2200</v>
      </c>
      <c r="N424">
        <v>2488.1999999999998</v>
      </c>
      <c r="O424">
        <v>2341.15</v>
      </c>
      <c r="P424" s="9">
        <v>46147.570243055554</v>
      </c>
    </row>
    <row r="425" spans="1:16" hidden="1" x14ac:dyDescent="0.25">
      <c r="A425" t="s">
        <v>8</v>
      </c>
      <c r="B425" s="4">
        <v>46168</v>
      </c>
      <c r="C425" t="s">
        <v>463</v>
      </c>
      <c r="D425">
        <v>52800</v>
      </c>
      <c r="E425" t="s">
        <v>42</v>
      </c>
      <c r="F425">
        <v>393.35</v>
      </c>
      <c r="G425">
        <v>109410</v>
      </c>
      <c r="H425">
        <v>21090</v>
      </c>
      <c r="I425">
        <v>26130</v>
      </c>
      <c r="J425">
        <v>19620</v>
      </c>
      <c r="K425">
        <v>395</v>
      </c>
      <c r="L425">
        <v>510</v>
      </c>
      <c r="M425">
        <v>340</v>
      </c>
      <c r="N425">
        <v>362.95</v>
      </c>
      <c r="O425">
        <v>391</v>
      </c>
      <c r="P425" s="9">
        <v>46147.645636574074</v>
      </c>
    </row>
    <row r="426" spans="1:16" hidden="1" x14ac:dyDescent="0.25">
      <c r="A426" t="s">
        <v>8</v>
      </c>
      <c r="B426" s="4">
        <v>46168</v>
      </c>
      <c r="C426" t="s">
        <v>464</v>
      </c>
      <c r="D426">
        <v>52900</v>
      </c>
      <c r="E426" t="s">
        <v>40</v>
      </c>
      <c r="F426">
        <v>2525</v>
      </c>
      <c r="G426">
        <v>60</v>
      </c>
      <c r="H426">
        <v>540</v>
      </c>
      <c r="I426">
        <v>540</v>
      </c>
      <c r="J426">
        <v>510</v>
      </c>
      <c r="K426">
        <v>2500</v>
      </c>
      <c r="L426">
        <v>2525</v>
      </c>
      <c r="M426">
        <v>2500</v>
      </c>
      <c r="N426">
        <v>2715.1</v>
      </c>
      <c r="O426">
        <v>2269.8000000000002</v>
      </c>
      <c r="P426" s="9">
        <v>46147.55027777778</v>
      </c>
    </row>
    <row r="427" spans="1:16" hidden="1" x14ac:dyDescent="0.25">
      <c r="A427" t="s">
        <v>8</v>
      </c>
      <c r="B427" s="4">
        <v>46168</v>
      </c>
      <c r="C427" t="s">
        <v>465</v>
      </c>
      <c r="D427">
        <v>52900</v>
      </c>
      <c r="E427" t="s">
        <v>42</v>
      </c>
      <c r="F427">
        <v>415.5</v>
      </c>
      <c r="G427">
        <v>64470</v>
      </c>
      <c r="H427">
        <v>23790</v>
      </c>
      <c r="I427">
        <v>23790</v>
      </c>
      <c r="J427">
        <v>18360</v>
      </c>
      <c r="K427">
        <v>447.95</v>
      </c>
      <c r="L427">
        <v>537.6</v>
      </c>
      <c r="M427">
        <v>355.55</v>
      </c>
      <c r="N427">
        <v>381.75</v>
      </c>
      <c r="O427">
        <v>411.35</v>
      </c>
      <c r="P427" s="9">
        <v>46147.64576388889</v>
      </c>
    </row>
    <row r="428" spans="1:16" hidden="1" x14ac:dyDescent="0.25">
      <c r="A428" t="s">
        <v>8</v>
      </c>
      <c r="B428" s="4">
        <v>46168</v>
      </c>
      <c r="C428" t="s">
        <v>466</v>
      </c>
      <c r="D428">
        <v>53000</v>
      </c>
      <c r="E428" t="s">
        <v>40</v>
      </c>
      <c r="F428">
        <v>2208.1</v>
      </c>
      <c r="G428">
        <v>70050</v>
      </c>
      <c r="H428">
        <v>95550</v>
      </c>
      <c r="I428">
        <v>113040</v>
      </c>
      <c r="J428">
        <v>95520</v>
      </c>
      <c r="K428">
        <v>2400</v>
      </c>
      <c r="L428">
        <v>2500</v>
      </c>
      <c r="M428">
        <v>1986.85</v>
      </c>
      <c r="N428">
        <v>2546.9</v>
      </c>
      <c r="O428">
        <v>2208.1</v>
      </c>
      <c r="P428" s="9">
        <v>46147.645740740743</v>
      </c>
    </row>
    <row r="429" spans="1:16" hidden="1" x14ac:dyDescent="0.25">
      <c r="A429" t="s">
        <v>8</v>
      </c>
      <c r="B429" s="4">
        <v>46168</v>
      </c>
      <c r="C429" t="s">
        <v>467</v>
      </c>
      <c r="D429">
        <v>53000</v>
      </c>
      <c r="E429" t="s">
        <v>42</v>
      </c>
      <c r="F429">
        <v>435</v>
      </c>
      <c r="G429">
        <v>997530</v>
      </c>
      <c r="H429">
        <v>369690</v>
      </c>
      <c r="I429">
        <v>374280</v>
      </c>
      <c r="J429">
        <v>324600</v>
      </c>
      <c r="K429">
        <v>454</v>
      </c>
      <c r="L429">
        <v>562.95000000000005</v>
      </c>
      <c r="M429">
        <v>372.6</v>
      </c>
      <c r="N429">
        <v>405.1</v>
      </c>
      <c r="O429">
        <v>434.6</v>
      </c>
      <c r="P429" s="9">
        <v>46147.645821759259</v>
      </c>
    </row>
    <row r="430" spans="1:16" hidden="1" x14ac:dyDescent="0.25">
      <c r="A430" t="s">
        <v>8</v>
      </c>
      <c r="B430" s="4">
        <v>46168</v>
      </c>
      <c r="C430" t="s">
        <v>468</v>
      </c>
      <c r="D430">
        <v>53100</v>
      </c>
      <c r="E430" t="s">
        <v>40</v>
      </c>
      <c r="F430">
        <v>2639.35</v>
      </c>
      <c r="G430">
        <v>0</v>
      </c>
      <c r="H430">
        <v>930</v>
      </c>
      <c r="I430">
        <v>930</v>
      </c>
      <c r="J430">
        <v>930</v>
      </c>
      <c r="K430">
        <v>0</v>
      </c>
      <c r="L430">
        <v>0</v>
      </c>
      <c r="M430">
        <v>0</v>
      </c>
      <c r="N430">
        <v>2639.35</v>
      </c>
      <c r="O430">
        <v>2114.9</v>
      </c>
      <c r="P430" s="9">
        <v>46142.645624999997</v>
      </c>
    </row>
    <row r="431" spans="1:16" hidden="1" x14ac:dyDescent="0.25">
      <c r="A431" t="s">
        <v>8</v>
      </c>
      <c r="B431" s="4">
        <v>46168</v>
      </c>
      <c r="C431" t="s">
        <v>469</v>
      </c>
      <c r="D431">
        <v>53100</v>
      </c>
      <c r="E431" t="s">
        <v>42</v>
      </c>
      <c r="F431">
        <v>463.85</v>
      </c>
      <c r="G431">
        <v>86610</v>
      </c>
      <c r="H431">
        <v>21630</v>
      </c>
      <c r="I431">
        <v>23790</v>
      </c>
      <c r="J431">
        <v>19530</v>
      </c>
      <c r="K431">
        <v>450</v>
      </c>
      <c r="L431">
        <v>588</v>
      </c>
      <c r="M431">
        <v>399.9</v>
      </c>
      <c r="N431">
        <v>417.65</v>
      </c>
      <c r="O431">
        <v>456.85</v>
      </c>
      <c r="P431" s="9">
        <v>46147.645775462966</v>
      </c>
    </row>
    <row r="432" spans="1:16" hidden="1" x14ac:dyDescent="0.25">
      <c r="A432" t="s">
        <v>8</v>
      </c>
      <c r="B432" s="4">
        <v>46168</v>
      </c>
      <c r="C432" t="s">
        <v>470</v>
      </c>
      <c r="D432">
        <v>53200</v>
      </c>
      <c r="E432" t="s">
        <v>40</v>
      </c>
      <c r="F432">
        <v>2308.85</v>
      </c>
      <c r="G432">
        <v>0</v>
      </c>
      <c r="H432">
        <v>630</v>
      </c>
      <c r="I432">
        <v>630</v>
      </c>
      <c r="J432">
        <v>630</v>
      </c>
      <c r="K432">
        <v>0</v>
      </c>
      <c r="L432">
        <v>0</v>
      </c>
      <c r="M432">
        <v>0</v>
      </c>
      <c r="N432">
        <v>2308.85</v>
      </c>
      <c r="O432">
        <v>2042.75</v>
      </c>
      <c r="P432" s="9">
        <v>46142.510821759257</v>
      </c>
    </row>
    <row r="433" spans="1:16" hidden="1" x14ac:dyDescent="0.25">
      <c r="A433" t="s">
        <v>8</v>
      </c>
      <c r="B433" s="4">
        <v>46168</v>
      </c>
      <c r="C433" t="s">
        <v>471</v>
      </c>
      <c r="D433">
        <v>53200</v>
      </c>
      <c r="E433" t="s">
        <v>42</v>
      </c>
      <c r="F433">
        <v>480.75</v>
      </c>
      <c r="G433">
        <v>75900</v>
      </c>
      <c r="H433">
        <v>18480</v>
      </c>
      <c r="I433">
        <v>19590</v>
      </c>
      <c r="J433">
        <v>17100</v>
      </c>
      <c r="K433">
        <v>534.85</v>
      </c>
      <c r="L433">
        <v>617.79999999999995</v>
      </c>
      <c r="M433">
        <v>418</v>
      </c>
      <c r="N433">
        <v>440.55</v>
      </c>
      <c r="O433">
        <v>480.95</v>
      </c>
      <c r="P433" s="9">
        <v>46147.645775462966</v>
      </c>
    </row>
    <row r="434" spans="1:16" hidden="1" x14ac:dyDescent="0.25">
      <c r="A434" t="s">
        <v>8</v>
      </c>
      <c r="B434" s="4">
        <v>46168</v>
      </c>
      <c r="C434" t="s">
        <v>472</v>
      </c>
      <c r="D434">
        <v>53300</v>
      </c>
      <c r="E434" t="s">
        <v>40</v>
      </c>
      <c r="F434">
        <v>2018.9</v>
      </c>
      <c r="G434">
        <v>1140</v>
      </c>
      <c r="H434">
        <v>3480</v>
      </c>
      <c r="I434">
        <v>3630</v>
      </c>
      <c r="J434">
        <v>3000</v>
      </c>
      <c r="K434">
        <v>2013.6</v>
      </c>
      <c r="L434">
        <v>2292.5500000000002</v>
      </c>
      <c r="M434">
        <v>1784.2</v>
      </c>
      <c r="N434">
        <v>2372.85</v>
      </c>
      <c r="O434">
        <v>1959.3</v>
      </c>
      <c r="P434" s="9">
        <v>46147.644432870373</v>
      </c>
    </row>
    <row r="435" spans="1:16" hidden="1" x14ac:dyDescent="0.25">
      <c r="A435" t="s">
        <v>8</v>
      </c>
      <c r="B435" s="4">
        <v>46168</v>
      </c>
      <c r="C435" t="s">
        <v>473</v>
      </c>
      <c r="D435">
        <v>53300</v>
      </c>
      <c r="E435" t="s">
        <v>42</v>
      </c>
      <c r="F435">
        <v>513.20000000000005</v>
      </c>
      <c r="G435">
        <v>75150</v>
      </c>
      <c r="H435">
        <v>24090</v>
      </c>
      <c r="I435">
        <v>25410</v>
      </c>
      <c r="J435">
        <v>21360</v>
      </c>
      <c r="K435">
        <v>518.75</v>
      </c>
      <c r="L435">
        <v>649.1</v>
      </c>
      <c r="M435">
        <v>439.8</v>
      </c>
      <c r="N435">
        <v>466.85</v>
      </c>
      <c r="O435">
        <v>507</v>
      </c>
      <c r="P435" s="9">
        <v>46147.64565972222</v>
      </c>
    </row>
    <row r="436" spans="1:16" hidden="1" x14ac:dyDescent="0.25">
      <c r="A436" t="s">
        <v>8</v>
      </c>
      <c r="B436" s="4">
        <v>46168</v>
      </c>
      <c r="C436" t="s">
        <v>474</v>
      </c>
      <c r="D436">
        <v>53400</v>
      </c>
      <c r="E436" t="s">
        <v>40</v>
      </c>
      <c r="F436">
        <v>2090.5500000000002</v>
      </c>
      <c r="G436">
        <v>210</v>
      </c>
      <c r="H436">
        <v>1050</v>
      </c>
      <c r="I436">
        <v>1050</v>
      </c>
      <c r="J436">
        <v>960</v>
      </c>
      <c r="K436">
        <v>1946.5</v>
      </c>
      <c r="L436">
        <v>2090.5500000000002</v>
      </c>
      <c r="M436">
        <v>1946.5</v>
      </c>
      <c r="N436">
        <v>2183.15</v>
      </c>
      <c r="O436">
        <v>1905.7</v>
      </c>
      <c r="P436" s="9">
        <v>46147.578645833331</v>
      </c>
    </row>
    <row r="437" spans="1:16" hidden="1" x14ac:dyDescent="0.25">
      <c r="A437" t="s">
        <v>8</v>
      </c>
      <c r="B437" s="4">
        <v>46168</v>
      </c>
      <c r="C437" t="s">
        <v>475</v>
      </c>
      <c r="D437">
        <v>53400</v>
      </c>
      <c r="E437" t="s">
        <v>42</v>
      </c>
      <c r="F437">
        <v>533.54999999999995</v>
      </c>
      <c r="G437">
        <v>124200</v>
      </c>
      <c r="H437">
        <v>24240</v>
      </c>
      <c r="I437">
        <v>24360</v>
      </c>
      <c r="J437">
        <v>16620</v>
      </c>
      <c r="K437">
        <v>559.95000000000005</v>
      </c>
      <c r="L437">
        <v>683.1</v>
      </c>
      <c r="M437">
        <v>464.8</v>
      </c>
      <c r="N437">
        <v>486.15</v>
      </c>
      <c r="O437">
        <v>531.9</v>
      </c>
      <c r="P437" s="9">
        <v>46147.645578703705</v>
      </c>
    </row>
    <row r="438" spans="1:16" hidden="1" x14ac:dyDescent="0.25">
      <c r="A438" t="s">
        <v>8</v>
      </c>
      <c r="B438" s="4">
        <v>46168</v>
      </c>
      <c r="C438" t="s">
        <v>476</v>
      </c>
      <c r="D438">
        <v>53500</v>
      </c>
      <c r="E438" t="s">
        <v>40</v>
      </c>
      <c r="F438">
        <v>1830.45</v>
      </c>
      <c r="G438">
        <v>27270</v>
      </c>
      <c r="H438">
        <v>20580</v>
      </c>
      <c r="I438">
        <v>21180</v>
      </c>
      <c r="J438">
        <v>15300</v>
      </c>
      <c r="K438">
        <v>1855.75</v>
      </c>
      <c r="L438">
        <v>2090</v>
      </c>
      <c r="M438">
        <v>1647.45</v>
      </c>
      <c r="N438">
        <v>2170</v>
      </c>
      <c r="O438">
        <v>1836.95</v>
      </c>
      <c r="P438" s="9">
        <v>46147.645740740743</v>
      </c>
    </row>
    <row r="439" spans="1:16" hidden="1" x14ac:dyDescent="0.25">
      <c r="A439" t="s">
        <v>8</v>
      </c>
      <c r="B439" s="4">
        <v>46168</v>
      </c>
      <c r="C439" t="s">
        <v>477</v>
      </c>
      <c r="D439">
        <v>53500</v>
      </c>
      <c r="E439" t="s">
        <v>42</v>
      </c>
      <c r="F439">
        <v>559.54999999999995</v>
      </c>
      <c r="G439">
        <v>560910</v>
      </c>
      <c r="H439">
        <v>225480</v>
      </c>
      <c r="I439">
        <v>238740</v>
      </c>
      <c r="J439">
        <v>217380</v>
      </c>
      <c r="K439">
        <v>600</v>
      </c>
      <c r="L439">
        <v>714.25</v>
      </c>
      <c r="M439">
        <v>477.65</v>
      </c>
      <c r="N439">
        <v>508</v>
      </c>
      <c r="O439">
        <v>560.54999999999995</v>
      </c>
      <c r="P439" s="9">
        <v>46147.645752314813</v>
      </c>
    </row>
    <row r="440" spans="1:16" hidden="1" x14ac:dyDescent="0.25">
      <c r="A440" t="s">
        <v>8</v>
      </c>
      <c r="B440" s="4">
        <v>46168</v>
      </c>
      <c r="C440" t="s">
        <v>478</v>
      </c>
      <c r="D440">
        <v>53600</v>
      </c>
      <c r="E440" t="s">
        <v>40</v>
      </c>
      <c r="F440">
        <v>1765.6</v>
      </c>
      <c r="G440">
        <v>240</v>
      </c>
      <c r="H440">
        <v>810</v>
      </c>
      <c r="I440">
        <v>840</v>
      </c>
      <c r="J440">
        <v>780</v>
      </c>
      <c r="K440">
        <v>1855</v>
      </c>
      <c r="L440">
        <v>1855</v>
      </c>
      <c r="M440">
        <v>1599.95</v>
      </c>
      <c r="N440">
        <v>2143.35</v>
      </c>
      <c r="O440">
        <v>1753.5</v>
      </c>
      <c r="P440" s="9">
        <v>46147.645624999997</v>
      </c>
    </row>
    <row r="441" spans="1:16" hidden="1" x14ac:dyDescent="0.25">
      <c r="A441" t="s">
        <v>8</v>
      </c>
      <c r="B441" s="4">
        <v>46168</v>
      </c>
      <c r="C441" t="s">
        <v>479</v>
      </c>
      <c r="D441">
        <v>53600</v>
      </c>
      <c r="E441" t="s">
        <v>42</v>
      </c>
      <c r="F441">
        <v>591</v>
      </c>
      <c r="G441">
        <v>176340</v>
      </c>
      <c r="H441">
        <v>23430</v>
      </c>
      <c r="I441">
        <v>27720</v>
      </c>
      <c r="J441">
        <v>15600</v>
      </c>
      <c r="K441">
        <v>587.54999999999995</v>
      </c>
      <c r="L441">
        <v>745.15</v>
      </c>
      <c r="M441">
        <v>513.04999999999995</v>
      </c>
      <c r="N441">
        <v>543.45000000000005</v>
      </c>
      <c r="O441">
        <v>590.75</v>
      </c>
      <c r="P441" s="9">
        <v>46147.645810185182</v>
      </c>
    </row>
    <row r="442" spans="1:16" hidden="1" x14ac:dyDescent="0.25">
      <c r="A442" t="s">
        <v>8</v>
      </c>
      <c r="B442" s="4">
        <v>46168</v>
      </c>
      <c r="C442" t="s">
        <v>480</v>
      </c>
      <c r="D442">
        <v>53700</v>
      </c>
      <c r="E442" t="s">
        <v>40</v>
      </c>
      <c r="F442">
        <v>1693.85</v>
      </c>
      <c r="G442">
        <v>1290</v>
      </c>
      <c r="H442">
        <v>4710</v>
      </c>
      <c r="I442">
        <v>4740</v>
      </c>
      <c r="J442">
        <v>3990</v>
      </c>
      <c r="K442">
        <v>1775</v>
      </c>
      <c r="L442">
        <v>1888.7</v>
      </c>
      <c r="M442">
        <v>1510</v>
      </c>
      <c r="N442">
        <v>2025.75</v>
      </c>
      <c r="O442">
        <v>1690.35</v>
      </c>
      <c r="P442" s="9">
        <v>46147.641875000001</v>
      </c>
    </row>
    <row r="443" spans="1:16" hidden="1" x14ac:dyDescent="0.25">
      <c r="A443" t="s">
        <v>8</v>
      </c>
      <c r="B443" s="4">
        <v>46168</v>
      </c>
      <c r="C443" t="s">
        <v>481</v>
      </c>
      <c r="D443">
        <v>53700</v>
      </c>
      <c r="E443" t="s">
        <v>42</v>
      </c>
      <c r="F443">
        <v>619.6</v>
      </c>
      <c r="G443">
        <v>123330</v>
      </c>
      <c r="H443">
        <v>30150</v>
      </c>
      <c r="I443">
        <v>30990</v>
      </c>
      <c r="J443">
        <v>26130</v>
      </c>
      <c r="K443">
        <v>612.1</v>
      </c>
      <c r="L443">
        <v>782</v>
      </c>
      <c r="M443">
        <v>535.29999999999995</v>
      </c>
      <c r="N443">
        <v>566.79999999999995</v>
      </c>
      <c r="O443">
        <v>616.54999999999995</v>
      </c>
      <c r="P443" s="9">
        <v>46147.645694444444</v>
      </c>
    </row>
    <row r="444" spans="1:16" hidden="1" x14ac:dyDescent="0.25">
      <c r="A444" t="s">
        <v>8</v>
      </c>
      <c r="B444" s="4">
        <v>46168</v>
      </c>
      <c r="C444" t="s">
        <v>482</v>
      </c>
      <c r="D444">
        <v>53800</v>
      </c>
      <c r="E444" t="s">
        <v>40</v>
      </c>
      <c r="F444">
        <v>1677.2</v>
      </c>
      <c r="G444">
        <v>2220</v>
      </c>
      <c r="H444">
        <v>3870</v>
      </c>
      <c r="I444">
        <v>3960</v>
      </c>
      <c r="J444">
        <v>3510</v>
      </c>
      <c r="K444">
        <v>1750.4</v>
      </c>
      <c r="L444">
        <v>1906.45</v>
      </c>
      <c r="M444">
        <v>1450.05</v>
      </c>
      <c r="N444">
        <v>1995.45</v>
      </c>
      <c r="O444">
        <v>1628.95</v>
      </c>
      <c r="P444" s="9">
        <v>46147.640601851854</v>
      </c>
    </row>
    <row r="445" spans="1:16" hidden="1" x14ac:dyDescent="0.25">
      <c r="A445" t="s">
        <v>8</v>
      </c>
      <c r="B445" s="4">
        <v>46168</v>
      </c>
      <c r="C445" t="s">
        <v>483</v>
      </c>
      <c r="D445">
        <v>53800</v>
      </c>
      <c r="E445" t="s">
        <v>42</v>
      </c>
      <c r="F445">
        <v>643.75</v>
      </c>
      <c r="G445">
        <v>247530</v>
      </c>
      <c r="H445">
        <v>25620</v>
      </c>
      <c r="I445">
        <v>31620</v>
      </c>
      <c r="J445">
        <v>21300</v>
      </c>
      <c r="K445">
        <v>660</v>
      </c>
      <c r="L445">
        <v>819.7</v>
      </c>
      <c r="M445">
        <v>555.6</v>
      </c>
      <c r="N445">
        <v>589.29999999999995</v>
      </c>
      <c r="O445">
        <v>647.25</v>
      </c>
      <c r="P445" s="9">
        <v>46147.645752314813</v>
      </c>
    </row>
    <row r="446" spans="1:16" hidden="1" x14ac:dyDescent="0.25">
      <c r="A446" t="s">
        <v>8</v>
      </c>
      <c r="B446" s="4">
        <v>46168</v>
      </c>
      <c r="C446" t="s">
        <v>484</v>
      </c>
      <c r="D446">
        <v>53900</v>
      </c>
      <c r="E446" t="s">
        <v>40</v>
      </c>
      <c r="F446">
        <v>1600.05</v>
      </c>
      <c r="G446">
        <v>2790</v>
      </c>
      <c r="H446">
        <v>2820</v>
      </c>
      <c r="I446">
        <v>2940</v>
      </c>
      <c r="J446">
        <v>2430</v>
      </c>
      <c r="K446">
        <v>1650</v>
      </c>
      <c r="L446">
        <v>1780.15</v>
      </c>
      <c r="M446">
        <v>1384.15</v>
      </c>
      <c r="N446">
        <v>1878.95</v>
      </c>
      <c r="O446">
        <v>1552.35</v>
      </c>
      <c r="P446" s="9">
        <v>46147.644166666665</v>
      </c>
    </row>
    <row r="447" spans="1:16" hidden="1" x14ac:dyDescent="0.25">
      <c r="A447" t="s">
        <v>8</v>
      </c>
      <c r="B447" s="4">
        <v>46168</v>
      </c>
      <c r="C447" t="s">
        <v>485</v>
      </c>
      <c r="D447">
        <v>53900</v>
      </c>
      <c r="E447" t="s">
        <v>42</v>
      </c>
      <c r="F447">
        <v>691.1</v>
      </c>
      <c r="G447">
        <v>159750</v>
      </c>
      <c r="H447">
        <v>26820</v>
      </c>
      <c r="I447">
        <v>32970</v>
      </c>
      <c r="J447">
        <v>19620</v>
      </c>
      <c r="K447">
        <v>700</v>
      </c>
      <c r="L447">
        <v>856.05</v>
      </c>
      <c r="M447">
        <v>585.4</v>
      </c>
      <c r="N447">
        <v>624.65</v>
      </c>
      <c r="O447">
        <v>680.1</v>
      </c>
      <c r="P447" s="9">
        <v>46147.645821759259</v>
      </c>
    </row>
    <row r="448" spans="1:16" hidden="1" x14ac:dyDescent="0.25">
      <c r="A448" t="s">
        <v>8</v>
      </c>
      <c r="B448" s="4">
        <v>46168</v>
      </c>
      <c r="C448" t="s">
        <v>486</v>
      </c>
      <c r="D448">
        <v>54000</v>
      </c>
      <c r="E448" t="s">
        <v>40</v>
      </c>
      <c r="F448">
        <v>1506</v>
      </c>
      <c r="G448">
        <v>358590</v>
      </c>
      <c r="H448">
        <v>165840</v>
      </c>
      <c r="I448">
        <v>171720</v>
      </c>
      <c r="J448">
        <v>132510</v>
      </c>
      <c r="K448">
        <v>1621.05</v>
      </c>
      <c r="L448">
        <v>1762</v>
      </c>
      <c r="M448">
        <v>1328.05</v>
      </c>
      <c r="N448">
        <v>1802.5</v>
      </c>
      <c r="O448">
        <v>1501.35</v>
      </c>
      <c r="P448" s="9">
        <v>46147.645752314813</v>
      </c>
    </row>
    <row r="449" spans="1:16" hidden="1" x14ac:dyDescent="0.25">
      <c r="A449" t="s">
        <v>8</v>
      </c>
      <c r="B449" s="4">
        <v>46168</v>
      </c>
      <c r="C449" t="s">
        <v>487</v>
      </c>
      <c r="D449">
        <v>54000</v>
      </c>
      <c r="E449" t="s">
        <v>42</v>
      </c>
      <c r="F449">
        <v>715.2</v>
      </c>
      <c r="G449">
        <v>1833600</v>
      </c>
      <c r="H449">
        <v>473100</v>
      </c>
      <c r="I449">
        <v>498540</v>
      </c>
      <c r="J449">
        <v>428520</v>
      </c>
      <c r="K449">
        <v>714.95</v>
      </c>
      <c r="L449">
        <v>896.1</v>
      </c>
      <c r="M449">
        <v>611</v>
      </c>
      <c r="N449">
        <v>651.35</v>
      </c>
      <c r="O449">
        <v>715.2</v>
      </c>
      <c r="P449" s="9">
        <v>46147.645810185182</v>
      </c>
    </row>
    <row r="450" spans="1:16" hidden="1" x14ac:dyDescent="0.25">
      <c r="A450" t="s">
        <v>8</v>
      </c>
      <c r="B450" s="4">
        <v>46168</v>
      </c>
      <c r="C450" t="s">
        <v>488</v>
      </c>
      <c r="D450">
        <v>54100</v>
      </c>
      <c r="E450" t="s">
        <v>40</v>
      </c>
      <c r="F450">
        <v>1460.2</v>
      </c>
      <c r="G450">
        <v>26130</v>
      </c>
      <c r="H450">
        <v>7860</v>
      </c>
      <c r="I450">
        <v>9060</v>
      </c>
      <c r="J450">
        <v>4680</v>
      </c>
      <c r="K450">
        <v>1567.9</v>
      </c>
      <c r="L450">
        <v>1652.35</v>
      </c>
      <c r="M450">
        <v>1270</v>
      </c>
      <c r="N450">
        <v>1685.85</v>
      </c>
      <c r="O450">
        <v>1433.3</v>
      </c>
      <c r="P450" s="9">
        <v>46147.643935185188</v>
      </c>
    </row>
    <row r="451" spans="1:16" hidden="1" x14ac:dyDescent="0.25">
      <c r="A451" t="s">
        <v>8</v>
      </c>
      <c r="B451" s="4">
        <v>46168</v>
      </c>
      <c r="C451" t="s">
        <v>489</v>
      </c>
      <c r="D451">
        <v>54100</v>
      </c>
      <c r="E451" t="s">
        <v>42</v>
      </c>
      <c r="F451">
        <v>751.75</v>
      </c>
      <c r="G451">
        <v>207930</v>
      </c>
      <c r="H451">
        <v>32820</v>
      </c>
      <c r="I451">
        <v>36150</v>
      </c>
      <c r="J451">
        <v>25440</v>
      </c>
      <c r="K451">
        <v>737.3</v>
      </c>
      <c r="L451">
        <v>935</v>
      </c>
      <c r="M451">
        <v>640.79999999999995</v>
      </c>
      <c r="N451">
        <v>675.25</v>
      </c>
      <c r="O451">
        <v>750.05</v>
      </c>
      <c r="P451" s="9">
        <v>46147.645532407405</v>
      </c>
    </row>
    <row r="452" spans="1:16" hidden="1" x14ac:dyDescent="0.25">
      <c r="A452" t="s">
        <v>8</v>
      </c>
      <c r="B452" s="4">
        <v>46168</v>
      </c>
      <c r="C452" t="s">
        <v>490</v>
      </c>
      <c r="D452">
        <v>54200</v>
      </c>
      <c r="E452" t="s">
        <v>40</v>
      </c>
      <c r="F452">
        <v>1373.5</v>
      </c>
      <c r="G452">
        <v>139350</v>
      </c>
      <c r="H452">
        <v>14550</v>
      </c>
      <c r="I452">
        <v>24870</v>
      </c>
      <c r="J452">
        <v>5160</v>
      </c>
      <c r="K452">
        <v>1516.4</v>
      </c>
      <c r="L452">
        <v>1631.35</v>
      </c>
      <c r="M452">
        <v>1209</v>
      </c>
      <c r="N452">
        <v>1651</v>
      </c>
      <c r="O452">
        <v>1374.35</v>
      </c>
      <c r="P452" s="9">
        <v>46147.64576388889</v>
      </c>
    </row>
    <row r="453" spans="1:16" hidden="1" x14ac:dyDescent="0.25">
      <c r="A453" t="s">
        <v>8</v>
      </c>
      <c r="B453" s="4">
        <v>46168</v>
      </c>
      <c r="C453" t="s">
        <v>491</v>
      </c>
      <c r="D453">
        <v>54200</v>
      </c>
      <c r="E453" t="s">
        <v>42</v>
      </c>
      <c r="F453">
        <v>787.05</v>
      </c>
      <c r="G453">
        <v>471390</v>
      </c>
      <c r="H453">
        <v>51720</v>
      </c>
      <c r="I453">
        <v>64020</v>
      </c>
      <c r="J453">
        <v>28950</v>
      </c>
      <c r="K453">
        <v>788.6</v>
      </c>
      <c r="L453">
        <v>980.35</v>
      </c>
      <c r="M453">
        <v>676</v>
      </c>
      <c r="N453">
        <v>711.65</v>
      </c>
      <c r="O453">
        <v>787.2</v>
      </c>
      <c r="P453" s="9">
        <v>46147.645821759259</v>
      </c>
    </row>
    <row r="454" spans="1:16" hidden="1" x14ac:dyDescent="0.25">
      <c r="A454" t="s">
        <v>8</v>
      </c>
      <c r="B454" s="4">
        <v>46168</v>
      </c>
      <c r="C454" t="s">
        <v>492</v>
      </c>
      <c r="D454">
        <v>54300</v>
      </c>
      <c r="E454" t="s">
        <v>40</v>
      </c>
      <c r="F454">
        <v>1335.8</v>
      </c>
      <c r="G454">
        <v>295470</v>
      </c>
      <c r="H454">
        <v>17850</v>
      </c>
      <c r="I454">
        <v>40740</v>
      </c>
      <c r="J454">
        <v>6390</v>
      </c>
      <c r="K454">
        <v>1378.65</v>
      </c>
      <c r="L454">
        <v>1555</v>
      </c>
      <c r="M454">
        <v>1154.6500000000001</v>
      </c>
      <c r="N454">
        <v>1597.1</v>
      </c>
      <c r="O454">
        <v>1312.05</v>
      </c>
      <c r="P454" s="9">
        <v>46147.645740740743</v>
      </c>
    </row>
    <row r="455" spans="1:16" hidden="1" x14ac:dyDescent="0.25">
      <c r="A455" t="s">
        <v>8</v>
      </c>
      <c r="B455" s="4">
        <v>46168</v>
      </c>
      <c r="C455" t="s">
        <v>493</v>
      </c>
      <c r="D455">
        <v>54300</v>
      </c>
      <c r="E455" t="s">
        <v>42</v>
      </c>
      <c r="F455">
        <v>826.5</v>
      </c>
      <c r="G455">
        <v>625740</v>
      </c>
      <c r="H455">
        <v>43710</v>
      </c>
      <c r="I455">
        <v>64950</v>
      </c>
      <c r="J455">
        <v>28980</v>
      </c>
      <c r="K455">
        <v>869.9</v>
      </c>
      <c r="L455">
        <v>1025</v>
      </c>
      <c r="M455">
        <v>705.05</v>
      </c>
      <c r="N455">
        <v>748.25</v>
      </c>
      <c r="O455">
        <v>825.55</v>
      </c>
      <c r="P455" s="9">
        <v>46147.64576388889</v>
      </c>
    </row>
    <row r="456" spans="1:16" hidden="1" x14ac:dyDescent="0.25">
      <c r="A456" t="s">
        <v>8</v>
      </c>
      <c r="B456" s="4">
        <v>46168</v>
      </c>
      <c r="C456" t="s">
        <v>494</v>
      </c>
      <c r="D456">
        <v>54400</v>
      </c>
      <c r="E456" t="s">
        <v>40</v>
      </c>
      <c r="F456">
        <v>1252.1500000000001</v>
      </c>
      <c r="G456">
        <v>558960</v>
      </c>
      <c r="H456">
        <v>34890</v>
      </c>
      <c r="I456">
        <v>69960</v>
      </c>
      <c r="J456">
        <v>14400</v>
      </c>
      <c r="K456">
        <v>1271.3499999999999</v>
      </c>
      <c r="L456">
        <v>1493</v>
      </c>
      <c r="M456">
        <v>1103.4000000000001</v>
      </c>
      <c r="N456">
        <v>1542.6</v>
      </c>
      <c r="O456">
        <v>1255.7</v>
      </c>
      <c r="P456" s="9">
        <v>46147.645613425928</v>
      </c>
    </row>
    <row r="457" spans="1:16" hidden="1" x14ac:dyDescent="0.25">
      <c r="A457" t="s">
        <v>8</v>
      </c>
      <c r="B457" s="4">
        <v>46168</v>
      </c>
      <c r="C457" t="s">
        <v>495</v>
      </c>
      <c r="D457">
        <v>54400</v>
      </c>
      <c r="E457" t="s">
        <v>42</v>
      </c>
      <c r="F457">
        <v>866.3</v>
      </c>
      <c r="G457">
        <v>997590</v>
      </c>
      <c r="H457">
        <v>55020</v>
      </c>
      <c r="I457">
        <v>82230</v>
      </c>
      <c r="J457">
        <v>35610</v>
      </c>
      <c r="K457">
        <v>865</v>
      </c>
      <c r="L457">
        <v>1071.3</v>
      </c>
      <c r="M457">
        <v>741.15</v>
      </c>
      <c r="N457">
        <v>773.85</v>
      </c>
      <c r="O457">
        <v>864.5</v>
      </c>
      <c r="P457" s="9">
        <v>46147.645752314813</v>
      </c>
    </row>
    <row r="458" spans="1:16" hidden="1" x14ac:dyDescent="0.25">
      <c r="A458" t="s">
        <v>8</v>
      </c>
      <c r="B458" s="4">
        <v>46168</v>
      </c>
      <c r="C458" t="s">
        <v>496</v>
      </c>
      <c r="D458">
        <v>54500</v>
      </c>
      <c r="E458" t="s">
        <v>40</v>
      </c>
      <c r="F458">
        <v>1200</v>
      </c>
      <c r="G458">
        <v>1529070</v>
      </c>
      <c r="H458">
        <v>168810</v>
      </c>
      <c r="I458">
        <v>207510</v>
      </c>
      <c r="J458">
        <v>93780</v>
      </c>
      <c r="K458">
        <v>1362.7</v>
      </c>
      <c r="L458">
        <v>1436.5</v>
      </c>
      <c r="M458">
        <v>1048</v>
      </c>
      <c r="N458">
        <v>1482.75</v>
      </c>
      <c r="O458">
        <v>1200.05</v>
      </c>
      <c r="P458" s="9">
        <v>46147.645787037036</v>
      </c>
    </row>
    <row r="459" spans="1:16" hidden="1" x14ac:dyDescent="0.25">
      <c r="A459" t="s">
        <v>8</v>
      </c>
      <c r="B459" s="4">
        <v>46168</v>
      </c>
      <c r="C459" t="s">
        <v>497</v>
      </c>
      <c r="D459">
        <v>54500</v>
      </c>
      <c r="E459" t="s">
        <v>42</v>
      </c>
      <c r="F459">
        <v>912</v>
      </c>
      <c r="G459">
        <v>2336640</v>
      </c>
      <c r="H459">
        <v>280380</v>
      </c>
      <c r="I459">
        <v>312060</v>
      </c>
      <c r="J459">
        <v>255990</v>
      </c>
      <c r="K459">
        <v>864</v>
      </c>
      <c r="L459">
        <v>1118.55</v>
      </c>
      <c r="M459">
        <v>771.9</v>
      </c>
      <c r="N459">
        <v>819.45</v>
      </c>
      <c r="O459">
        <v>906</v>
      </c>
      <c r="P459" s="9">
        <v>46147.645810185182</v>
      </c>
    </row>
    <row r="460" spans="1:16" hidden="1" x14ac:dyDescent="0.25">
      <c r="A460" t="s">
        <v>8</v>
      </c>
      <c r="B460" s="4">
        <v>46168</v>
      </c>
      <c r="C460" t="s">
        <v>498</v>
      </c>
      <c r="D460">
        <v>54600</v>
      </c>
      <c r="E460" t="s">
        <v>40</v>
      </c>
      <c r="F460">
        <v>1142</v>
      </c>
      <c r="G460">
        <v>906330</v>
      </c>
      <c r="H460">
        <v>67440</v>
      </c>
      <c r="I460">
        <v>90900</v>
      </c>
      <c r="J460">
        <v>28500</v>
      </c>
      <c r="K460">
        <v>1300</v>
      </c>
      <c r="L460">
        <v>1375.8</v>
      </c>
      <c r="M460">
        <v>997.15</v>
      </c>
      <c r="N460">
        <v>1415.55</v>
      </c>
      <c r="O460">
        <v>1145</v>
      </c>
      <c r="P460" s="9">
        <v>46147.645787037036</v>
      </c>
    </row>
    <row r="461" spans="1:16" hidden="1" x14ac:dyDescent="0.25">
      <c r="A461" t="s">
        <v>8</v>
      </c>
      <c r="B461" s="4">
        <v>46168</v>
      </c>
      <c r="C461" t="s">
        <v>499</v>
      </c>
      <c r="D461">
        <v>54600</v>
      </c>
      <c r="E461" t="s">
        <v>42</v>
      </c>
      <c r="F461">
        <v>953.35</v>
      </c>
      <c r="G461">
        <v>1352760</v>
      </c>
      <c r="H461">
        <v>67920</v>
      </c>
      <c r="I461">
        <v>105960</v>
      </c>
      <c r="J461">
        <v>41970</v>
      </c>
      <c r="K461">
        <v>939.25</v>
      </c>
      <c r="L461">
        <v>1167.4000000000001</v>
      </c>
      <c r="M461">
        <v>810.95</v>
      </c>
      <c r="N461">
        <v>853.65</v>
      </c>
      <c r="O461">
        <v>948.3</v>
      </c>
      <c r="P461" s="9">
        <v>46147.645810185182</v>
      </c>
    </row>
    <row r="462" spans="1:16" hidden="1" x14ac:dyDescent="0.25">
      <c r="A462" t="s">
        <v>8</v>
      </c>
      <c r="B462" s="4">
        <v>46168</v>
      </c>
      <c r="C462" t="s">
        <v>500</v>
      </c>
      <c r="D462">
        <v>54700</v>
      </c>
      <c r="E462" t="s">
        <v>40</v>
      </c>
      <c r="F462">
        <v>1089.95</v>
      </c>
      <c r="G462">
        <v>924030</v>
      </c>
      <c r="H462">
        <v>87180</v>
      </c>
      <c r="I462">
        <v>92460</v>
      </c>
      <c r="J462">
        <v>28230</v>
      </c>
      <c r="K462">
        <v>1200.05</v>
      </c>
      <c r="L462">
        <v>1311.3</v>
      </c>
      <c r="M462">
        <v>949.2</v>
      </c>
      <c r="N462">
        <v>1348.75</v>
      </c>
      <c r="O462">
        <v>1086</v>
      </c>
      <c r="P462" s="9">
        <v>46147.645810185182</v>
      </c>
    </row>
    <row r="463" spans="1:16" hidden="1" x14ac:dyDescent="0.25">
      <c r="A463" t="s">
        <v>8</v>
      </c>
      <c r="B463" s="4">
        <v>46168</v>
      </c>
      <c r="C463" t="s">
        <v>501</v>
      </c>
      <c r="D463">
        <v>54700</v>
      </c>
      <c r="E463" t="s">
        <v>42</v>
      </c>
      <c r="F463">
        <v>992.25</v>
      </c>
      <c r="G463">
        <v>1253250</v>
      </c>
      <c r="H463">
        <v>69630</v>
      </c>
      <c r="I463">
        <v>111120</v>
      </c>
      <c r="J463">
        <v>48150</v>
      </c>
      <c r="K463">
        <v>996.95</v>
      </c>
      <c r="L463">
        <v>1215.0999999999999</v>
      </c>
      <c r="M463">
        <v>849.05</v>
      </c>
      <c r="N463">
        <v>904.8</v>
      </c>
      <c r="O463">
        <v>992.25</v>
      </c>
      <c r="P463" s="9">
        <v>46147.645798611113</v>
      </c>
    </row>
    <row r="464" spans="1:16" hidden="1" x14ac:dyDescent="0.25">
      <c r="A464" t="s">
        <v>8</v>
      </c>
      <c r="B464" s="4">
        <v>46168</v>
      </c>
      <c r="C464" t="s">
        <v>502</v>
      </c>
      <c r="D464">
        <v>54800</v>
      </c>
      <c r="E464" t="s">
        <v>40</v>
      </c>
      <c r="F464">
        <v>1034.1500000000001</v>
      </c>
      <c r="G464">
        <v>812970</v>
      </c>
      <c r="H464">
        <v>104070</v>
      </c>
      <c r="I464">
        <v>113910</v>
      </c>
      <c r="J464">
        <v>40110</v>
      </c>
      <c r="K464">
        <v>1200</v>
      </c>
      <c r="L464">
        <v>1250</v>
      </c>
      <c r="M464">
        <v>901.65</v>
      </c>
      <c r="N464">
        <v>1291.3499999999999</v>
      </c>
      <c r="O464">
        <v>1034</v>
      </c>
      <c r="P464" s="9">
        <v>46147.645787037036</v>
      </c>
    </row>
    <row r="465" spans="1:16" hidden="1" x14ac:dyDescent="0.25">
      <c r="A465" t="s">
        <v>8</v>
      </c>
      <c r="B465" s="4">
        <v>46168</v>
      </c>
      <c r="C465" t="s">
        <v>503</v>
      </c>
      <c r="D465">
        <v>54800</v>
      </c>
      <c r="E465" t="s">
        <v>42</v>
      </c>
      <c r="F465">
        <v>1038.8</v>
      </c>
      <c r="G465">
        <v>878460</v>
      </c>
      <c r="H465">
        <v>65160</v>
      </c>
      <c r="I465">
        <v>76950</v>
      </c>
      <c r="J465">
        <v>55080</v>
      </c>
      <c r="K465">
        <v>994.65</v>
      </c>
      <c r="L465">
        <v>1266.5</v>
      </c>
      <c r="M465">
        <v>886.7</v>
      </c>
      <c r="N465">
        <v>942.9</v>
      </c>
      <c r="O465">
        <v>1038.3</v>
      </c>
      <c r="P465" s="9">
        <v>46147.645775462966</v>
      </c>
    </row>
    <row r="466" spans="1:16" hidden="1" x14ac:dyDescent="0.25">
      <c r="A466" t="s">
        <v>8</v>
      </c>
      <c r="B466" s="4">
        <v>46168</v>
      </c>
      <c r="C466" t="s">
        <v>504</v>
      </c>
      <c r="D466">
        <v>54900</v>
      </c>
      <c r="E466" t="s">
        <v>40</v>
      </c>
      <c r="F466">
        <v>976.15</v>
      </c>
      <c r="G466">
        <v>464040</v>
      </c>
      <c r="H466">
        <v>68280</v>
      </c>
      <c r="I466">
        <v>78540</v>
      </c>
      <c r="J466">
        <v>55320</v>
      </c>
      <c r="K466">
        <v>1209.55</v>
      </c>
      <c r="L466">
        <v>1209.55</v>
      </c>
      <c r="M466">
        <v>856.05</v>
      </c>
      <c r="N466">
        <v>1237.8499999999999</v>
      </c>
      <c r="O466">
        <v>981.9</v>
      </c>
      <c r="P466" s="9">
        <v>46147.64576388889</v>
      </c>
    </row>
    <row r="467" spans="1:16" hidden="1" x14ac:dyDescent="0.25">
      <c r="A467" t="s">
        <v>8</v>
      </c>
      <c r="B467" s="4">
        <v>46168</v>
      </c>
      <c r="C467" t="s">
        <v>505</v>
      </c>
      <c r="D467">
        <v>54900</v>
      </c>
      <c r="E467" t="s">
        <v>42</v>
      </c>
      <c r="F467">
        <v>1085.1500000000001</v>
      </c>
      <c r="G467">
        <v>495540</v>
      </c>
      <c r="H467">
        <v>54930</v>
      </c>
      <c r="I467">
        <v>71700</v>
      </c>
      <c r="J467">
        <v>53820</v>
      </c>
      <c r="K467">
        <v>1087.75</v>
      </c>
      <c r="L467">
        <v>1318.2</v>
      </c>
      <c r="M467">
        <v>928.5</v>
      </c>
      <c r="N467">
        <v>979</v>
      </c>
      <c r="O467">
        <v>1085.1500000000001</v>
      </c>
      <c r="P467" s="9">
        <v>46147.645821759259</v>
      </c>
    </row>
    <row r="468" spans="1:16" hidden="1" x14ac:dyDescent="0.25">
      <c r="A468" t="s">
        <v>8</v>
      </c>
      <c r="B468" s="4">
        <v>46168</v>
      </c>
      <c r="C468" t="s">
        <v>506</v>
      </c>
      <c r="D468">
        <v>55000</v>
      </c>
      <c r="E468" t="s">
        <v>40</v>
      </c>
      <c r="F468">
        <v>934.9</v>
      </c>
      <c r="G468">
        <v>2598120</v>
      </c>
      <c r="H468">
        <v>543540</v>
      </c>
      <c r="I468">
        <v>556680</v>
      </c>
      <c r="J468">
        <v>484800</v>
      </c>
      <c r="K468">
        <v>1080</v>
      </c>
      <c r="L468">
        <v>1137.1500000000001</v>
      </c>
      <c r="M468">
        <v>813</v>
      </c>
      <c r="N468">
        <v>1182.55</v>
      </c>
      <c r="O468">
        <v>930.4</v>
      </c>
      <c r="P468" s="9">
        <v>46147.645821759259</v>
      </c>
    </row>
    <row r="469" spans="1:16" hidden="1" x14ac:dyDescent="0.25">
      <c r="A469" t="s">
        <v>8</v>
      </c>
      <c r="B469" s="4">
        <v>46168</v>
      </c>
      <c r="C469" t="s">
        <v>507</v>
      </c>
      <c r="D469">
        <v>55000</v>
      </c>
      <c r="E469" t="s">
        <v>42</v>
      </c>
      <c r="F469">
        <v>1145.5</v>
      </c>
      <c r="G469">
        <v>1743000</v>
      </c>
      <c r="H469">
        <v>598470</v>
      </c>
      <c r="I469">
        <v>631800</v>
      </c>
      <c r="J469">
        <v>548220</v>
      </c>
      <c r="K469">
        <v>1108.05</v>
      </c>
      <c r="L469">
        <v>1373.2</v>
      </c>
      <c r="M469">
        <v>971.55</v>
      </c>
      <c r="N469">
        <v>1024.8499999999999</v>
      </c>
      <c r="O469">
        <v>1136.9000000000001</v>
      </c>
      <c r="P469" s="9">
        <v>46147.645787037036</v>
      </c>
    </row>
    <row r="470" spans="1:16" hidden="1" x14ac:dyDescent="0.25">
      <c r="A470" t="s">
        <v>8</v>
      </c>
      <c r="B470" s="4">
        <v>46168</v>
      </c>
      <c r="C470" t="s">
        <v>508</v>
      </c>
      <c r="D470">
        <v>55100</v>
      </c>
      <c r="E470" t="s">
        <v>40</v>
      </c>
      <c r="F470">
        <v>882.95</v>
      </c>
      <c r="G470">
        <v>359430</v>
      </c>
      <c r="H470">
        <v>57180</v>
      </c>
      <c r="I470">
        <v>62970</v>
      </c>
      <c r="J470">
        <v>46140</v>
      </c>
      <c r="K470">
        <v>997.85</v>
      </c>
      <c r="L470">
        <v>1081.2</v>
      </c>
      <c r="M470">
        <v>768</v>
      </c>
      <c r="N470">
        <v>1129</v>
      </c>
      <c r="O470">
        <v>876.25</v>
      </c>
      <c r="P470" s="9">
        <v>46147.645810185182</v>
      </c>
    </row>
    <row r="471" spans="1:16" hidden="1" x14ac:dyDescent="0.25">
      <c r="A471" t="s">
        <v>8</v>
      </c>
      <c r="B471" s="4">
        <v>46168</v>
      </c>
      <c r="C471" t="s">
        <v>509</v>
      </c>
      <c r="D471">
        <v>55100</v>
      </c>
      <c r="E471" t="s">
        <v>42</v>
      </c>
      <c r="F471">
        <v>1191.55</v>
      </c>
      <c r="G471">
        <v>206580</v>
      </c>
      <c r="H471">
        <v>38550</v>
      </c>
      <c r="I471">
        <v>52800</v>
      </c>
      <c r="J471">
        <v>38550</v>
      </c>
      <c r="K471">
        <v>1275.4000000000001</v>
      </c>
      <c r="L471">
        <v>1420</v>
      </c>
      <c r="M471">
        <v>1017.9</v>
      </c>
      <c r="N471">
        <v>1062.8</v>
      </c>
      <c r="O471">
        <v>1182.9000000000001</v>
      </c>
      <c r="P471" s="9">
        <v>46147.645752314813</v>
      </c>
    </row>
    <row r="472" spans="1:16" hidden="1" x14ac:dyDescent="0.25">
      <c r="A472" t="s">
        <v>8</v>
      </c>
      <c r="B472" s="4">
        <v>46168</v>
      </c>
      <c r="C472" t="s">
        <v>510</v>
      </c>
      <c r="D472">
        <v>55200</v>
      </c>
      <c r="E472" t="s">
        <v>40</v>
      </c>
      <c r="F472">
        <v>843.05</v>
      </c>
      <c r="G472">
        <v>301350</v>
      </c>
      <c r="H472">
        <v>69420</v>
      </c>
      <c r="I472">
        <v>80880</v>
      </c>
      <c r="J472">
        <v>68730</v>
      </c>
      <c r="K472">
        <v>801.5</v>
      </c>
      <c r="L472">
        <v>1029.9000000000001</v>
      </c>
      <c r="M472">
        <v>729.7</v>
      </c>
      <c r="N472">
        <v>1073.05</v>
      </c>
      <c r="O472">
        <v>831.3</v>
      </c>
      <c r="P472" s="9">
        <v>46147.645821759259</v>
      </c>
    </row>
    <row r="473" spans="1:16" hidden="1" x14ac:dyDescent="0.25">
      <c r="A473" t="s">
        <v>8</v>
      </c>
      <c r="B473" s="4">
        <v>46168</v>
      </c>
      <c r="C473" t="s">
        <v>511</v>
      </c>
      <c r="D473">
        <v>55200</v>
      </c>
      <c r="E473" t="s">
        <v>42</v>
      </c>
      <c r="F473">
        <v>1231.9000000000001</v>
      </c>
      <c r="G473">
        <v>129840</v>
      </c>
      <c r="H473">
        <v>58800</v>
      </c>
      <c r="I473">
        <v>71340</v>
      </c>
      <c r="J473">
        <v>58650</v>
      </c>
      <c r="K473">
        <v>1230.9000000000001</v>
      </c>
      <c r="L473">
        <v>1487.85</v>
      </c>
      <c r="M473">
        <v>1060.55</v>
      </c>
      <c r="N473">
        <v>1096.6500000000001</v>
      </c>
      <c r="O473">
        <v>1232.5</v>
      </c>
      <c r="P473" s="9">
        <v>46147.645486111112</v>
      </c>
    </row>
    <row r="474" spans="1:16" hidden="1" x14ac:dyDescent="0.25">
      <c r="A474" t="s">
        <v>8</v>
      </c>
      <c r="B474" s="4">
        <v>46168</v>
      </c>
      <c r="C474" t="s">
        <v>512</v>
      </c>
      <c r="D474">
        <v>55300</v>
      </c>
      <c r="E474" t="s">
        <v>40</v>
      </c>
      <c r="F474">
        <v>795.35</v>
      </c>
      <c r="G474">
        <v>234180</v>
      </c>
      <c r="H474">
        <v>63990</v>
      </c>
      <c r="I474">
        <v>73950</v>
      </c>
      <c r="J474">
        <v>63990</v>
      </c>
      <c r="K474">
        <v>851.25</v>
      </c>
      <c r="L474">
        <v>975</v>
      </c>
      <c r="M474">
        <v>688.4</v>
      </c>
      <c r="N474">
        <v>1024.6500000000001</v>
      </c>
      <c r="O474">
        <v>788.05</v>
      </c>
      <c r="P474" s="9">
        <v>46147.645752314813</v>
      </c>
    </row>
    <row r="475" spans="1:16" hidden="1" x14ac:dyDescent="0.25">
      <c r="A475" t="s">
        <v>8</v>
      </c>
      <c r="B475" s="4">
        <v>46168</v>
      </c>
      <c r="C475" t="s">
        <v>513</v>
      </c>
      <c r="D475">
        <v>55300</v>
      </c>
      <c r="E475" t="s">
        <v>42</v>
      </c>
      <c r="F475">
        <v>1300.05</v>
      </c>
      <c r="G475">
        <v>107490</v>
      </c>
      <c r="H475">
        <v>45930</v>
      </c>
      <c r="I475">
        <v>79710</v>
      </c>
      <c r="J475">
        <v>45840</v>
      </c>
      <c r="K475">
        <v>1359.1</v>
      </c>
      <c r="L475">
        <v>1541.6</v>
      </c>
      <c r="M475">
        <v>1107.95</v>
      </c>
      <c r="N475">
        <v>1147.75</v>
      </c>
      <c r="O475">
        <v>1280.95</v>
      </c>
      <c r="P475" s="9">
        <v>46147.645208333335</v>
      </c>
    </row>
    <row r="476" spans="1:16" hidden="1" x14ac:dyDescent="0.25">
      <c r="A476" t="s">
        <v>8</v>
      </c>
      <c r="B476" s="4">
        <v>46168</v>
      </c>
      <c r="C476" t="s">
        <v>514</v>
      </c>
      <c r="D476">
        <v>55400</v>
      </c>
      <c r="E476" t="s">
        <v>40</v>
      </c>
      <c r="F476">
        <v>745.5</v>
      </c>
      <c r="G476">
        <v>318420</v>
      </c>
      <c r="H476">
        <v>92550</v>
      </c>
      <c r="I476">
        <v>100440</v>
      </c>
      <c r="J476">
        <v>84720</v>
      </c>
      <c r="K476">
        <v>912.2</v>
      </c>
      <c r="L476">
        <v>917</v>
      </c>
      <c r="M476">
        <v>650</v>
      </c>
      <c r="N476">
        <v>977.4</v>
      </c>
      <c r="O476">
        <v>748.25</v>
      </c>
      <c r="P476" s="9">
        <v>46147.645752314813</v>
      </c>
    </row>
    <row r="477" spans="1:16" hidden="1" x14ac:dyDescent="0.25">
      <c r="A477" t="s">
        <v>8</v>
      </c>
      <c r="B477" s="4">
        <v>46168</v>
      </c>
      <c r="C477" t="s">
        <v>515</v>
      </c>
      <c r="D477">
        <v>55400</v>
      </c>
      <c r="E477" t="s">
        <v>42</v>
      </c>
      <c r="F477">
        <v>1338.05</v>
      </c>
      <c r="G477">
        <v>75210</v>
      </c>
      <c r="H477">
        <v>40200</v>
      </c>
      <c r="I477">
        <v>57720</v>
      </c>
      <c r="J477">
        <v>39630</v>
      </c>
      <c r="K477">
        <v>1409.7</v>
      </c>
      <c r="L477">
        <v>1605.6</v>
      </c>
      <c r="M477">
        <v>1172.3</v>
      </c>
      <c r="N477">
        <v>1208.9000000000001</v>
      </c>
      <c r="O477">
        <v>1339</v>
      </c>
      <c r="P477" s="9">
        <v>46147.645613425928</v>
      </c>
    </row>
    <row r="478" spans="1:16" hidden="1" x14ac:dyDescent="0.25">
      <c r="A478" t="s">
        <v>8</v>
      </c>
      <c r="B478" s="4">
        <v>46168</v>
      </c>
      <c r="C478" t="s">
        <v>516</v>
      </c>
      <c r="D478">
        <v>55500</v>
      </c>
      <c r="E478" t="s">
        <v>40</v>
      </c>
      <c r="F478">
        <v>703.7</v>
      </c>
      <c r="G478">
        <v>984480</v>
      </c>
      <c r="H478">
        <v>332340</v>
      </c>
      <c r="I478">
        <v>354720</v>
      </c>
      <c r="J478">
        <v>323100</v>
      </c>
      <c r="K478">
        <v>840</v>
      </c>
      <c r="L478">
        <v>878.2</v>
      </c>
      <c r="M478">
        <v>613.70000000000005</v>
      </c>
      <c r="N478">
        <v>927.9</v>
      </c>
      <c r="O478">
        <v>703.05</v>
      </c>
      <c r="P478" s="9">
        <v>46147.645810185182</v>
      </c>
    </row>
    <row r="479" spans="1:16" hidden="1" x14ac:dyDescent="0.25">
      <c r="A479" t="s">
        <v>8</v>
      </c>
      <c r="B479" s="4">
        <v>46168</v>
      </c>
      <c r="C479" t="s">
        <v>517</v>
      </c>
      <c r="D479">
        <v>55500</v>
      </c>
      <c r="E479" t="s">
        <v>42</v>
      </c>
      <c r="F479">
        <v>1394.65</v>
      </c>
      <c r="G479">
        <v>372300</v>
      </c>
      <c r="H479">
        <v>268530</v>
      </c>
      <c r="I479">
        <v>318480</v>
      </c>
      <c r="J479">
        <v>268530</v>
      </c>
      <c r="K479">
        <v>1420</v>
      </c>
      <c r="L479">
        <v>1672.45</v>
      </c>
      <c r="M479">
        <v>1210</v>
      </c>
      <c r="N479">
        <v>1255.8499999999999</v>
      </c>
      <c r="O479">
        <v>1394</v>
      </c>
      <c r="P479" s="9">
        <v>46147.645752314813</v>
      </c>
    </row>
    <row r="480" spans="1:16" hidden="1" x14ac:dyDescent="0.25">
      <c r="A480" t="s">
        <v>8</v>
      </c>
      <c r="B480" s="4">
        <v>46168</v>
      </c>
      <c r="C480" t="s">
        <v>518</v>
      </c>
      <c r="D480">
        <v>55600</v>
      </c>
      <c r="E480" t="s">
        <v>40</v>
      </c>
      <c r="F480">
        <v>668.25</v>
      </c>
      <c r="G480">
        <v>305790</v>
      </c>
      <c r="H480">
        <v>89040</v>
      </c>
      <c r="I480">
        <v>108450</v>
      </c>
      <c r="J480">
        <v>89040</v>
      </c>
      <c r="K480">
        <v>700.3</v>
      </c>
      <c r="L480">
        <v>827.35</v>
      </c>
      <c r="M480">
        <v>577.45000000000005</v>
      </c>
      <c r="N480">
        <v>878.5</v>
      </c>
      <c r="O480">
        <v>660.4</v>
      </c>
      <c r="P480" s="9">
        <v>46147.645787037036</v>
      </c>
    </row>
    <row r="481" spans="1:16" hidden="1" x14ac:dyDescent="0.25">
      <c r="A481" t="s">
        <v>8</v>
      </c>
      <c r="B481" s="4">
        <v>46168</v>
      </c>
      <c r="C481" t="s">
        <v>519</v>
      </c>
      <c r="D481">
        <v>55600</v>
      </c>
      <c r="E481" t="s">
        <v>42</v>
      </c>
      <c r="F481">
        <v>1464</v>
      </c>
      <c r="G481">
        <v>29310</v>
      </c>
      <c r="H481">
        <v>41370</v>
      </c>
      <c r="I481">
        <v>45300</v>
      </c>
      <c r="J481">
        <v>41370</v>
      </c>
      <c r="K481">
        <v>1538.25</v>
      </c>
      <c r="L481">
        <v>1732</v>
      </c>
      <c r="M481">
        <v>1270</v>
      </c>
      <c r="N481">
        <v>1314.75</v>
      </c>
      <c r="O481">
        <v>1453</v>
      </c>
      <c r="P481" s="9">
        <v>46147.645289351851</v>
      </c>
    </row>
    <row r="482" spans="1:16" hidden="1" x14ac:dyDescent="0.25">
      <c r="A482" t="s">
        <v>8</v>
      </c>
      <c r="B482" s="4">
        <v>46168</v>
      </c>
      <c r="C482" t="s">
        <v>520</v>
      </c>
      <c r="D482">
        <v>55700</v>
      </c>
      <c r="E482" t="s">
        <v>40</v>
      </c>
      <c r="F482">
        <v>631.4</v>
      </c>
      <c r="G482">
        <v>314100</v>
      </c>
      <c r="H482">
        <v>67740</v>
      </c>
      <c r="I482">
        <v>78690</v>
      </c>
      <c r="J482">
        <v>67260</v>
      </c>
      <c r="K482">
        <v>799.9</v>
      </c>
      <c r="L482">
        <v>799.9</v>
      </c>
      <c r="M482">
        <v>544.54999999999995</v>
      </c>
      <c r="N482">
        <v>830.75</v>
      </c>
      <c r="O482">
        <v>627.4</v>
      </c>
      <c r="P482" s="9">
        <v>46147.645821759259</v>
      </c>
    </row>
    <row r="483" spans="1:16" hidden="1" x14ac:dyDescent="0.25">
      <c r="A483" t="s">
        <v>8</v>
      </c>
      <c r="B483" s="4">
        <v>46168</v>
      </c>
      <c r="C483" t="s">
        <v>521</v>
      </c>
      <c r="D483">
        <v>55700</v>
      </c>
      <c r="E483" t="s">
        <v>42</v>
      </c>
      <c r="F483">
        <v>1532.8</v>
      </c>
      <c r="G483">
        <v>58740</v>
      </c>
      <c r="H483">
        <v>47640</v>
      </c>
      <c r="I483">
        <v>59940</v>
      </c>
      <c r="J483">
        <v>47640</v>
      </c>
      <c r="K483">
        <v>1588.75</v>
      </c>
      <c r="L483">
        <v>1799</v>
      </c>
      <c r="M483">
        <v>1334.4</v>
      </c>
      <c r="N483">
        <v>1359.7</v>
      </c>
      <c r="O483">
        <v>1520.8</v>
      </c>
      <c r="P483" s="9">
        <v>46147.645486111112</v>
      </c>
    </row>
    <row r="484" spans="1:16" hidden="1" x14ac:dyDescent="0.25">
      <c r="A484" t="s">
        <v>8</v>
      </c>
      <c r="B484" s="4">
        <v>46168</v>
      </c>
      <c r="C484" t="s">
        <v>522</v>
      </c>
      <c r="D484">
        <v>55800</v>
      </c>
      <c r="E484" t="s">
        <v>40</v>
      </c>
      <c r="F484">
        <v>590.54999999999995</v>
      </c>
      <c r="G484">
        <v>261690</v>
      </c>
      <c r="H484">
        <v>97590</v>
      </c>
      <c r="I484">
        <v>99060</v>
      </c>
      <c r="J484">
        <v>83700</v>
      </c>
      <c r="K484">
        <v>680.55</v>
      </c>
      <c r="L484">
        <v>741.15</v>
      </c>
      <c r="M484">
        <v>512.65</v>
      </c>
      <c r="N484">
        <v>789.6</v>
      </c>
      <c r="O484">
        <v>585.15</v>
      </c>
      <c r="P484" s="9">
        <v>46147.645752314813</v>
      </c>
    </row>
    <row r="485" spans="1:16" hidden="1" x14ac:dyDescent="0.25">
      <c r="A485" t="s">
        <v>8</v>
      </c>
      <c r="B485" s="4">
        <v>46168</v>
      </c>
      <c r="C485" t="s">
        <v>523</v>
      </c>
      <c r="D485">
        <v>55800</v>
      </c>
      <c r="E485" t="s">
        <v>42</v>
      </c>
      <c r="F485">
        <v>1588.3</v>
      </c>
      <c r="G485">
        <v>29490</v>
      </c>
      <c r="H485">
        <v>72930</v>
      </c>
      <c r="I485">
        <v>73350</v>
      </c>
      <c r="J485">
        <v>57510</v>
      </c>
      <c r="K485">
        <v>1644.95</v>
      </c>
      <c r="L485">
        <v>1867.95</v>
      </c>
      <c r="M485">
        <v>1400.15</v>
      </c>
      <c r="N485">
        <v>1429.65</v>
      </c>
      <c r="O485">
        <v>1573.9</v>
      </c>
      <c r="P485" s="9">
        <v>46147.645115740743</v>
      </c>
    </row>
    <row r="486" spans="1:16" hidden="1" x14ac:dyDescent="0.25">
      <c r="A486" t="s">
        <v>8</v>
      </c>
      <c r="B486" s="4">
        <v>46168</v>
      </c>
      <c r="C486" t="s">
        <v>524</v>
      </c>
      <c r="D486">
        <v>55900</v>
      </c>
      <c r="E486" t="s">
        <v>40</v>
      </c>
      <c r="F486">
        <v>550.15</v>
      </c>
      <c r="G486">
        <v>208500</v>
      </c>
      <c r="H486">
        <v>66030</v>
      </c>
      <c r="I486">
        <v>70590</v>
      </c>
      <c r="J486">
        <v>63840</v>
      </c>
      <c r="K486">
        <v>699.9</v>
      </c>
      <c r="L486">
        <v>699.9</v>
      </c>
      <c r="M486">
        <v>486.05</v>
      </c>
      <c r="N486">
        <v>750.1</v>
      </c>
      <c r="O486">
        <v>550</v>
      </c>
      <c r="P486" s="9">
        <v>46147.64576388889</v>
      </c>
    </row>
    <row r="487" spans="1:16" hidden="1" x14ac:dyDescent="0.25">
      <c r="A487" t="s">
        <v>8</v>
      </c>
      <c r="B487" s="4">
        <v>46168</v>
      </c>
      <c r="C487" t="s">
        <v>525</v>
      </c>
      <c r="D487">
        <v>55900</v>
      </c>
      <c r="E487" t="s">
        <v>42</v>
      </c>
      <c r="F487">
        <v>1660.5</v>
      </c>
      <c r="G487">
        <v>6780</v>
      </c>
      <c r="H487">
        <v>37170</v>
      </c>
      <c r="I487">
        <v>38100</v>
      </c>
      <c r="J487">
        <v>37140</v>
      </c>
      <c r="K487">
        <v>1725.8</v>
      </c>
      <c r="L487">
        <v>1928.85</v>
      </c>
      <c r="M487">
        <v>1478.65</v>
      </c>
      <c r="N487">
        <v>1476.3</v>
      </c>
      <c r="O487">
        <v>1638.05</v>
      </c>
      <c r="P487" s="9">
        <v>46147.645729166667</v>
      </c>
    </row>
    <row r="488" spans="1:16" hidden="1" x14ac:dyDescent="0.25">
      <c r="A488" t="s">
        <v>8</v>
      </c>
      <c r="B488" s="4">
        <v>46168</v>
      </c>
      <c r="C488" t="s">
        <v>526</v>
      </c>
      <c r="D488">
        <v>56000</v>
      </c>
      <c r="E488" t="s">
        <v>40</v>
      </c>
      <c r="F488">
        <v>519.9</v>
      </c>
      <c r="G488">
        <v>1761780</v>
      </c>
      <c r="H488">
        <v>1018650</v>
      </c>
      <c r="I488">
        <v>1030380</v>
      </c>
      <c r="J488">
        <v>940710</v>
      </c>
      <c r="K488">
        <v>649.95000000000005</v>
      </c>
      <c r="L488">
        <v>658.55</v>
      </c>
      <c r="M488">
        <v>455</v>
      </c>
      <c r="N488">
        <v>708.25</v>
      </c>
      <c r="O488">
        <v>519.9</v>
      </c>
      <c r="P488" s="9">
        <v>46147.645821759259</v>
      </c>
    </row>
    <row r="489" spans="1:16" hidden="1" x14ac:dyDescent="0.25">
      <c r="A489" t="s">
        <v>8</v>
      </c>
      <c r="B489" s="4">
        <v>46168</v>
      </c>
      <c r="C489" t="s">
        <v>527</v>
      </c>
      <c r="D489">
        <v>56000</v>
      </c>
      <c r="E489" t="s">
        <v>42</v>
      </c>
      <c r="F489">
        <v>1707.9</v>
      </c>
      <c r="G489">
        <v>311550</v>
      </c>
      <c r="H489">
        <v>768420</v>
      </c>
      <c r="I489">
        <v>797940</v>
      </c>
      <c r="J489">
        <v>765870</v>
      </c>
      <c r="K489">
        <v>1700</v>
      </c>
      <c r="L489">
        <v>2014.6</v>
      </c>
      <c r="M489">
        <v>1495.2</v>
      </c>
      <c r="N489">
        <v>1547.3</v>
      </c>
      <c r="O489">
        <v>1705.8</v>
      </c>
      <c r="P489" s="9">
        <v>46147.645740740743</v>
      </c>
    </row>
    <row r="490" spans="1:16" hidden="1" x14ac:dyDescent="0.25">
      <c r="A490" t="s">
        <v>8</v>
      </c>
      <c r="B490" s="4">
        <v>46168</v>
      </c>
      <c r="C490" t="s">
        <v>528</v>
      </c>
      <c r="D490">
        <v>56100</v>
      </c>
      <c r="E490" t="s">
        <v>40</v>
      </c>
      <c r="F490">
        <v>491.45</v>
      </c>
      <c r="G490">
        <v>246450</v>
      </c>
      <c r="H490">
        <v>77760</v>
      </c>
      <c r="I490">
        <v>86700</v>
      </c>
      <c r="J490">
        <v>77730</v>
      </c>
      <c r="K490">
        <v>500.1</v>
      </c>
      <c r="L490">
        <v>618.29999999999995</v>
      </c>
      <c r="M490">
        <v>427.5</v>
      </c>
      <c r="N490">
        <v>666.25</v>
      </c>
      <c r="O490">
        <v>482.15</v>
      </c>
      <c r="P490" s="9">
        <v>46147.645752314813</v>
      </c>
    </row>
    <row r="491" spans="1:16" hidden="1" x14ac:dyDescent="0.25">
      <c r="A491" t="s">
        <v>8</v>
      </c>
      <c r="B491" s="4">
        <v>46168</v>
      </c>
      <c r="C491" t="s">
        <v>529</v>
      </c>
      <c r="D491">
        <v>56100</v>
      </c>
      <c r="E491" t="s">
        <v>42</v>
      </c>
      <c r="F491">
        <v>1634.35</v>
      </c>
      <c r="G491">
        <v>2370</v>
      </c>
      <c r="H491">
        <v>36000</v>
      </c>
      <c r="I491">
        <v>36480</v>
      </c>
      <c r="J491">
        <v>35880</v>
      </c>
      <c r="K491">
        <v>1678.9</v>
      </c>
      <c r="L491">
        <v>2093.15</v>
      </c>
      <c r="M491">
        <v>1600</v>
      </c>
      <c r="N491">
        <v>1599.4</v>
      </c>
      <c r="O491">
        <v>1751.65</v>
      </c>
      <c r="P491" s="9">
        <v>46147.609965277778</v>
      </c>
    </row>
    <row r="492" spans="1:16" hidden="1" x14ac:dyDescent="0.25">
      <c r="A492" t="s">
        <v>8</v>
      </c>
      <c r="B492" s="4">
        <v>46168</v>
      </c>
      <c r="C492" t="s">
        <v>530</v>
      </c>
      <c r="D492">
        <v>56200</v>
      </c>
      <c r="E492" t="s">
        <v>40</v>
      </c>
      <c r="F492">
        <v>459.65</v>
      </c>
      <c r="G492">
        <v>208260</v>
      </c>
      <c r="H492">
        <v>76410</v>
      </c>
      <c r="I492">
        <v>79500</v>
      </c>
      <c r="J492">
        <v>72210</v>
      </c>
      <c r="K492">
        <v>484.85</v>
      </c>
      <c r="L492">
        <v>583.5</v>
      </c>
      <c r="M492">
        <v>401</v>
      </c>
      <c r="N492">
        <v>634.85</v>
      </c>
      <c r="O492">
        <v>451.3</v>
      </c>
      <c r="P492" s="9">
        <v>46147.645752314813</v>
      </c>
    </row>
    <row r="493" spans="1:16" hidden="1" x14ac:dyDescent="0.25">
      <c r="A493" t="s">
        <v>8</v>
      </c>
      <c r="B493" s="4">
        <v>46168</v>
      </c>
      <c r="C493" t="s">
        <v>531</v>
      </c>
      <c r="D493">
        <v>56200</v>
      </c>
      <c r="E493" t="s">
        <v>42</v>
      </c>
      <c r="F493">
        <v>1853.6</v>
      </c>
      <c r="G493">
        <v>3540</v>
      </c>
      <c r="H493">
        <v>51330</v>
      </c>
      <c r="I493">
        <v>53160</v>
      </c>
      <c r="J493">
        <v>51330</v>
      </c>
      <c r="K493">
        <v>1890</v>
      </c>
      <c r="L493">
        <v>2146.75</v>
      </c>
      <c r="M493">
        <v>1660.55</v>
      </c>
      <c r="N493">
        <v>1627.25</v>
      </c>
      <c r="O493">
        <v>1830.1</v>
      </c>
      <c r="P493" s="9">
        <v>46147.644189814811</v>
      </c>
    </row>
    <row r="494" spans="1:16" hidden="1" x14ac:dyDescent="0.25">
      <c r="A494" t="s">
        <v>8</v>
      </c>
      <c r="B494" s="4">
        <v>46168</v>
      </c>
      <c r="C494" t="s">
        <v>532</v>
      </c>
      <c r="D494">
        <v>56300</v>
      </c>
      <c r="E494" t="s">
        <v>40</v>
      </c>
      <c r="F494">
        <v>428.8</v>
      </c>
      <c r="G494">
        <v>145530</v>
      </c>
      <c r="H494">
        <v>72930</v>
      </c>
      <c r="I494">
        <v>76650</v>
      </c>
      <c r="J494">
        <v>69420</v>
      </c>
      <c r="K494">
        <v>400.65</v>
      </c>
      <c r="L494">
        <v>549</v>
      </c>
      <c r="M494">
        <v>375.1</v>
      </c>
      <c r="N494">
        <v>596.70000000000005</v>
      </c>
      <c r="O494">
        <v>425</v>
      </c>
      <c r="P494" s="9">
        <v>46147.645775462966</v>
      </c>
    </row>
    <row r="495" spans="1:16" hidden="1" x14ac:dyDescent="0.25">
      <c r="A495" t="s">
        <v>8</v>
      </c>
      <c r="B495" s="4">
        <v>46168</v>
      </c>
      <c r="C495" t="s">
        <v>533</v>
      </c>
      <c r="D495">
        <v>56300</v>
      </c>
      <c r="E495" t="s">
        <v>42</v>
      </c>
      <c r="F495">
        <v>1910.55</v>
      </c>
      <c r="G495">
        <v>5790</v>
      </c>
      <c r="H495">
        <v>54990</v>
      </c>
      <c r="I495">
        <v>56370</v>
      </c>
      <c r="J495">
        <v>54960</v>
      </c>
      <c r="K495">
        <v>1934.8</v>
      </c>
      <c r="L495">
        <v>2227</v>
      </c>
      <c r="M495">
        <v>1695.15</v>
      </c>
      <c r="N495">
        <v>1708.9</v>
      </c>
      <c r="O495">
        <v>1896.4</v>
      </c>
      <c r="P495" s="9">
        <v>46147.641550925924</v>
      </c>
    </row>
    <row r="496" spans="1:16" hidden="1" x14ac:dyDescent="0.25">
      <c r="A496" t="s">
        <v>8</v>
      </c>
      <c r="B496" s="4">
        <v>46168</v>
      </c>
      <c r="C496" t="s">
        <v>534</v>
      </c>
      <c r="D496">
        <v>56400</v>
      </c>
      <c r="E496" t="s">
        <v>40</v>
      </c>
      <c r="F496">
        <v>404.4</v>
      </c>
      <c r="G496">
        <v>154110</v>
      </c>
      <c r="H496">
        <v>58410</v>
      </c>
      <c r="I496">
        <v>58410</v>
      </c>
      <c r="J496">
        <v>47730</v>
      </c>
      <c r="K496">
        <v>493</v>
      </c>
      <c r="L496">
        <v>515</v>
      </c>
      <c r="M496">
        <v>353.05</v>
      </c>
      <c r="N496">
        <v>564.45000000000005</v>
      </c>
      <c r="O496">
        <v>395.9</v>
      </c>
      <c r="P496" s="9">
        <v>46147.645752314813</v>
      </c>
    </row>
    <row r="497" spans="1:16" hidden="1" x14ac:dyDescent="0.25">
      <c r="A497" t="s">
        <v>8</v>
      </c>
      <c r="B497" s="4">
        <v>46168</v>
      </c>
      <c r="C497" t="s">
        <v>535</v>
      </c>
      <c r="D497">
        <v>56400</v>
      </c>
      <c r="E497" t="s">
        <v>42</v>
      </c>
      <c r="F497">
        <v>1959.55</v>
      </c>
      <c r="G497">
        <v>8970</v>
      </c>
      <c r="H497">
        <v>55920</v>
      </c>
      <c r="I497">
        <v>58770</v>
      </c>
      <c r="J497">
        <v>55920</v>
      </c>
      <c r="K497">
        <v>2007.75</v>
      </c>
      <c r="L497">
        <v>2259.9499999999998</v>
      </c>
      <c r="M497">
        <v>1850</v>
      </c>
      <c r="N497">
        <v>1779.25</v>
      </c>
      <c r="O497">
        <v>1964.7</v>
      </c>
      <c r="P497" s="9">
        <v>46147.643657407411</v>
      </c>
    </row>
    <row r="498" spans="1:16" hidden="1" x14ac:dyDescent="0.25">
      <c r="A498" t="s">
        <v>8</v>
      </c>
      <c r="B498" s="4">
        <v>46168</v>
      </c>
      <c r="C498" t="s">
        <v>536</v>
      </c>
      <c r="D498">
        <v>56500</v>
      </c>
      <c r="E498" t="s">
        <v>40</v>
      </c>
      <c r="F498">
        <v>375.8</v>
      </c>
      <c r="G498">
        <v>877950</v>
      </c>
      <c r="H498">
        <v>492780</v>
      </c>
      <c r="I498">
        <v>494700</v>
      </c>
      <c r="J498">
        <v>470850</v>
      </c>
      <c r="K498">
        <v>480</v>
      </c>
      <c r="L498">
        <v>484.95</v>
      </c>
      <c r="M498">
        <v>329.65</v>
      </c>
      <c r="N498">
        <v>527.75</v>
      </c>
      <c r="O498">
        <v>372.45</v>
      </c>
      <c r="P498" s="9">
        <v>46147.645798611113</v>
      </c>
    </row>
    <row r="499" spans="1:16" hidden="1" x14ac:dyDescent="0.25">
      <c r="A499" t="s">
        <v>8</v>
      </c>
      <c r="B499" s="4">
        <v>46168</v>
      </c>
      <c r="C499" t="s">
        <v>537</v>
      </c>
      <c r="D499">
        <v>56500</v>
      </c>
      <c r="E499" t="s">
        <v>42</v>
      </c>
      <c r="F499">
        <v>2078.65</v>
      </c>
      <c r="G499">
        <v>34350</v>
      </c>
      <c r="H499">
        <v>359160</v>
      </c>
      <c r="I499">
        <v>359790</v>
      </c>
      <c r="J499">
        <v>356280</v>
      </c>
      <c r="K499">
        <v>2118.85</v>
      </c>
      <c r="L499">
        <v>2383.6999999999998</v>
      </c>
      <c r="M499">
        <v>1843.95</v>
      </c>
      <c r="N499">
        <v>1862.7</v>
      </c>
      <c r="O499">
        <v>2055.0500000000002</v>
      </c>
      <c r="P499" s="9">
        <v>46147.645138888889</v>
      </c>
    </row>
    <row r="500" spans="1:16" hidden="1" x14ac:dyDescent="0.25">
      <c r="A500" t="s">
        <v>8</v>
      </c>
      <c r="B500" s="4">
        <v>46168</v>
      </c>
      <c r="C500" t="s">
        <v>538</v>
      </c>
      <c r="D500">
        <v>56600</v>
      </c>
      <c r="E500" t="s">
        <v>40</v>
      </c>
      <c r="F500">
        <v>350</v>
      </c>
      <c r="G500">
        <v>131640</v>
      </c>
      <c r="H500">
        <v>47460</v>
      </c>
      <c r="I500">
        <v>52920</v>
      </c>
      <c r="J500">
        <v>46830</v>
      </c>
      <c r="K500">
        <v>490</v>
      </c>
      <c r="L500">
        <v>490</v>
      </c>
      <c r="M500">
        <v>309.45</v>
      </c>
      <c r="N500">
        <v>499.6</v>
      </c>
      <c r="O500">
        <v>345.8</v>
      </c>
      <c r="P500" s="9">
        <v>46147.645752314813</v>
      </c>
    </row>
    <row r="501" spans="1:16" hidden="1" x14ac:dyDescent="0.25">
      <c r="A501" t="s">
        <v>8</v>
      </c>
      <c r="B501" s="4">
        <v>46168</v>
      </c>
      <c r="C501" t="s">
        <v>539</v>
      </c>
      <c r="D501">
        <v>56600</v>
      </c>
      <c r="E501" t="s">
        <v>42</v>
      </c>
      <c r="F501">
        <v>2265</v>
      </c>
      <c r="G501">
        <v>1200</v>
      </c>
      <c r="H501">
        <v>27060</v>
      </c>
      <c r="I501">
        <v>28080</v>
      </c>
      <c r="J501">
        <v>27060</v>
      </c>
      <c r="K501">
        <v>2121.5500000000002</v>
      </c>
      <c r="L501">
        <v>2451.1</v>
      </c>
      <c r="M501">
        <v>2121.5500000000002</v>
      </c>
      <c r="N501">
        <v>1920</v>
      </c>
      <c r="O501">
        <v>2100.4499999999998</v>
      </c>
      <c r="P501" s="9">
        <v>46147.517789351848</v>
      </c>
    </row>
    <row r="502" spans="1:16" hidden="1" x14ac:dyDescent="0.25">
      <c r="A502" t="s">
        <v>8</v>
      </c>
      <c r="B502" s="4">
        <v>46168</v>
      </c>
      <c r="C502" t="s">
        <v>540</v>
      </c>
      <c r="D502">
        <v>56700</v>
      </c>
      <c r="E502" t="s">
        <v>40</v>
      </c>
      <c r="F502">
        <v>326.14999999999998</v>
      </c>
      <c r="G502">
        <v>146940</v>
      </c>
      <c r="H502">
        <v>49020</v>
      </c>
      <c r="I502">
        <v>51930</v>
      </c>
      <c r="J502">
        <v>46410</v>
      </c>
      <c r="K502">
        <v>350.05</v>
      </c>
      <c r="L502">
        <v>417.95</v>
      </c>
      <c r="M502">
        <v>291</v>
      </c>
      <c r="N502">
        <v>467.65</v>
      </c>
      <c r="O502">
        <v>326.14999999999998</v>
      </c>
      <c r="P502" s="9">
        <v>46147.645752314813</v>
      </c>
    </row>
    <row r="503" spans="1:16" hidden="1" x14ac:dyDescent="0.25">
      <c r="A503" t="s">
        <v>8</v>
      </c>
      <c r="B503" s="4">
        <v>46168</v>
      </c>
      <c r="C503" t="s">
        <v>541</v>
      </c>
      <c r="D503">
        <v>56700</v>
      </c>
      <c r="E503" t="s">
        <v>42</v>
      </c>
      <c r="F503">
        <v>2211.8000000000002</v>
      </c>
      <c r="G503">
        <v>1380</v>
      </c>
      <c r="H503">
        <v>23880</v>
      </c>
      <c r="I503">
        <v>24270</v>
      </c>
      <c r="J503">
        <v>23880</v>
      </c>
      <c r="K503">
        <v>2219.1999999999998</v>
      </c>
      <c r="L503">
        <v>2465.75</v>
      </c>
      <c r="M503">
        <v>1984.45</v>
      </c>
      <c r="N503">
        <v>1964.8</v>
      </c>
      <c r="O503">
        <v>2200.15</v>
      </c>
      <c r="P503" s="9">
        <v>46147.639027777775</v>
      </c>
    </row>
    <row r="504" spans="1:16" hidden="1" x14ac:dyDescent="0.25">
      <c r="A504" t="s">
        <v>8</v>
      </c>
      <c r="B504" s="4">
        <v>46168</v>
      </c>
      <c r="C504" t="s">
        <v>542</v>
      </c>
      <c r="D504">
        <v>56800</v>
      </c>
      <c r="E504" t="s">
        <v>40</v>
      </c>
      <c r="F504">
        <v>307.10000000000002</v>
      </c>
      <c r="G504">
        <v>132300</v>
      </c>
      <c r="H504">
        <v>86940</v>
      </c>
      <c r="I504">
        <v>89280</v>
      </c>
      <c r="J504">
        <v>84870</v>
      </c>
      <c r="K504">
        <v>350</v>
      </c>
      <c r="L504">
        <v>397.25</v>
      </c>
      <c r="M504">
        <v>272</v>
      </c>
      <c r="N504">
        <v>436.6</v>
      </c>
      <c r="O504">
        <v>303.8</v>
      </c>
      <c r="P504" s="9">
        <v>46147.64570601852</v>
      </c>
    </row>
    <row r="505" spans="1:16" hidden="1" x14ac:dyDescent="0.25">
      <c r="A505" t="s">
        <v>8</v>
      </c>
      <c r="B505" s="4">
        <v>46168</v>
      </c>
      <c r="C505" t="s">
        <v>543</v>
      </c>
      <c r="D505">
        <v>56800</v>
      </c>
      <c r="E505" t="s">
        <v>42</v>
      </c>
      <c r="F505">
        <v>2293.1999999999998</v>
      </c>
      <c r="G505">
        <v>690</v>
      </c>
      <c r="H505">
        <v>69300</v>
      </c>
      <c r="I505">
        <v>69600</v>
      </c>
      <c r="J505">
        <v>69300</v>
      </c>
      <c r="K505">
        <v>2350</v>
      </c>
      <c r="L505">
        <v>2570</v>
      </c>
      <c r="M505">
        <v>2100</v>
      </c>
      <c r="N505">
        <v>2100</v>
      </c>
      <c r="O505">
        <v>2255.8000000000002</v>
      </c>
      <c r="P505" s="9">
        <v>46147.641770833332</v>
      </c>
    </row>
    <row r="506" spans="1:16" hidden="1" x14ac:dyDescent="0.25">
      <c r="A506" t="s">
        <v>8</v>
      </c>
      <c r="B506" s="4">
        <v>46168</v>
      </c>
      <c r="C506" t="s">
        <v>544</v>
      </c>
      <c r="D506">
        <v>56900</v>
      </c>
      <c r="E506" t="s">
        <v>40</v>
      </c>
      <c r="F506">
        <v>285.60000000000002</v>
      </c>
      <c r="G506">
        <v>113250</v>
      </c>
      <c r="H506">
        <v>37740</v>
      </c>
      <c r="I506">
        <v>39300</v>
      </c>
      <c r="J506">
        <v>36420</v>
      </c>
      <c r="K506">
        <v>339.8</v>
      </c>
      <c r="L506">
        <v>370</v>
      </c>
      <c r="M506">
        <v>254.7</v>
      </c>
      <c r="N506">
        <v>409.1</v>
      </c>
      <c r="O506">
        <v>284.2</v>
      </c>
      <c r="P506" s="9">
        <v>46147.645740740743</v>
      </c>
    </row>
    <row r="507" spans="1:16" hidden="1" x14ac:dyDescent="0.25">
      <c r="A507" t="s">
        <v>8</v>
      </c>
      <c r="B507" s="4">
        <v>46168</v>
      </c>
      <c r="C507" t="s">
        <v>545</v>
      </c>
      <c r="D507">
        <v>56900</v>
      </c>
      <c r="E507" t="s">
        <v>42</v>
      </c>
      <c r="F507">
        <v>2165</v>
      </c>
      <c r="G507">
        <v>0</v>
      </c>
      <c r="H507">
        <v>12780</v>
      </c>
      <c r="I507">
        <v>12780</v>
      </c>
      <c r="J507">
        <v>12780</v>
      </c>
      <c r="K507">
        <v>0</v>
      </c>
      <c r="L507">
        <v>0</v>
      </c>
      <c r="M507">
        <v>0</v>
      </c>
      <c r="N507">
        <v>2165</v>
      </c>
      <c r="O507">
        <v>2332.8000000000002</v>
      </c>
      <c r="P507" s="9">
        <v>46146.610659722224</v>
      </c>
    </row>
    <row r="508" spans="1:16" hidden="1" x14ac:dyDescent="0.25">
      <c r="A508" t="s">
        <v>8</v>
      </c>
      <c r="B508" s="4">
        <v>46168</v>
      </c>
      <c r="C508" t="s">
        <v>546</v>
      </c>
      <c r="D508">
        <v>57000</v>
      </c>
      <c r="E508" t="s">
        <v>40</v>
      </c>
      <c r="F508">
        <v>266.89999999999998</v>
      </c>
      <c r="G508">
        <v>1739160</v>
      </c>
      <c r="H508">
        <v>778650</v>
      </c>
      <c r="I508">
        <v>811650</v>
      </c>
      <c r="J508">
        <v>763110</v>
      </c>
      <c r="K508">
        <v>345</v>
      </c>
      <c r="L508">
        <v>349.75</v>
      </c>
      <c r="M508">
        <v>238</v>
      </c>
      <c r="N508">
        <v>384.75</v>
      </c>
      <c r="O508">
        <v>265.10000000000002</v>
      </c>
      <c r="P508" s="9">
        <v>46147.645821759259</v>
      </c>
    </row>
    <row r="509" spans="1:16" hidden="1" x14ac:dyDescent="0.25">
      <c r="A509" t="s">
        <v>8</v>
      </c>
      <c r="B509" s="4">
        <v>46168</v>
      </c>
      <c r="C509" t="s">
        <v>547</v>
      </c>
      <c r="D509">
        <v>57000</v>
      </c>
      <c r="E509" t="s">
        <v>42</v>
      </c>
      <c r="F509">
        <v>2467</v>
      </c>
      <c r="G509">
        <v>36270</v>
      </c>
      <c r="H509">
        <v>384300</v>
      </c>
      <c r="I509">
        <v>389580</v>
      </c>
      <c r="J509">
        <v>384300</v>
      </c>
      <c r="K509">
        <v>2428.8000000000002</v>
      </c>
      <c r="L509">
        <v>2780.2</v>
      </c>
      <c r="M509">
        <v>2191.25</v>
      </c>
      <c r="N509">
        <v>2191.3000000000002</v>
      </c>
      <c r="O509">
        <v>2440.6999999999998</v>
      </c>
      <c r="P509" s="9">
        <v>46147.645486111112</v>
      </c>
    </row>
    <row r="510" spans="1:16" hidden="1" x14ac:dyDescent="0.25">
      <c r="A510" t="s">
        <v>8</v>
      </c>
      <c r="B510" s="4">
        <v>46168</v>
      </c>
      <c r="C510" t="s">
        <v>548</v>
      </c>
      <c r="D510">
        <v>57100</v>
      </c>
      <c r="E510" t="s">
        <v>40</v>
      </c>
      <c r="F510">
        <v>247</v>
      </c>
      <c r="G510">
        <v>96810</v>
      </c>
      <c r="H510">
        <v>50130</v>
      </c>
      <c r="I510">
        <v>50190</v>
      </c>
      <c r="J510">
        <v>43020</v>
      </c>
      <c r="K510">
        <v>290</v>
      </c>
      <c r="L510">
        <v>329.2</v>
      </c>
      <c r="M510">
        <v>223.75</v>
      </c>
      <c r="N510">
        <v>361.25</v>
      </c>
      <c r="O510">
        <v>247</v>
      </c>
      <c r="P510" s="9">
        <v>46147.645624999997</v>
      </c>
    </row>
    <row r="511" spans="1:16" hidden="1" x14ac:dyDescent="0.25">
      <c r="A511" t="s">
        <v>8</v>
      </c>
      <c r="B511" s="4">
        <v>46168</v>
      </c>
      <c r="C511" t="s">
        <v>549</v>
      </c>
      <c r="D511">
        <v>57100</v>
      </c>
      <c r="E511" t="s">
        <v>42</v>
      </c>
      <c r="F511">
        <v>2550</v>
      </c>
      <c r="G511">
        <v>30</v>
      </c>
      <c r="H511">
        <v>7110</v>
      </c>
      <c r="I511">
        <v>7110</v>
      </c>
      <c r="J511">
        <v>7110</v>
      </c>
      <c r="K511">
        <v>2550</v>
      </c>
      <c r="L511">
        <v>2550</v>
      </c>
      <c r="M511">
        <v>2550</v>
      </c>
      <c r="N511">
        <v>2281.75</v>
      </c>
      <c r="O511">
        <v>2491.3000000000002</v>
      </c>
      <c r="P511" s="9">
        <v>46147.422418981485</v>
      </c>
    </row>
    <row r="512" spans="1:16" hidden="1" x14ac:dyDescent="0.25">
      <c r="A512" t="s">
        <v>8</v>
      </c>
      <c r="B512" s="4">
        <v>46168</v>
      </c>
      <c r="C512" t="s">
        <v>550</v>
      </c>
      <c r="D512">
        <v>57200</v>
      </c>
      <c r="E512" t="s">
        <v>40</v>
      </c>
      <c r="F512">
        <v>233.85</v>
      </c>
      <c r="G512">
        <v>107730</v>
      </c>
      <c r="H512">
        <v>59190</v>
      </c>
      <c r="I512">
        <v>60240</v>
      </c>
      <c r="J512">
        <v>53250</v>
      </c>
      <c r="K512">
        <v>250.05</v>
      </c>
      <c r="L512">
        <v>301.89999999999998</v>
      </c>
      <c r="M512">
        <v>208.55</v>
      </c>
      <c r="N512">
        <v>339.25</v>
      </c>
      <c r="O512">
        <v>230.95</v>
      </c>
      <c r="P512" s="9">
        <v>46147.645821759259</v>
      </c>
    </row>
    <row r="513" spans="1:16" hidden="1" x14ac:dyDescent="0.25">
      <c r="A513" t="s">
        <v>8</v>
      </c>
      <c r="B513" s="4">
        <v>46168</v>
      </c>
      <c r="C513" t="s">
        <v>551</v>
      </c>
      <c r="D513">
        <v>57200</v>
      </c>
      <c r="E513" t="s">
        <v>42</v>
      </c>
      <c r="F513">
        <v>2900</v>
      </c>
      <c r="G513">
        <v>90</v>
      </c>
      <c r="H513">
        <v>9840</v>
      </c>
      <c r="I513">
        <v>9870</v>
      </c>
      <c r="J513">
        <v>9840</v>
      </c>
      <c r="K513">
        <v>2900</v>
      </c>
      <c r="L513">
        <v>2900</v>
      </c>
      <c r="M513">
        <v>2900</v>
      </c>
      <c r="N513">
        <v>2338.5500000000002</v>
      </c>
      <c r="O513">
        <v>2565.5</v>
      </c>
      <c r="P513" s="9">
        <v>46147.508831018517</v>
      </c>
    </row>
    <row r="514" spans="1:16" hidden="1" x14ac:dyDescent="0.25">
      <c r="A514" t="s">
        <v>8</v>
      </c>
      <c r="B514" s="4">
        <v>46168</v>
      </c>
      <c r="C514" t="s">
        <v>552</v>
      </c>
      <c r="D514">
        <v>57300</v>
      </c>
      <c r="E514" t="s">
        <v>40</v>
      </c>
      <c r="F514">
        <v>215</v>
      </c>
      <c r="G514">
        <v>173010</v>
      </c>
      <c r="H514">
        <v>85590</v>
      </c>
      <c r="I514">
        <v>85770</v>
      </c>
      <c r="J514">
        <v>73740</v>
      </c>
      <c r="K514">
        <v>299.5</v>
      </c>
      <c r="L514">
        <v>299.5</v>
      </c>
      <c r="M514">
        <v>194.75</v>
      </c>
      <c r="N514">
        <v>317</v>
      </c>
      <c r="O514">
        <v>214.45</v>
      </c>
      <c r="P514" s="9">
        <v>46147.645740740743</v>
      </c>
    </row>
    <row r="515" spans="1:16" hidden="1" x14ac:dyDescent="0.25">
      <c r="A515" t="s">
        <v>8</v>
      </c>
      <c r="B515" s="4">
        <v>46168</v>
      </c>
      <c r="C515" t="s">
        <v>553</v>
      </c>
      <c r="D515">
        <v>57300</v>
      </c>
      <c r="E515" t="s">
        <v>42</v>
      </c>
      <c r="F515">
        <v>2500.4499999999998</v>
      </c>
      <c r="G515">
        <v>300</v>
      </c>
      <c r="H515">
        <v>13260</v>
      </c>
      <c r="I515">
        <v>13440</v>
      </c>
      <c r="J515">
        <v>13260</v>
      </c>
      <c r="K515">
        <v>2601</v>
      </c>
      <c r="L515">
        <v>2827.6</v>
      </c>
      <c r="M515">
        <v>2500.4499999999998</v>
      </c>
      <c r="N515">
        <v>2322.5</v>
      </c>
      <c r="O515">
        <v>2660.25</v>
      </c>
      <c r="P515" s="9">
        <v>46147.557372685187</v>
      </c>
    </row>
    <row r="516" spans="1:16" hidden="1" x14ac:dyDescent="0.25">
      <c r="A516" t="s">
        <v>8</v>
      </c>
      <c r="B516" s="4">
        <v>46168</v>
      </c>
      <c r="C516" t="s">
        <v>554</v>
      </c>
      <c r="D516">
        <v>57400</v>
      </c>
      <c r="E516" t="s">
        <v>40</v>
      </c>
      <c r="F516">
        <v>200.25</v>
      </c>
      <c r="G516">
        <v>115050</v>
      </c>
      <c r="H516">
        <v>56580</v>
      </c>
      <c r="I516">
        <v>60660</v>
      </c>
      <c r="J516">
        <v>50790</v>
      </c>
      <c r="K516">
        <v>250</v>
      </c>
      <c r="L516">
        <v>260</v>
      </c>
      <c r="M516">
        <v>183.15</v>
      </c>
      <c r="N516">
        <v>299.14999999999998</v>
      </c>
      <c r="O516">
        <v>200.25</v>
      </c>
      <c r="P516" s="9">
        <v>46147.645798611113</v>
      </c>
    </row>
    <row r="517" spans="1:16" hidden="1" x14ac:dyDescent="0.25">
      <c r="A517" t="s">
        <v>8</v>
      </c>
      <c r="B517" s="4">
        <v>46168</v>
      </c>
      <c r="C517" t="s">
        <v>555</v>
      </c>
      <c r="D517">
        <v>57400</v>
      </c>
      <c r="E517" t="s">
        <v>42</v>
      </c>
      <c r="F517">
        <v>2829.25</v>
      </c>
      <c r="G517">
        <v>1080</v>
      </c>
      <c r="H517">
        <v>9150</v>
      </c>
      <c r="I517">
        <v>9150</v>
      </c>
      <c r="J517">
        <v>9120</v>
      </c>
      <c r="K517">
        <v>2850</v>
      </c>
      <c r="L517">
        <v>2980</v>
      </c>
      <c r="M517">
        <v>2774.05</v>
      </c>
      <c r="N517">
        <v>2369.4499999999998</v>
      </c>
      <c r="O517">
        <v>2743.4</v>
      </c>
      <c r="P517" s="9">
        <v>46147.536562499998</v>
      </c>
    </row>
    <row r="518" spans="1:16" hidden="1" x14ac:dyDescent="0.25">
      <c r="A518" t="s">
        <v>8</v>
      </c>
      <c r="B518" s="4">
        <v>46168</v>
      </c>
      <c r="C518" t="s">
        <v>556</v>
      </c>
      <c r="D518">
        <v>57500</v>
      </c>
      <c r="E518" t="s">
        <v>40</v>
      </c>
      <c r="F518">
        <v>190.15</v>
      </c>
      <c r="G518">
        <v>828570</v>
      </c>
      <c r="H518">
        <v>355200</v>
      </c>
      <c r="I518">
        <v>355200</v>
      </c>
      <c r="J518">
        <v>306360</v>
      </c>
      <c r="K518">
        <v>240.6</v>
      </c>
      <c r="L518">
        <v>246.8</v>
      </c>
      <c r="M518">
        <v>170.5</v>
      </c>
      <c r="N518">
        <v>277.89999999999998</v>
      </c>
      <c r="O518">
        <v>187.05</v>
      </c>
      <c r="P518" s="9">
        <v>46147.64570601852</v>
      </c>
    </row>
    <row r="519" spans="1:16" hidden="1" x14ac:dyDescent="0.25">
      <c r="A519" t="s">
        <v>8</v>
      </c>
      <c r="B519" s="4">
        <v>46168</v>
      </c>
      <c r="C519" t="s">
        <v>557</v>
      </c>
      <c r="D519">
        <v>57500</v>
      </c>
      <c r="E519" t="s">
        <v>42</v>
      </c>
      <c r="F519">
        <v>2874.9</v>
      </c>
      <c r="G519">
        <v>3990</v>
      </c>
      <c r="H519">
        <v>139140</v>
      </c>
      <c r="I519">
        <v>140580</v>
      </c>
      <c r="J519">
        <v>139020</v>
      </c>
      <c r="K519">
        <v>2917.25</v>
      </c>
      <c r="L519">
        <v>3206</v>
      </c>
      <c r="M519">
        <v>2631.1</v>
      </c>
      <c r="N519">
        <v>2566.65</v>
      </c>
      <c r="O519">
        <v>2848.35</v>
      </c>
      <c r="P519" s="9">
        <v>46147.644618055558</v>
      </c>
    </row>
    <row r="520" spans="1:16" hidden="1" x14ac:dyDescent="0.25">
      <c r="A520" t="s">
        <v>8</v>
      </c>
      <c r="B520" s="4">
        <v>46168</v>
      </c>
      <c r="C520" t="s">
        <v>558</v>
      </c>
      <c r="D520">
        <v>57600</v>
      </c>
      <c r="E520" t="s">
        <v>40</v>
      </c>
      <c r="F520">
        <v>175.65</v>
      </c>
      <c r="G520">
        <v>156720</v>
      </c>
      <c r="H520">
        <v>49290</v>
      </c>
      <c r="I520">
        <v>49800</v>
      </c>
      <c r="J520">
        <v>28410</v>
      </c>
      <c r="K520">
        <v>190.45</v>
      </c>
      <c r="L520">
        <v>228.5</v>
      </c>
      <c r="M520">
        <v>159.94999999999999</v>
      </c>
      <c r="N520">
        <v>259.25</v>
      </c>
      <c r="O520">
        <v>175</v>
      </c>
      <c r="P520" s="9">
        <v>46147.64570601852</v>
      </c>
    </row>
    <row r="521" spans="1:16" hidden="1" x14ac:dyDescent="0.25">
      <c r="A521" t="s">
        <v>8</v>
      </c>
      <c r="B521" s="4">
        <v>46168</v>
      </c>
      <c r="C521" t="s">
        <v>559</v>
      </c>
      <c r="D521">
        <v>57600</v>
      </c>
      <c r="E521" t="s">
        <v>42</v>
      </c>
      <c r="F521">
        <v>2915.2</v>
      </c>
      <c r="G521">
        <v>13740</v>
      </c>
      <c r="H521">
        <v>26190</v>
      </c>
      <c r="I521">
        <v>31200</v>
      </c>
      <c r="J521">
        <v>23250</v>
      </c>
      <c r="K521">
        <v>3095.35</v>
      </c>
      <c r="L521">
        <v>3249</v>
      </c>
      <c r="M521">
        <v>2675</v>
      </c>
      <c r="N521">
        <v>2695.35</v>
      </c>
      <c r="O521">
        <v>2915.15</v>
      </c>
      <c r="P521" s="9">
        <v>46147.644444444442</v>
      </c>
    </row>
    <row r="522" spans="1:16" hidden="1" x14ac:dyDescent="0.25">
      <c r="A522" t="s">
        <v>8</v>
      </c>
      <c r="B522" s="4">
        <v>46168</v>
      </c>
      <c r="C522" t="s">
        <v>560</v>
      </c>
      <c r="D522">
        <v>57700</v>
      </c>
      <c r="E522" t="s">
        <v>40</v>
      </c>
      <c r="F522">
        <v>163</v>
      </c>
      <c r="G522">
        <v>103530</v>
      </c>
      <c r="H522">
        <v>64710</v>
      </c>
      <c r="I522">
        <v>65670</v>
      </c>
      <c r="J522">
        <v>47610</v>
      </c>
      <c r="K522">
        <v>210</v>
      </c>
      <c r="L522">
        <v>210</v>
      </c>
      <c r="M522">
        <v>150</v>
      </c>
      <c r="N522">
        <v>243.3</v>
      </c>
      <c r="O522">
        <v>163</v>
      </c>
      <c r="P522" s="9">
        <v>46147.645636574074</v>
      </c>
    </row>
    <row r="523" spans="1:16" hidden="1" x14ac:dyDescent="0.25">
      <c r="A523" t="s">
        <v>8</v>
      </c>
      <c r="B523" s="4">
        <v>46168</v>
      </c>
      <c r="C523" t="s">
        <v>561</v>
      </c>
      <c r="D523">
        <v>57700</v>
      </c>
      <c r="E523" t="s">
        <v>42</v>
      </c>
      <c r="F523">
        <v>3080</v>
      </c>
      <c r="G523">
        <v>870</v>
      </c>
      <c r="H523">
        <v>5970</v>
      </c>
      <c r="I523">
        <v>6360</v>
      </c>
      <c r="J523">
        <v>5970</v>
      </c>
      <c r="K523">
        <v>3045</v>
      </c>
      <c r="L523">
        <v>3250</v>
      </c>
      <c r="M523">
        <v>2757.2</v>
      </c>
      <c r="N523">
        <v>3023</v>
      </c>
      <c r="O523">
        <v>3004.85</v>
      </c>
      <c r="P523" s="9">
        <v>46147.62908564815</v>
      </c>
    </row>
    <row r="524" spans="1:16" hidden="1" x14ac:dyDescent="0.25">
      <c r="A524" t="s">
        <v>8</v>
      </c>
      <c r="B524" s="4">
        <v>46168</v>
      </c>
      <c r="C524" t="s">
        <v>562</v>
      </c>
      <c r="D524">
        <v>57800</v>
      </c>
      <c r="E524" t="s">
        <v>40</v>
      </c>
      <c r="F524">
        <v>152.94999999999999</v>
      </c>
      <c r="G524">
        <v>180990</v>
      </c>
      <c r="H524">
        <v>84720</v>
      </c>
      <c r="I524">
        <v>87330</v>
      </c>
      <c r="J524">
        <v>48330</v>
      </c>
      <c r="K524">
        <v>166.15</v>
      </c>
      <c r="L524">
        <v>206.05</v>
      </c>
      <c r="M524">
        <v>140.15</v>
      </c>
      <c r="N524">
        <v>226.1</v>
      </c>
      <c r="O524">
        <v>151.35</v>
      </c>
      <c r="P524" s="9">
        <v>46147.645694444444</v>
      </c>
    </row>
    <row r="525" spans="1:16" hidden="1" x14ac:dyDescent="0.25">
      <c r="A525" t="s">
        <v>8</v>
      </c>
      <c r="B525" s="4">
        <v>46168</v>
      </c>
      <c r="C525" t="s">
        <v>563</v>
      </c>
      <c r="D525">
        <v>57800</v>
      </c>
      <c r="E525" t="s">
        <v>42</v>
      </c>
      <c r="F525">
        <v>3149.45</v>
      </c>
      <c r="G525">
        <v>480</v>
      </c>
      <c r="H525">
        <v>7410</v>
      </c>
      <c r="I525">
        <v>7500</v>
      </c>
      <c r="J525">
        <v>7410</v>
      </c>
      <c r="K525">
        <v>3150</v>
      </c>
      <c r="L525">
        <v>3150</v>
      </c>
      <c r="M525">
        <v>3072.15</v>
      </c>
      <c r="N525">
        <v>2700</v>
      </c>
      <c r="O525">
        <v>3092.15</v>
      </c>
      <c r="P525" s="9">
        <v>46147.643900462965</v>
      </c>
    </row>
    <row r="526" spans="1:16" hidden="1" x14ac:dyDescent="0.25">
      <c r="A526" t="s">
        <v>8</v>
      </c>
      <c r="B526" s="4">
        <v>46168</v>
      </c>
      <c r="C526" t="s">
        <v>564</v>
      </c>
      <c r="D526">
        <v>57900</v>
      </c>
      <c r="E526" t="s">
        <v>40</v>
      </c>
      <c r="F526">
        <v>143.44999999999999</v>
      </c>
      <c r="G526">
        <v>90480</v>
      </c>
      <c r="H526">
        <v>68730</v>
      </c>
      <c r="I526">
        <v>69270</v>
      </c>
      <c r="J526">
        <v>52260</v>
      </c>
      <c r="K526">
        <v>172.8</v>
      </c>
      <c r="L526">
        <v>195.75</v>
      </c>
      <c r="M526">
        <v>129.65</v>
      </c>
      <c r="N526">
        <v>210.55</v>
      </c>
      <c r="O526">
        <v>141.15</v>
      </c>
      <c r="P526" s="9">
        <v>46147.645787037036</v>
      </c>
    </row>
    <row r="527" spans="1:16" hidden="1" x14ac:dyDescent="0.25">
      <c r="A527" t="s">
        <v>8</v>
      </c>
      <c r="B527" s="4">
        <v>46168</v>
      </c>
      <c r="C527" t="s">
        <v>565</v>
      </c>
      <c r="D527">
        <v>57900</v>
      </c>
      <c r="E527" t="s">
        <v>42</v>
      </c>
      <c r="F527">
        <v>2860.35</v>
      </c>
      <c r="G527">
        <v>0</v>
      </c>
      <c r="H527">
        <v>3150</v>
      </c>
      <c r="I527">
        <v>3150</v>
      </c>
      <c r="J527">
        <v>3150</v>
      </c>
      <c r="K527">
        <v>0</v>
      </c>
      <c r="L527">
        <v>0</v>
      </c>
      <c r="M527">
        <v>0</v>
      </c>
      <c r="N527">
        <v>2860.35</v>
      </c>
      <c r="O527">
        <v>3134.9</v>
      </c>
      <c r="P527" s="9">
        <v>46146.633611111109</v>
      </c>
    </row>
    <row r="528" spans="1:16" hidden="1" x14ac:dyDescent="0.25">
      <c r="A528" t="s">
        <v>8</v>
      </c>
      <c r="B528" s="4">
        <v>46168</v>
      </c>
      <c r="C528" t="s">
        <v>566</v>
      </c>
      <c r="D528">
        <v>58000</v>
      </c>
      <c r="E528" t="s">
        <v>40</v>
      </c>
      <c r="F528">
        <v>132</v>
      </c>
      <c r="G528">
        <v>1468650</v>
      </c>
      <c r="H528">
        <v>950790</v>
      </c>
      <c r="I528">
        <v>961140</v>
      </c>
      <c r="J528">
        <v>872910</v>
      </c>
      <c r="K528">
        <v>174.95</v>
      </c>
      <c r="L528">
        <v>174.95</v>
      </c>
      <c r="M528">
        <v>122.55</v>
      </c>
      <c r="N528">
        <v>196.75</v>
      </c>
      <c r="O528">
        <v>133</v>
      </c>
      <c r="P528" s="9">
        <v>46147.645821759259</v>
      </c>
    </row>
    <row r="529" spans="1:16" hidden="1" x14ac:dyDescent="0.25">
      <c r="A529" t="s">
        <v>8</v>
      </c>
      <c r="B529" s="4">
        <v>46168</v>
      </c>
      <c r="C529" t="s">
        <v>567</v>
      </c>
      <c r="D529">
        <v>58000</v>
      </c>
      <c r="E529" t="s">
        <v>42</v>
      </c>
      <c r="F529">
        <v>3271</v>
      </c>
      <c r="G529">
        <v>14010</v>
      </c>
      <c r="H529">
        <v>267690</v>
      </c>
      <c r="I529">
        <v>270180</v>
      </c>
      <c r="J529">
        <v>267450</v>
      </c>
      <c r="K529">
        <v>3343.3</v>
      </c>
      <c r="L529">
        <v>3653.7</v>
      </c>
      <c r="M529">
        <v>3065.15</v>
      </c>
      <c r="N529">
        <v>2986.95</v>
      </c>
      <c r="O529">
        <v>3296.3</v>
      </c>
      <c r="P529" s="9">
        <v>46147.636967592596</v>
      </c>
    </row>
    <row r="530" spans="1:16" hidden="1" x14ac:dyDescent="0.25">
      <c r="A530" t="s">
        <v>8</v>
      </c>
      <c r="B530" s="4">
        <v>46168</v>
      </c>
      <c r="C530" t="s">
        <v>568</v>
      </c>
      <c r="D530">
        <v>58100</v>
      </c>
      <c r="E530" t="s">
        <v>40</v>
      </c>
      <c r="F530">
        <v>124.6</v>
      </c>
      <c r="G530">
        <v>59130</v>
      </c>
      <c r="H530">
        <v>46590</v>
      </c>
      <c r="I530">
        <v>46590</v>
      </c>
      <c r="J530">
        <v>43140</v>
      </c>
      <c r="K530">
        <v>173.6</v>
      </c>
      <c r="L530">
        <v>173.6</v>
      </c>
      <c r="M530">
        <v>114.75</v>
      </c>
      <c r="N530">
        <v>184.6</v>
      </c>
      <c r="O530">
        <v>122.4</v>
      </c>
      <c r="P530" s="9">
        <v>46147.645740740743</v>
      </c>
    </row>
    <row r="531" spans="1:16" hidden="1" x14ac:dyDescent="0.25">
      <c r="A531" t="s">
        <v>8</v>
      </c>
      <c r="B531" s="4">
        <v>46168</v>
      </c>
      <c r="C531" t="s">
        <v>569</v>
      </c>
      <c r="D531">
        <v>58100</v>
      </c>
      <c r="E531" t="s">
        <v>42</v>
      </c>
      <c r="F531">
        <v>3697.9</v>
      </c>
      <c r="G531">
        <v>1710</v>
      </c>
      <c r="H531">
        <v>1740</v>
      </c>
      <c r="I531">
        <v>2910</v>
      </c>
      <c r="J531">
        <v>1740</v>
      </c>
      <c r="K531">
        <v>3400</v>
      </c>
      <c r="L531">
        <v>3699.75</v>
      </c>
      <c r="M531">
        <v>3400</v>
      </c>
      <c r="N531">
        <v>3000</v>
      </c>
      <c r="O531">
        <v>3321.45</v>
      </c>
      <c r="P531" s="9">
        <v>46147.490312499998</v>
      </c>
    </row>
    <row r="532" spans="1:16" hidden="1" x14ac:dyDescent="0.25">
      <c r="A532" t="s">
        <v>8</v>
      </c>
      <c r="B532" s="4">
        <v>46168</v>
      </c>
      <c r="C532" t="s">
        <v>570</v>
      </c>
      <c r="D532">
        <v>58200</v>
      </c>
      <c r="E532" t="s">
        <v>40</v>
      </c>
      <c r="F532">
        <v>116.75</v>
      </c>
      <c r="G532">
        <v>64230</v>
      </c>
      <c r="H532">
        <v>46290</v>
      </c>
      <c r="I532">
        <v>46740</v>
      </c>
      <c r="J532">
        <v>38220</v>
      </c>
      <c r="K532">
        <v>171</v>
      </c>
      <c r="L532">
        <v>171</v>
      </c>
      <c r="M532">
        <v>107</v>
      </c>
      <c r="N532">
        <v>173.4</v>
      </c>
      <c r="O532">
        <v>114.25</v>
      </c>
      <c r="P532" s="9">
        <v>46147.645810185182</v>
      </c>
    </row>
    <row r="533" spans="1:16" hidden="1" x14ac:dyDescent="0.25">
      <c r="A533" t="s">
        <v>8</v>
      </c>
      <c r="B533" s="4">
        <v>46168</v>
      </c>
      <c r="C533" t="s">
        <v>571</v>
      </c>
      <c r="D533">
        <v>58200</v>
      </c>
      <c r="E533" t="s">
        <v>42</v>
      </c>
      <c r="F533">
        <v>3647.1</v>
      </c>
      <c r="G533">
        <v>1950</v>
      </c>
      <c r="H533">
        <v>2760</v>
      </c>
      <c r="I533">
        <v>2850</v>
      </c>
      <c r="J533">
        <v>2760</v>
      </c>
      <c r="K533">
        <v>3629.55</v>
      </c>
      <c r="L533">
        <v>3697.5</v>
      </c>
      <c r="M533">
        <v>3567.8</v>
      </c>
      <c r="N533">
        <v>3646.95</v>
      </c>
      <c r="O533">
        <v>3412.55</v>
      </c>
      <c r="P533" s="9">
        <v>46147.472025462965</v>
      </c>
    </row>
    <row r="534" spans="1:16" hidden="1" x14ac:dyDescent="0.25">
      <c r="A534" t="s">
        <v>8</v>
      </c>
      <c r="B534" s="4">
        <v>46168</v>
      </c>
      <c r="C534" t="s">
        <v>572</v>
      </c>
      <c r="D534">
        <v>58300</v>
      </c>
      <c r="E534" t="s">
        <v>40</v>
      </c>
      <c r="F534">
        <v>108</v>
      </c>
      <c r="G534">
        <v>43590</v>
      </c>
      <c r="H534">
        <v>31560</v>
      </c>
      <c r="I534">
        <v>31980</v>
      </c>
      <c r="J534">
        <v>27060</v>
      </c>
      <c r="K534">
        <v>128</v>
      </c>
      <c r="L534">
        <v>140.05000000000001</v>
      </c>
      <c r="M534">
        <v>100</v>
      </c>
      <c r="N534">
        <v>160.94999999999999</v>
      </c>
      <c r="O534">
        <v>106.8</v>
      </c>
      <c r="P534" s="9">
        <v>46147.645567129628</v>
      </c>
    </row>
    <row r="535" spans="1:16" hidden="1" x14ac:dyDescent="0.25">
      <c r="A535" t="s">
        <v>8</v>
      </c>
      <c r="B535" s="4">
        <v>46168</v>
      </c>
      <c r="C535" t="s">
        <v>573</v>
      </c>
      <c r="D535">
        <v>58300</v>
      </c>
      <c r="E535" t="s">
        <v>42</v>
      </c>
      <c r="F535">
        <v>3545.05</v>
      </c>
      <c r="G535">
        <v>1860</v>
      </c>
      <c r="H535">
        <v>3660</v>
      </c>
      <c r="I535">
        <v>4050</v>
      </c>
      <c r="J535">
        <v>3660</v>
      </c>
      <c r="K535">
        <v>3555.3</v>
      </c>
      <c r="L535">
        <v>3793.85</v>
      </c>
      <c r="M535">
        <v>3449.85</v>
      </c>
      <c r="N535">
        <v>2239.9499999999998</v>
      </c>
      <c r="O535">
        <v>3543.1</v>
      </c>
      <c r="P535" s="9">
        <v>46147.635011574072</v>
      </c>
    </row>
    <row r="536" spans="1:16" hidden="1" x14ac:dyDescent="0.25">
      <c r="A536" t="s">
        <v>8</v>
      </c>
      <c r="B536" s="4">
        <v>46168</v>
      </c>
      <c r="C536" t="s">
        <v>574</v>
      </c>
      <c r="D536">
        <v>58400</v>
      </c>
      <c r="E536" t="s">
        <v>40</v>
      </c>
      <c r="F536">
        <v>99.7</v>
      </c>
      <c r="G536">
        <v>47400</v>
      </c>
      <c r="H536">
        <v>29850</v>
      </c>
      <c r="I536">
        <v>29970</v>
      </c>
      <c r="J536">
        <v>27840</v>
      </c>
      <c r="K536">
        <v>127.75</v>
      </c>
      <c r="L536">
        <v>131</v>
      </c>
      <c r="M536">
        <v>93.9</v>
      </c>
      <c r="N536">
        <v>149.75</v>
      </c>
      <c r="O536">
        <v>99.7</v>
      </c>
      <c r="P536" s="9">
        <v>46147.645752314813</v>
      </c>
    </row>
    <row r="537" spans="1:16" hidden="1" x14ac:dyDescent="0.25">
      <c r="A537" t="s">
        <v>8</v>
      </c>
      <c r="B537" s="4">
        <v>46168</v>
      </c>
      <c r="C537" t="s">
        <v>575</v>
      </c>
      <c r="D537">
        <v>58400</v>
      </c>
      <c r="E537" t="s">
        <v>42</v>
      </c>
      <c r="F537">
        <v>3784.65</v>
      </c>
      <c r="G537">
        <v>1320</v>
      </c>
      <c r="H537">
        <v>1710</v>
      </c>
      <c r="I537">
        <v>2850</v>
      </c>
      <c r="J537">
        <v>1710</v>
      </c>
      <c r="K537">
        <v>3625.95</v>
      </c>
      <c r="L537">
        <v>3784.65</v>
      </c>
      <c r="M537">
        <v>3625.95</v>
      </c>
      <c r="N537">
        <v>2848.3</v>
      </c>
      <c r="O537">
        <v>3627.25</v>
      </c>
      <c r="P537" s="9">
        <v>46147.434467592589</v>
      </c>
    </row>
    <row r="538" spans="1:16" hidden="1" x14ac:dyDescent="0.25">
      <c r="A538" t="s">
        <v>8</v>
      </c>
      <c r="B538" s="4">
        <v>46168</v>
      </c>
      <c r="C538" t="s">
        <v>576</v>
      </c>
      <c r="D538">
        <v>58500</v>
      </c>
      <c r="E538" t="s">
        <v>40</v>
      </c>
      <c r="F538">
        <v>93.6</v>
      </c>
      <c r="G538">
        <v>587100</v>
      </c>
      <c r="H538">
        <v>338700</v>
      </c>
      <c r="I538">
        <v>369390</v>
      </c>
      <c r="J538">
        <v>333450</v>
      </c>
      <c r="K538">
        <v>124.95</v>
      </c>
      <c r="L538">
        <v>124.95</v>
      </c>
      <c r="M538">
        <v>87.8</v>
      </c>
      <c r="N538">
        <v>138.19999999999999</v>
      </c>
      <c r="O538">
        <v>93.2</v>
      </c>
      <c r="P538" s="9">
        <v>46147.645798611113</v>
      </c>
    </row>
    <row r="539" spans="1:16" hidden="1" x14ac:dyDescent="0.25">
      <c r="A539" t="s">
        <v>8</v>
      </c>
      <c r="B539" s="4">
        <v>46168</v>
      </c>
      <c r="C539" t="s">
        <v>577</v>
      </c>
      <c r="D539">
        <v>58500</v>
      </c>
      <c r="E539" t="s">
        <v>42</v>
      </c>
      <c r="F539">
        <v>4045.35</v>
      </c>
      <c r="G539">
        <v>1980</v>
      </c>
      <c r="H539">
        <v>62310</v>
      </c>
      <c r="I539">
        <v>63060</v>
      </c>
      <c r="J539">
        <v>62310</v>
      </c>
      <c r="K539">
        <v>3759.55</v>
      </c>
      <c r="L539">
        <v>4051.2</v>
      </c>
      <c r="M539">
        <v>3730.35</v>
      </c>
      <c r="N539">
        <v>3396.1</v>
      </c>
      <c r="O539">
        <v>3717.7</v>
      </c>
      <c r="P539" s="9">
        <v>46147.495694444442</v>
      </c>
    </row>
    <row r="540" spans="1:16" hidden="1" x14ac:dyDescent="0.25">
      <c r="A540" t="s">
        <v>8</v>
      </c>
      <c r="B540" s="4">
        <v>46168</v>
      </c>
      <c r="C540" t="s">
        <v>578</v>
      </c>
      <c r="D540">
        <v>58600</v>
      </c>
      <c r="E540" t="s">
        <v>40</v>
      </c>
      <c r="F540">
        <v>88.5</v>
      </c>
      <c r="G540">
        <v>90390</v>
      </c>
      <c r="H540">
        <v>41460</v>
      </c>
      <c r="I540">
        <v>46410</v>
      </c>
      <c r="J540">
        <v>27960</v>
      </c>
      <c r="K540">
        <v>111.25</v>
      </c>
      <c r="L540">
        <v>114.1</v>
      </c>
      <c r="M540">
        <v>80.5</v>
      </c>
      <c r="N540">
        <v>131.1</v>
      </c>
      <c r="O540">
        <v>87</v>
      </c>
      <c r="P540" s="9">
        <v>46147.645497685182</v>
      </c>
    </row>
    <row r="541" spans="1:16" hidden="1" x14ac:dyDescent="0.25">
      <c r="A541" t="s">
        <v>8</v>
      </c>
      <c r="B541" s="4">
        <v>46168</v>
      </c>
      <c r="C541" t="s">
        <v>579</v>
      </c>
      <c r="D541">
        <v>58600</v>
      </c>
      <c r="E541" t="s">
        <v>42</v>
      </c>
      <c r="F541">
        <v>3866.85</v>
      </c>
      <c r="G541">
        <v>0</v>
      </c>
      <c r="H541">
        <v>420</v>
      </c>
      <c r="I541">
        <v>420</v>
      </c>
      <c r="J541">
        <v>420</v>
      </c>
      <c r="K541">
        <v>0</v>
      </c>
      <c r="L541">
        <v>0</v>
      </c>
      <c r="M541">
        <v>0</v>
      </c>
      <c r="N541">
        <v>3866.85</v>
      </c>
      <c r="O541">
        <v>3484.15</v>
      </c>
      <c r="P541" s="9">
        <v>46142.400868055556</v>
      </c>
    </row>
    <row r="542" spans="1:16" hidden="1" x14ac:dyDescent="0.25">
      <c r="A542" t="s">
        <v>8</v>
      </c>
      <c r="B542" s="4">
        <v>46168</v>
      </c>
      <c r="C542" t="s">
        <v>580</v>
      </c>
      <c r="D542">
        <v>58700</v>
      </c>
      <c r="E542" t="s">
        <v>40</v>
      </c>
      <c r="F542">
        <v>82</v>
      </c>
      <c r="G542">
        <v>57000</v>
      </c>
      <c r="H542">
        <v>34440</v>
      </c>
      <c r="I542">
        <v>34440</v>
      </c>
      <c r="J542">
        <v>28290</v>
      </c>
      <c r="K542">
        <v>110</v>
      </c>
      <c r="L542">
        <v>110</v>
      </c>
      <c r="M542">
        <v>77.5</v>
      </c>
      <c r="N542">
        <v>120.35</v>
      </c>
      <c r="O542">
        <v>81.349999999999994</v>
      </c>
      <c r="P542" s="9">
        <v>46147.645752314813</v>
      </c>
    </row>
    <row r="543" spans="1:16" hidden="1" x14ac:dyDescent="0.25">
      <c r="A543" t="s">
        <v>8</v>
      </c>
      <c r="B543" s="4">
        <v>46168</v>
      </c>
      <c r="C543" t="s">
        <v>581</v>
      </c>
      <c r="D543">
        <v>58700</v>
      </c>
      <c r="E543" t="s">
        <v>42</v>
      </c>
      <c r="F543">
        <v>3970.85</v>
      </c>
      <c r="G543">
        <v>0</v>
      </c>
      <c r="H543">
        <v>450</v>
      </c>
      <c r="I543">
        <v>450</v>
      </c>
      <c r="J543">
        <v>450</v>
      </c>
      <c r="K543">
        <v>0</v>
      </c>
      <c r="L543">
        <v>0</v>
      </c>
      <c r="M543">
        <v>0</v>
      </c>
      <c r="N543">
        <v>3970.85</v>
      </c>
      <c r="O543">
        <v>3821.9</v>
      </c>
      <c r="P543" s="9">
        <v>46142.400879629633</v>
      </c>
    </row>
    <row r="544" spans="1:16" hidden="1" x14ac:dyDescent="0.25">
      <c r="A544" t="s">
        <v>8</v>
      </c>
      <c r="B544" s="4">
        <v>46168</v>
      </c>
      <c r="C544" t="s">
        <v>582</v>
      </c>
      <c r="D544">
        <v>58800</v>
      </c>
      <c r="E544" t="s">
        <v>40</v>
      </c>
      <c r="F544">
        <v>76.099999999999994</v>
      </c>
      <c r="G544">
        <v>36030</v>
      </c>
      <c r="H544">
        <v>42630</v>
      </c>
      <c r="I544">
        <v>42930</v>
      </c>
      <c r="J544">
        <v>36390</v>
      </c>
      <c r="K544">
        <v>100</v>
      </c>
      <c r="L544">
        <v>100</v>
      </c>
      <c r="M544">
        <v>72.95</v>
      </c>
      <c r="N544">
        <v>113.75</v>
      </c>
      <c r="O544">
        <v>76.05</v>
      </c>
      <c r="P544" s="9">
        <v>46147.64565972222</v>
      </c>
    </row>
    <row r="545" spans="1:16" hidden="1" x14ac:dyDescent="0.25">
      <c r="A545" t="s">
        <v>8</v>
      </c>
      <c r="B545" s="4">
        <v>46168</v>
      </c>
      <c r="C545" t="s">
        <v>583</v>
      </c>
      <c r="D545">
        <v>58800</v>
      </c>
      <c r="E545" t="s">
        <v>42</v>
      </c>
      <c r="F545">
        <v>4027.15</v>
      </c>
      <c r="G545">
        <v>0</v>
      </c>
      <c r="H545">
        <v>120</v>
      </c>
      <c r="I545">
        <v>120</v>
      </c>
      <c r="J545">
        <v>120</v>
      </c>
      <c r="K545">
        <v>0</v>
      </c>
      <c r="L545">
        <v>0</v>
      </c>
      <c r="M545">
        <v>0</v>
      </c>
      <c r="N545">
        <v>4027.15</v>
      </c>
      <c r="O545">
        <v>3893.95</v>
      </c>
      <c r="P545" s="9">
        <v>46142.39744212963</v>
      </c>
    </row>
    <row r="546" spans="1:16" hidden="1" x14ac:dyDescent="0.25">
      <c r="A546" t="s">
        <v>8</v>
      </c>
      <c r="B546" s="4">
        <v>46168</v>
      </c>
      <c r="C546" t="s">
        <v>584</v>
      </c>
      <c r="D546">
        <v>58900</v>
      </c>
      <c r="E546" t="s">
        <v>40</v>
      </c>
      <c r="F546">
        <v>71.2</v>
      </c>
      <c r="G546">
        <v>57240</v>
      </c>
      <c r="H546">
        <v>37290</v>
      </c>
      <c r="I546">
        <v>37290</v>
      </c>
      <c r="J546">
        <v>24300</v>
      </c>
      <c r="K546">
        <v>91.6</v>
      </c>
      <c r="L546">
        <v>91.65</v>
      </c>
      <c r="M546">
        <v>68.95</v>
      </c>
      <c r="N546">
        <v>106.45</v>
      </c>
      <c r="O546">
        <v>71.2</v>
      </c>
      <c r="P546" s="9">
        <v>46147.645648148151</v>
      </c>
    </row>
    <row r="547" spans="1:16" hidden="1" x14ac:dyDescent="0.25">
      <c r="A547" t="s">
        <v>8</v>
      </c>
      <c r="B547" s="4">
        <v>46168</v>
      </c>
      <c r="C547" t="s">
        <v>585</v>
      </c>
      <c r="D547">
        <v>58900</v>
      </c>
      <c r="E547" t="s">
        <v>42</v>
      </c>
      <c r="F547">
        <v>3573.9</v>
      </c>
      <c r="G547">
        <v>0</v>
      </c>
      <c r="H547">
        <v>60</v>
      </c>
      <c r="I547">
        <v>60</v>
      </c>
      <c r="J547">
        <v>60</v>
      </c>
      <c r="K547">
        <v>0</v>
      </c>
      <c r="L547">
        <v>0</v>
      </c>
      <c r="M547">
        <v>0</v>
      </c>
      <c r="N547">
        <v>3573.9</v>
      </c>
      <c r="O547">
        <v>3973.2</v>
      </c>
      <c r="P547" s="9">
        <v>46146.528773148151</v>
      </c>
    </row>
    <row r="548" spans="1:16" hidden="1" x14ac:dyDescent="0.25">
      <c r="A548" t="s">
        <v>8</v>
      </c>
      <c r="B548" s="4">
        <v>46168</v>
      </c>
      <c r="C548" t="s">
        <v>586</v>
      </c>
      <c r="D548">
        <v>59000</v>
      </c>
      <c r="E548" t="s">
        <v>40</v>
      </c>
      <c r="F548">
        <v>66.150000000000006</v>
      </c>
      <c r="G548">
        <v>927300</v>
      </c>
      <c r="H548">
        <v>616320</v>
      </c>
      <c r="I548">
        <v>621330</v>
      </c>
      <c r="J548">
        <v>595320</v>
      </c>
      <c r="K548">
        <v>95.95</v>
      </c>
      <c r="L548">
        <v>95.95</v>
      </c>
      <c r="M548">
        <v>64.150000000000006</v>
      </c>
      <c r="N548">
        <v>98.8</v>
      </c>
      <c r="O548">
        <v>66.150000000000006</v>
      </c>
      <c r="P548" s="9">
        <v>46147.645821759259</v>
      </c>
    </row>
    <row r="549" spans="1:16" hidden="1" x14ac:dyDescent="0.25">
      <c r="A549" t="s">
        <v>8</v>
      </c>
      <c r="B549" s="4">
        <v>46168</v>
      </c>
      <c r="C549" t="s">
        <v>587</v>
      </c>
      <c r="D549">
        <v>59000</v>
      </c>
      <c r="E549" t="s">
        <v>42</v>
      </c>
      <c r="F549">
        <v>4230</v>
      </c>
      <c r="G549">
        <v>2880</v>
      </c>
      <c r="H549">
        <v>133050</v>
      </c>
      <c r="I549">
        <v>133470</v>
      </c>
      <c r="J549">
        <v>132990</v>
      </c>
      <c r="K549">
        <v>4166.8</v>
      </c>
      <c r="L549">
        <v>4561.05</v>
      </c>
      <c r="M549">
        <v>3903.85</v>
      </c>
      <c r="N549">
        <v>3872.8</v>
      </c>
      <c r="O549">
        <v>4212.45</v>
      </c>
      <c r="P549" s="9">
        <v>46147.641898148147</v>
      </c>
    </row>
    <row r="550" spans="1:16" hidden="1" x14ac:dyDescent="0.25">
      <c r="A550" t="s">
        <v>8</v>
      </c>
      <c r="B550" s="4">
        <v>46168</v>
      </c>
      <c r="C550" t="s">
        <v>588</v>
      </c>
      <c r="D550">
        <v>59100</v>
      </c>
      <c r="E550" t="s">
        <v>40</v>
      </c>
      <c r="F550">
        <v>63.1</v>
      </c>
      <c r="G550">
        <v>41700</v>
      </c>
      <c r="H550">
        <v>28590</v>
      </c>
      <c r="I550">
        <v>30270</v>
      </c>
      <c r="J550">
        <v>19320</v>
      </c>
      <c r="K550">
        <v>90.05</v>
      </c>
      <c r="L550">
        <v>90.05</v>
      </c>
      <c r="M550">
        <v>60.7</v>
      </c>
      <c r="N550">
        <v>92.25</v>
      </c>
      <c r="O550">
        <v>61.45</v>
      </c>
      <c r="P550" s="9">
        <v>46147.645682870374</v>
      </c>
    </row>
    <row r="551" spans="1:16" hidden="1" x14ac:dyDescent="0.25">
      <c r="A551" t="s">
        <v>8</v>
      </c>
      <c r="B551" s="4">
        <v>46168</v>
      </c>
      <c r="C551" t="s">
        <v>589</v>
      </c>
      <c r="D551">
        <v>59100</v>
      </c>
      <c r="E551" t="s">
        <v>42</v>
      </c>
      <c r="F551">
        <v>3746.65</v>
      </c>
      <c r="G551">
        <v>0</v>
      </c>
      <c r="H551">
        <v>390</v>
      </c>
      <c r="I551">
        <v>390</v>
      </c>
      <c r="J551">
        <v>390</v>
      </c>
      <c r="K551">
        <v>0</v>
      </c>
      <c r="L551">
        <v>0</v>
      </c>
      <c r="M551">
        <v>0</v>
      </c>
      <c r="N551">
        <v>3746.65</v>
      </c>
      <c r="O551">
        <v>4175.3500000000004</v>
      </c>
      <c r="P551" s="9">
        <v>46146.508946759262</v>
      </c>
    </row>
    <row r="552" spans="1:16" hidden="1" x14ac:dyDescent="0.25">
      <c r="A552" t="s">
        <v>8</v>
      </c>
      <c r="B552" s="4">
        <v>46168</v>
      </c>
      <c r="C552" t="s">
        <v>590</v>
      </c>
      <c r="D552">
        <v>59200</v>
      </c>
      <c r="E552" t="s">
        <v>40</v>
      </c>
      <c r="F552">
        <v>59.35</v>
      </c>
      <c r="G552">
        <v>112920</v>
      </c>
      <c r="H552">
        <v>40290</v>
      </c>
      <c r="I552">
        <v>49500</v>
      </c>
      <c r="J552">
        <v>34200</v>
      </c>
      <c r="K552">
        <v>60.05</v>
      </c>
      <c r="L552">
        <v>73.25</v>
      </c>
      <c r="M552">
        <v>56.85</v>
      </c>
      <c r="N552">
        <v>86.4</v>
      </c>
      <c r="O552">
        <v>58.2</v>
      </c>
      <c r="P552" s="9">
        <v>46147.64576388889</v>
      </c>
    </row>
    <row r="553" spans="1:16" hidden="1" x14ac:dyDescent="0.25">
      <c r="A553" t="s">
        <v>8</v>
      </c>
      <c r="B553" s="4">
        <v>46168</v>
      </c>
      <c r="C553" t="s">
        <v>591</v>
      </c>
      <c r="D553">
        <v>59200</v>
      </c>
      <c r="E553" t="s">
        <v>42</v>
      </c>
      <c r="F553">
        <v>3723.05</v>
      </c>
      <c r="G553">
        <v>0</v>
      </c>
      <c r="H553">
        <v>1260</v>
      </c>
      <c r="I553">
        <v>1260</v>
      </c>
      <c r="J553">
        <v>1260</v>
      </c>
      <c r="K553">
        <v>0</v>
      </c>
      <c r="L553">
        <v>0</v>
      </c>
      <c r="M553">
        <v>0</v>
      </c>
      <c r="N553">
        <v>3723.05</v>
      </c>
      <c r="O553">
        <v>4328.45</v>
      </c>
      <c r="P553" s="9">
        <v>46146.458622685182</v>
      </c>
    </row>
    <row r="554" spans="1:16" hidden="1" x14ac:dyDescent="0.25">
      <c r="A554" t="s">
        <v>8</v>
      </c>
      <c r="B554" s="4">
        <v>46168</v>
      </c>
      <c r="C554" t="s">
        <v>592</v>
      </c>
      <c r="D554">
        <v>59300</v>
      </c>
      <c r="E554" t="s">
        <v>40</v>
      </c>
      <c r="F554">
        <v>55.8</v>
      </c>
      <c r="G554">
        <v>33480</v>
      </c>
      <c r="H554">
        <v>24750</v>
      </c>
      <c r="I554">
        <v>25860</v>
      </c>
      <c r="J554">
        <v>20910</v>
      </c>
      <c r="K554">
        <v>69.849999999999994</v>
      </c>
      <c r="L554">
        <v>69.849999999999994</v>
      </c>
      <c r="M554">
        <v>53.45</v>
      </c>
      <c r="N554">
        <v>81.05</v>
      </c>
      <c r="O554">
        <v>54.1</v>
      </c>
      <c r="P554" s="9">
        <v>46147.645648148151</v>
      </c>
    </row>
    <row r="555" spans="1:16" hidden="1" x14ac:dyDescent="0.25">
      <c r="A555" t="s">
        <v>8</v>
      </c>
      <c r="B555" s="4">
        <v>46168</v>
      </c>
      <c r="C555" t="s">
        <v>593</v>
      </c>
      <c r="D555">
        <v>59300</v>
      </c>
      <c r="E555" t="s">
        <v>42</v>
      </c>
      <c r="F555">
        <v>3164.65</v>
      </c>
      <c r="G555">
        <v>0</v>
      </c>
      <c r="H555">
        <v>1080</v>
      </c>
      <c r="I555">
        <v>1080</v>
      </c>
      <c r="J555">
        <v>1080</v>
      </c>
      <c r="K555">
        <v>0</v>
      </c>
      <c r="L555">
        <v>0</v>
      </c>
      <c r="M555">
        <v>0</v>
      </c>
      <c r="N555">
        <v>3164.65</v>
      </c>
      <c r="O555">
        <v>4131.1499999999996</v>
      </c>
      <c r="P555" s="9">
        <v>46140.463460648149</v>
      </c>
    </row>
    <row r="556" spans="1:16" hidden="1" x14ac:dyDescent="0.25">
      <c r="A556" t="s">
        <v>8</v>
      </c>
      <c r="B556" s="4">
        <v>46168</v>
      </c>
      <c r="C556" t="s">
        <v>594</v>
      </c>
      <c r="D556">
        <v>59400</v>
      </c>
      <c r="E556" t="s">
        <v>40</v>
      </c>
      <c r="F556">
        <v>50.65</v>
      </c>
      <c r="G556">
        <v>49890</v>
      </c>
      <c r="H556">
        <v>39630</v>
      </c>
      <c r="I556">
        <v>41220</v>
      </c>
      <c r="J556">
        <v>35400</v>
      </c>
      <c r="K556">
        <v>62.05</v>
      </c>
      <c r="L556">
        <v>64.349999999999994</v>
      </c>
      <c r="M556">
        <v>50.05</v>
      </c>
      <c r="N556">
        <v>76</v>
      </c>
      <c r="O556">
        <v>50.6</v>
      </c>
      <c r="P556" s="9">
        <v>46147.645682870374</v>
      </c>
    </row>
    <row r="557" spans="1:16" hidden="1" x14ac:dyDescent="0.25">
      <c r="A557" t="s">
        <v>8</v>
      </c>
      <c r="B557" s="4">
        <v>46168</v>
      </c>
      <c r="C557" t="s">
        <v>595</v>
      </c>
      <c r="D557">
        <v>59400</v>
      </c>
      <c r="E557" t="s">
        <v>42</v>
      </c>
      <c r="F557">
        <v>4259.75</v>
      </c>
      <c r="G557">
        <v>0</v>
      </c>
      <c r="H557">
        <v>330</v>
      </c>
      <c r="I557">
        <v>330</v>
      </c>
      <c r="J557">
        <v>330</v>
      </c>
      <c r="K557">
        <v>0</v>
      </c>
      <c r="L557">
        <v>0</v>
      </c>
      <c r="M557">
        <v>0</v>
      </c>
      <c r="N557">
        <v>4259.75</v>
      </c>
      <c r="O557">
        <v>4479.8500000000004</v>
      </c>
      <c r="P557" s="9">
        <v>46146.630324074074</v>
      </c>
    </row>
    <row r="558" spans="1:16" hidden="1" x14ac:dyDescent="0.25">
      <c r="A558" t="s">
        <v>8</v>
      </c>
      <c r="B558" s="4">
        <v>46168</v>
      </c>
      <c r="C558" t="s">
        <v>596</v>
      </c>
      <c r="D558">
        <v>59500</v>
      </c>
      <c r="E558" t="s">
        <v>40</v>
      </c>
      <c r="F558">
        <v>48.45</v>
      </c>
      <c r="G558">
        <v>522570</v>
      </c>
      <c r="H558">
        <v>222960</v>
      </c>
      <c r="I558">
        <v>230430</v>
      </c>
      <c r="J558">
        <v>207360</v>
      </c>
      <c r="K558">
        <v>59.95</v>
      </c>
      <c r="L558">
        <v>61.3</v>
      </c>
      <c r="M558">
        <v>46.95</v>
      </c>
      <c r="N558">
        <v>70.55</v>
      </c>
      <c r="O558">
        <v>47.95</v>
      </c>
      <c r="P558" s="9">
        <v>46147.645752314813</v>
      </c>
    </row>
    <row r="559" spans="1:16" hidden="1" x14ac:dyDescent="0.25">
      <c r="A559" t="s">
        <v>8</v>
      </c>
      <c r="B559" s="4">
        <v>46168</v>
      </c>
      <c r="C559" t="s">
        <v>597</v>
      </c>
      <c r="D559">
        <v>59500</v>
      </c>
      <c r="E559" t="s">
        <v>42</v>
      </c>
      <c r="F559">
        <v>5037</v>
      </c>
      <c r="G559">
        <v>270</v>
      </c>
      <c r="H559">
        <v>14430</v>
      </c>
      <c r="I559">
        <v>14430</v>
      </c>
      <c r="J559">
        <v>14430</v>
      </c>
      <c r="K559">
        <v>4786</v>
      </c>
      <c r="L559">
        <v>5037</v>
      </c>
      <c r="M559">
        <v>4786</v>
      </c>
      <c r="N559">
        <v>4380</v>
      </c>
      <c r="O559">
        <v>4661.1000000000004</v>
      </c>
      <c r="P559" s="9">
        <v>46147.502349537041</v>
      </c>
    </row>
    <row r="560" spans="1:16" hidden="1" x14ac:dyDescent="0.25">
      <c r="A560" t="s">
        <v>8</v>
      </c>
      <c r="B560" s="4">
        <v>46168</v>
      </c>
      <c r="C560" t="s">
        <v>598</v>
      </c>
      <c r="D560">
        <v>59600</v>
      </c>
      <c r="E560" t="s">
        <v>40</v>
      </c>
      <c r="F560">
        <v>44.2</v>
      </c>
      <c r="G560">
        <v>42000</v>
      </c>
      <c r="H560">
        <v>44640</v>
      </c>
      <c r="I560">
        <v>51900</v>
      </c>
      <c r="J560">
        <v>44310</v>
      </c>
      <c r="K560">
        <v>54.55</v>
      </c>
      <c r="L560">
        <v>57.35</v>
      </c>
      <c r="M560">
        <v>44.2</v>
      </c>
      <c r="N560">
        <v>66.2</v>
      </c>
      <c r="O560">
        <v>44.2</v>
      </c>
      <c r="P560" s="9">
        <v>46147.645486111112</v>
      </c>
    </row>
    <row r="561" spans="1:16" hidden="1" x14ac:dyDescent="0.25">
      <c r="A561" t="s">
        <v>8</v>
      </c>
      <c r="B561" s="4">
        <v>46168</v>
      </c>
      <c r="C561" t="s">
        <v>599</v>
      </c>
      <c r="D561">
        <v>59600</v>
      </c>
      <c r="E561" t="s">
        <v>42</v>
      </c>
      <c r="F561">
        <v>3627.55</v>
      </c>
      <c r="G561">
        <v>0</v>
      </c>
      <c r="H561">
        <v>780</v>
      </c>
      <c r="I561">
        <v>780</v>
      </c>
      <c r="J561">
        <v>780</v>
      </c>
      <c r="K561">
        <v>0</v>
      </c>
      <c r="L561">
        <v>0</v>
      </c>
      <c r="M561">
        <v>0</v>
      </c>
      <c r="N561">
        <v>3627.55</v>
      </c>
      <c r="O561">
        <v>4734.8</v>
      </c>
      <c r="P561" s="9">
        <v>46136.572013888886</v>
      </c>
    </row>
    <row r="562" spans="1:16" hidden="1" x14ac:dyDescent="0.25">
      <c r="A562" t="s">
        <v>8</v>
      </c>
      <c r="B562" s="4">
        <v>46168</v>
      </c>
      <c r="C562" t="s">
        <v>600</v>
      </c>
      <c r="D562">
        <v>59700</v>
      </c>
      <c r="E562" t="s">
        <v>40</v>
      </c>
      <c r="F562">
        <v>42.25</v>
      </c>
      <c r="G562">
        <v>26220</v>
      </c>
      <c r="H562">
        <v>20220</v>
      </c>
      <c r="I562">
        <v>23010</v>
      </c>
      <c r="J562">
        <v>19770</v>
      </c>
      <c r="K562">
        <v>50.6</v>
      </c>
      <c r="L562">
        <v>53.75</v>
      </c>
      <c r="M562">
        <v>41.2</v>
      </c>
      <c r="N562">
        <v>61.6</v>
      </c>
      <c r="O562">
        <v>41.6</v>
      </c>
      <c r="P562" s="9">
        <v>46147.644444444442</v>
      </c>
    </row>
    <row r="563" spans="1:16" hidden="1" x14ac:dyDescent="0.25">
      <c r="A563" t="s">
        <v>8</v>
      </c>
      <c r="B563" s="4">
        <v>46168</v>
      </c>
      <c r="C563" t="s">
        <v>601</v>
      </c>
      <c r="D563">
        <v>59700</v>
      </c>
      <c r="E563" t="s">
        <v>42</v>
      </c>
      <c r="F563">
        <v>3620</v>
      </c>
      <c r="G563">
        <v>0</v>
      </c>
      <c r="H563">
        <v>810</v>
      </c>
      <c r="I563">
        <v>810</v>
      </c>
      <c r="J563">
        <v>810</v>
      </c>
      <c r="K563">
        <v>0</v>
      </c>
      <c r="L563">
        <v>0</v>
      </c>
      <c r="M563">
        <v>0</v>
      </c>
      <c r="N563">
        <v>3620</v>
      </c>
      <c r="O563">
        <v>4756.5</v>
      </c>
      <c r="P563" s="9">
        <v>46141.443796296298</v>
      </c>
    </row>
    <row r="564" spans="1:16" hidden="1" x14ac:dyDescent="0.25">
      <c r="A564" t="s">
        <v>8</v>
      </c>
      <c r="B564" s="4">
        <v>46168</v>
      </c>
      <c r="C564" t="s">
        <v>602</v>
      </c>
      <c r="D564">
        <v>59800</v>
      </c>
      <c r="E564" t="s">
        <v>40</v>
      </c>
      <c r="F564">
        <v>39.25</v>
      </c>
      <c r="G564">
        <v>20460</v>
      </c>
      <c r="H564">
        <v>26520</v>
      </c>
      <c r="I564">
        <v>26610</v>
      </c>
      <c r="J564">
        <v>23640</v>
      </c>
      <c r="K564">
        <v>48.05</v>
      </c>
      <c r="L564">
        <v>51.65</v>
      </c>
      <c r="M564">
        <v>36.799999999999997</v>
      </c>
      <c r="N564">
        <v>56.8</v>
      </c>
      <c r="O564">
        <v>39.15</v>
      </c>
      <c r="P564" s="9">
        <v>46147.644942129627</v>
      </c>
    </row>
    <row r="565" spans="1:16" hidden="1" x14ac:dyDescent="0.25">
      <c r="A565" t="s">
        <v>8</v>
      </c>
      <c r="B565" s="4">
        <v>46168</v>
      </c>
      <c r="C565" t="s">
        <v>603</v>
      </c>
      <c r="D565">
        <v>59800</v>
      </c>
      <c r="E565" t="s">
        <v>42</v>
      </c>
      <c r="F565">
        <v>3280</v>
      </c>
      <c r="G565">
        <v>0</v>
      </c>
      <c r="H565">
        <v>1050</v>
      </c>
      <c r="I565">
        <v>1050</v>
      </c>
      <c r="J565">
        <v>1050</v>
      </c>
      <c r="K565">
        <v>0</v>
      </c>
      <c r="L565">
        <v>0</v>
      </c>
      <c r="M565">
        <v>0</v>
      </c>
      <c r="N565">
        <v>3280</v>
      </c>
      <c r="O565">
        <v>4850.3999999999996</v>
      </c>
      <c r="P565" s="9">
        <v>46139.602708333332</v>
      </c>
    </row>
    <row r="566" spans="1:16" hidden="1" x14ac:dyDescent="0.25">
      <c r="A566" t="s">
        <v>8</v>
      </c>
      <c r="B566" s="4">
        <v>46168</v>
      </c>
      <c r="C566" t="s">
        <v>604</v>
      </c>
      <c r="D566">
        <v>59900</v>
      </c>
      <c r="E566" t="s">
        <v>40</v>
      </c>
      <c r="F566">
        <v>38.4</v>
      </c>
      <c r="G566">
        <v>17550</v>
      </c>
      <c r="H566">
        <v>24210</v>
      </c>
      <c r="I566">
        <v>24870</v>
      </c>
      <c r="J566">
        <v>23160</v>
      </c>
      <c r="K566">
        <v>53</v>
      </c>
      <c r="L566">
        <v>53.8</v>
      </c>
      <c r="M566">
        <v>36.4</v>
      </c>
      <c r="N566">
        <v>53.7</v>
      </c>
      <c r="O566">
        <v>36.799999999999997</v>
      </c>
      <c r="P566" s="9">
        <v>46147.645613425928</v>
      </c>
    </row>
    <row r="567" spans="1:16" hidden="1" x14ac:dyDescent="0.25">
      <c r="A567" t="s">
        <v>8</v>
      </c>
      <c r="B567" s="4">
        <v>46168</v>
      </c>
      <c r="C567" t="s">
        <v>605</v>
      </c>
      <c r="D567">
        <v>59900</v>
      </c>
      <c r="E567" t="s">
        <v>42</v>
      </c>
      <c r="F567">
        <v>3649.85</v>
      </c>
      <c r="G567">
        <v>0</v>
      </c>
      <c r="H567">
        <v>630</v>
      </c>
      <c r="I567">
        <v>630</v>
      </c>
      <c r="J567">
        <v>630</v>
      </c>
      <c r="K567">
        <v>0</v>
      </c>
      <c r="L567">
        <v>0</v>
      </c>
      <c r="M567">
        <v>0</v>
      </c>
      <c r="N567">
        <v>3649.85</v>
      </c>
      <c r="O567">
        <v>5023.8999999999996</v>
      </c>
      <c r="P567" s="9">
        <v>46140.448599537034</v>
      </c>
    </row>
    <row r="568" spans="1:16" hidden="1" x14ac:dyDescent="0.25">
      <c r="A568" t="s">
        <v>8</v>
      </c>
      <c r="B568" s="4">
        <v>46168</v>
      </c>
      <c r="C568" t="s">
        <v>606</v>
      </c>
      <c r="D568">
        <v>60000</v>
      </c>
      <c r="E568" t="s">
        <v>40</v>
      </c>
      <c r="F568">
        <v>34.85</v>
      </c>
      <c r="G568">
        <v>1561530</v>
      </c>
      <c r="H568">
        <v>2262030</v>
      </c>
      <c r="I568">
        <v>2262030</v>
      </c>
      <c r="J568">
        <v>2077410</v>
      </c>
      <c r="K568">
        <v>44.1</v>
      </c>
      <c r="L568">
        <v>44.15</v>
      </c>
      <c r="M568">
        <v>34.5</v>
      </c>
      <c r="N568">
        <v>50.3</v>
      </c>
      <c r="O568">
        <v>34.65</v>
      </c>
      <c r="P568" s="9">
        <v>46147.645798611113</v>
      </c>
    </row>
    <row r="569" spans="1:16" hidden="1" x14ac:dyDescent="0.25">
      <c r="A569" t="s">
        <v>8</v>
      </c>
      <c r="B569" s="4">
        <v>46168</v>
      </c>
      <c r="C569" t="s">
        <v>607</v>
      </c>
      <c r="D569">
        <v>60000</v>
      </c>
      <c r="E569" t="s">
        <v>42</v>
      </c>
      <c r="F569">
        <v>5191.7</v>
      </c>
      <c r="G569">
        <v>78810</v>
      </c>
      <c r="H569">
        <v>1046640</v>
      </c>
      <c r="I569">
        <v>1092420</v>
      </c>
      <c r="J569">
        <v>1046640</v>
      </c>
      <c r="K569">
        <v>5200</v>
      </c>
      <c r="L569">
        <v>5519</v>
      </c>
      <c r="M569">
        <v>4885</v>
      </c>
      <c r="N569">
        <v>4812.2</v>
      </c>
      <c r="O569">
        <v>5175.8</v>
      </c>
      <c r="P569" s="9">
        <v>46147.645405092589</v>
      </c>
    </row>
    <row r="570" spans="1:16" hidden="1" x14ac:dyDescent="0.25">
      <c r="A570" t="s">
        <v>8</v>
      </c>
      <c r="B570" s="4">
        <v>46168</v>
      </c>
      <c r="C570" t="s">
        <v>608</v>
      </c>
      <c r="D570">
        <v>60100</v>
      </c>
      <c r="E570" t="s">
        <v>40</v>
      </c>
      <c r="F570">
        <v>32.049999999999997</v>
      </c>
      <c r="G570">
        <v>47520</v>
      </c>
      <c r="H570">
        <v>52590</v>
      </c>
      <c r="I570">
        <v>54720</v>
      </c>
      <c r="J570">
        <v>52050</v>
      </c>
      <c r="K570">
        <v>50</v>
      </c>
      <c r="L570">
        <v>57.5</v>
      </c>
      <c r="M570">
        <v>32</v>
      </c>
      <c r="N570">
        <v>47.75</v>
      </c>
      <c r="O570">
        <v>32.1</v>
      </c>
      <c r="P570" s="9">
        <v>46147.645775462966</v>
      </c>
    </row>
    <row r="571" spans="1:16" hidden="1" x14ac:dyDescent="0.25">
      <c r="A571" t="s">
        <v>8</v>
      </c>
      <c r="B571" s="4">
        <v>46168</v>
      </c>
      <c r="C571" t="s">
        <v>609</v>
      </c>
      <c r="D571">
        <v>60100</v>
      </c>
      <c r="E571" t="s">
        <v>42</v>
      </c>
      <c r="F571">
        <v>4892.5</v>
      </c>
      <c r="G571">
        <v>0</v>
      </c>
      <c r="H571">
        <v>1050</v>
      </c>
      <c r="I571">
        <v>1050</v>
      </c>
      <c r="J571">
        <v>1050</v>
      </c>
      <c r="K571">
        <v>0</v>
      </c>
      <c r="L571">
        <v>0</v>
      </c>
      <c r="M571">
        <v>0</v>
      </c>
      <c r="N571">
        <v>4892.5</v>
      </c>
      <c r="O571">
        <v>5166.8</v>
      </c>
      <c r="P571" s="9">
        <v>46146.591435185182</v>
      </c>
    </row>
    <row r="572" spans="1:16" hidden="1" x14ac:dyDescent="0.25">
      <c r="A572" t="s">
        <v>8</v>
      </c>
      <c r="B572" s="4">
        <v>46168</v>
      </c>
      <c r="C572" t="s">
        <v>610</v>
      </c>
      <c r="D572">
        <v>60200</v>
      </c>
      <c r="E572" t="s">
        <v>40</v>
      </c>
      <c r="F572">
        <v>30.9</v>
      </c>
      <c r="G572">
        <v>19530</v>
      </c>
      <c r="H572">
        <v>16920</v>
      </c>
      <c r="I572">
        <v>21900</v>
      </c>
      <c r="J572">
        <v>16500</v>
      </c>
      <c r="K572">
        <v>37.6</v>
      </c>
      <c r="L572">
        <v>38.85</v>
      </c>
      <c r="M572">
        <v>30.45</v>
      </c>
      <c r="N572">
        <v>43.65</v>
      </c>
      <c r="O572">
        <v>30.4</v>
      </c>
      <c r="P572" s="9">
        <v>46147.644444444442</v>
      </c>
    </row>
    <row r="573" spans="1:16" hidden="1" x14ac:dyDescent="0.25">
      <c r="A573" t="s">
        <v>8</v>
      </c>
      <c r="B573" s="4">
        <v>46168</v>
      </c>
      <c r="C573" t="s">
        <v>611</v>
      </c>
      <c r="D573">
        <v>60200</v>
      </c>
      <c r="E573" t="s">
        <v>42</v>
      </c>
      <c r="F573">
        <v>4220</v>
      </c>
      <c r="G573">
        <v>0</v>
      </c>
      <c r="H573">
        <v>1380</v>
      </c>
      <c r="I573">
        <v>1380</v>
      </c>
      <c r="J573">
        <v>1380</v>
      </c>
      <c r="K573">
        <v>0</v>
      </c>
      <c r="L573">
        <v>0</v>
      </c>
      <c r="M573">
        <v>0</v>
      </c>
      <c r="N573">
        <v>4220</v>
      </c>
      <c r="O573">
        <v>4860.3500000000004</v>
      </c>
      <c r="P573" s="9">
        <v>46140.62537037037</v>
      </c>
    </row>
    <row r="574" spans="1:16" hidden="1" x14ac:dyDescent="0.25">
      <c r="A574" t="s">
        <v>8</v>
      </c>
      <c r="B574" s="4">
        <v>46168</v>
      </c>
      <c r="C574" t="s">
        <v>612</v>
      </c>
      <c r="D574">
        <v>60300</v>
      </c>
      <c r="E574" t="s">
        <v>40</v>
      </c>
      <c r="F574">
        <v>29</v>
      </c>
      <c r="G574">
        <v>5820</v>
      </c>
      <c r="H574">
        <v>13800</v>
      </c>
      <c r="I574">
        <v>14340</v>
      </c>
      <c r="J574">
        <v>13800</v>
      </c>
      <c r="K574">
        <v>37.450000000000003</v>
      </c>
      <c r="L574">
        <v>37.450000000000003</v>
      </c>
      <c r="M574">
        <v>29</v>
      </c>
      <c r="N574">
        <v>40.6</v>
      </c>
      <c r="O574">
        <v>28.3</v>
      </c>
      <c r="P574" s="9">
        <v>46147.644479166665</v>
      </c>
    </row>
    <row r="575" spans="1:16" hidden="1" x14ac:dyDescent="0.25">
      <c r="A575" t="s">
        <v>8</v>
      </c>
      <c r="B575" s="4">
        <v>46168</v>
      </c>
      <c r="C575" t="s">
        <v>613</v>
      </c>
      <c r="D575">
        <v>60300</v>
      </c>
      <c r="E575" t="s">
        <v>42</v>
      </c>
      <c r="F575">
        <v>3930.55</v>
      </c>
      <c r="G575">
        <v>0</v>
      </c>
      <c r="H575">
        <v>810</v>
      </c>
      <c r="I575">
        <v>810</v>
      </c>
      <c r="J575">
        <v>810</v>
      </c>
      <c r="K575">
        <v>0</v>
      </c>
      <c r="L575">
        <v>0</v>
      </c>
      <c r="M575">
        <v>0</v>
      </c>
      <c r="N575">
        <v>3930.55</v>
      </c>
      <c r="O575">
        <v>5360.6</v>
      </c>
      <c r="P575" s="9">
        <v>46140.438634259262</v>
      </c>
    </row>
    <row r="576" spans="1:16" hidden="1" x14ac:dyDescent="0.25">
      <c r="A576" t="s">
        <v>8</v>
      </c>
      <c r="B576" s="4">
        <v>46168</v>
      </c>
      <c r="C576" t="s">
        <v>614</v>
      </c>
      <c r="D576">
        <v>60400</v>
      </c>
      <c r="E576" t="s">
        <v>40</v>
      </c>
      <c r="F576">
        <v>28.25</v>
      </c>
      <c r="G576">
        <v>4230</v>
      </c>
      <c r="H576">
        <v>9240</v>
      </c>
      <c r="I576">
        <v>9510</v>
      </c>
      <c r="J576">
        <v>9150</v>
      </c>
      <c r="K576">
        <v>33.1</v>
      </c>
      <c r="L576">
        <v>34.6</v>
      </c>
      <c r="M576">
        <v>27.7</v>
      </c>
      <c r="N576">
        <v>40.15</v>
      </c>
      <c r="O576">
        <v>27.05</v>
      </c>
      <c r="P576" s="9">
        <v>46147.645138888889</v>
      </c>
    </row>
    <row r="577" spans="1:16" hidden="1" x14ac:dyDescent="0.25">
      <c r="A577" t="s">
        <v>8</v>
      </c>
      <c r="B577" s="4">
        <v>46168</v>
      </c>
      <c r="C577" t="s">
        <v>615</v>
      </c>
      <c r="D577">
        <v>60400</v>
      </c>
      <c r="E577" t="s">
        <v>42</v>
      </c>
      <c r="F577">
        <v>4130</v>
      </c>
      <c r="G577">
        <v>0</v>
      </c>
      <c r="H577">
        <v>450</v>
      </c>
      <c r="I577">
        <v>450</v>
      </c>
      <c r="J577">
        <v>450</v>
      </c>
      <c r="K577">
        <v>0</v>
      </c>
      <c r="L577">
        <v>0</v>
      </c>
      <c r="M577">
        <v>0</v>
      </c>
      <c r="N577">
        <v>4130</v>
      </c>
      <c r="O577">
        <v>5497</v>
      </c>
      <c r="P577" s="9">
        <v>46139.5078125</v>
      </c>
    </row>
    <row r="578" spans="1:16" hidden="1" x14ac:dyDescent="0.25">
      <c r="A578" t="s">
        <v>8</v>
      </c>
      <c r="B578" s="4">
        <v>46168</v>
      </c>
      <c r="C578" t="s">
        <v>616</v>
      </c>
      <c r="D578">
        <v>60500</v>
      </c>
      <c r="E578" t="s">
        <v>40</v>
      </c>
      <c r="F578">
        <v>24</v>
      </c>
      <c r="G578">
        <v>291330</v>
      </c>
      <c r="H578">
        <v>189720</v>
      </c>
      <c r="I578">
        <v>242460</v>
      </c>
      <c r="J578">
        <v>186960</v>
      </c>
      <c r="K578">
        <v>29.95</v>
      </c>
      <c r="L578">
        <v>32.450000000000003</v>
      </c>
      <c r="M578">
        <v>24</v>
      </c>
      <c r="N578">
        <v>35.799999999999997</v>
      </c>
      <c r="O578">
        <v>24.3</v>
      </c>
      <c r="P578" s="9">
        <v>46147.645810185182</v>
      </c>
    </row>
    <row r="579" spans="1:16" hidden="1" x14ac:dyDescent="0.25">
      <c r="A579" t="s">
        <v>8</v>
      </c>
      <c r="B579" s="4">
        <v>46168</v>
      </c>
      <c r="C579" t="s">
        <v>617</v>
      </c>
      <c r="D579">
        <v>60500</v>
      </c>
      <c r="E579" t="s">
        <v>42</v>
      </c>
      <c r="F579">
        <v>5342.75</v>
      </c>
      <c r="G579">
        <v>0</v>
      </c>
      <c r="H579">
        <v>14280</v>
      </c>
      <c r="I579">
        <v>14280</v>
      </c>
      <c r="J579">
        <v>14280</v>
      </c>
      <c r="K579">
        <v>0</v>
      </c>
      <c r="L579">
        <v>0</v>
      </c>
      <c r="M579">
        <v>0</v>
      </c>
      <c r="N579">
        <v>5342.75</v>
      </c>
      <c r="O579">
        <v>5532.8</v>
      </c>
      <c r="P579" s="9">
        <v>46146.554120370369</v>
      </c>
    </row>
    <row r="580" spans="1:16" hidden="1" x14ac:dyDescent="0.25">
      <c r="A580" t="s">
        <v>8</v>
      </c>
      <c r="B580" s="4">
        <v>46168</v>
      </c>
      <c r="C580" t="s">
        <v>618</v>
      </c>
      <c r="D580">
        <v>60600</v>
      </c>
      <c r="E580" t="s">
        <v>40</v>
      </c>
      <c r="F580">
        <v>24.3</v>
      </c>
      <c r="G580">
        <v>7020</v>
      </c>
      <c r="H580">
        <v>7590</v>
      </c>
      <c r="I580">
        <v>8730</v>
      </c>
      <c r="J580">
        <v>7590</v>
      </c>
      <c r="K580">
        <v>34.549999999999997</v>
      </c>
      <c r="L580">
        <v>34.549999999999997</v>
      </c>
      <c r="M580">
        <v>24.05</v>
      </c>
      <c r="N580">
        <v>34.549999999999997</v>
      </c>
      <c r="O580">
        <v>23.75</v>
      </c>
      <c r="P580" s="9">
        <v>46147.644444444442</v>
      </c>
    </row>
    <row r="581" spans="1:16" hidden="1" x14ac:dyDescent="0.25">
      <c r="A581" t="s">
        <v>8</v>
      </c>
      <c r="B581" s="4">
        <v>46168</v>
      </c>
      <c r="C581" t="s">
        <v>619</v>
      </c>
      <c r="D581">
        <v>60600</v>
      </c>
      <c r="E581" t="s">
        <v>42</v>
      </c>
      <c r="F581">
        <v>5117.6000000000004</v>
      </c>
      <c r="G581">
        <v>0</v>
      </c>
      <c r="H581">
        <v>1050</v>
      </c>
      <c r="I581">
        <v>1050</v>
      </c>
      <c r="J581">
        <v>1050</v>
      </c>
      <c r="K581">
        <v>0</v>
      </c>
      <c r="L581">
        <v>0</v>
      </c>
      <c r="M581">
        <v>0</v>
      </c>
      <c r="N581">
        <v>5117.6000000000004</v>
      </c>
      <c r="O581">
        <v>5223.45</v>
      </c>
      <c r="P581" s="9">
        <v>46146.507905092592</v>
      </c>
    </row>
    <row r="582" spans="1:16" hidden="1" x14ac:dyDescent="0.25">
      <c r="A582" t="s">
        <v>8</v>
      </c>
      <c r="B582" s="4">
        <v>46168</v>
      </c>
      <c r="C582" t="s">
        <v>620</v>
      </c>
      <c r="D582">
        <v>60700</v>
      </c>
      <c r="E582" t="s">
        <v>40</v>
      </c>
      <c r="F582">
        <v>22.3</v>
      </c>
      <c r="G582">
        <v>7950</v>
      </c>
      <c r="H582">
        <v>12330</v>
      </c>
      <c r="I582">
        <v>12360</v>
      </c>
      <c r="J582">
        <v>10920</v>
      </c>
      <c r="K582">
        <v>32.200000000000003</v>
      </c>
      <c r="L582">
        <v>32.200000000000003</v>
      </c>
      <c r="M582">
        <v>22.3</v>
      </c>
      <c r="N582">
        <v>32.200000000000003</v>
      </c>
      <c r="O582">
        <v>20</v>
      </c>
      <c r="P582" s="9">
        <v>46147.644675925927</v>
      </c>
    </row>
    <row r="583" spans="1:16" hidden="1" x14ac:dyDescent="0.25">
      <c r="A583" t="s">
        <v>8</v>
      </c>
      <c r="B583" s="4">
        <v>46168</v>
      </c>
      <c r="C583" t="s">
        <v>621</v>
      </c>
      <c r="D583">
        <v>60700</v>
      </c>
      <c r="E583" t="s">
        <v>42</v>
      </c>
      <c r="F583">
        <v>4710.3999999999996</v>
      </c>
      <c r="G583">
        <v>0</v>
      </c>
      <c r="H583">
        <v>510</v>
      </c>
      <c r="I583">
        <v>510</v>
      </c>
      <c r="J583">
        <v>510</v>
      </c>
      <c r="K583">
        <v>0</v>
      </c>
      <c r="L583">
        <v>0</v>
      </c>
      <c r="M583">
        <v>0</v>
      </c>
      <c r="N583">
        <v>4710.3999999999996</v>
      </c>
      <c r="O583">
        <v>5673.4</v>
      </c>
      <c r="P583" s="9">
        <v>46141.636828703704</v>
      </c>
    </row>
    <row r="584" spans="1:16" hidden="1" x14ac:dyDescent="0.25">
      <c r="A584" t="s">
        <v>8</v>
      </c>
      <c r="B584" s="4">
        <v>46168</v>
      </c>
      <c r="C584" t="s">
        <v>622</v>
      </c>
      <c r="D584">
        <v>60800</v>
      </c>
      <c r="E584" t="s">
        <v>40</v>
      </c>
      <c r="F584">
        <v>22.4</v>
      </c>
      <c r="G584">
        <v>14970</v>
      </c>
      <c r="H584">
        <v>9780</v>
      </c>
      <c r="I584">
        <v>10050</v>
      </c>
      <c r="J584">
        <v>8370</v>
      </c>
      <c r="K584">
        <v>31</v>
      </c>
      <c r="L584">
        <v>31</v>
      </c>
      <c r="M584">
        <v>22.05</v>
      </c>
      <c r="N584">
        <v>30.9</v>
      </c>
      <c r="O584">
        <v>4.55</v>
      </c>
      <c r="P584" s="9">
        <v>46147.644444444442</v>
      </c>
    </row>
    <row r="585" spans="1:16" hidden="1" x14ac:dyDescent="0.25">
      <c r="A585" t="s">
        <v>8</v>
      </c>
      <c r="B585" s="4">
        <v>46168</v>
      </c>
      <c r="C585" t="s">
        <v>623</v>
      </c>
      <c r="D585">
        <v>60800</v>
      </c>
      <c r="E585" t="s">
        <v>42</v>
      </c>
      <c r="F585">
        <v>6000</v>
      </c>
      <c r="G585">
        <v>30</v>
      </c>
      <c r="H585">
        <v>270</v>
      </c>
      <c r="I585">
        <v>270</v>
      </c>
      <c r="J585">
        <v>270</v>
      </c>
      <c r="K585">
        <v>6000</v>
      </c>
      <c r="L585">
        <v>6000</v>
      </c>
      <c r="M585">
        <v>6000</v>
      </c>
      <c r="N585">
        <v>5600</v>
      </c>
      <c r="O585">
        <v>5634.95</v>
      </c>
      <c r="P585" s="9">
        <v>46147.403229166666</v>
      </c>
    </row>
    <row r="586" spans="1:16" hidden="1" x14ac:dyDescent="0.25">
      <c r="A586" t="s">
        <v>8</v>
      </c>
      <c r="B586" s="4">
        <v>46168</v>
      </c>
      <c r="C586" t="s">
        <v>624</v>
      </c>
      <c r="D586">
        <v>60900</v>
      </c>
      <c r="E586" t="s">
        <v>40</v>
      </c>
      <c r="F586">
        <v>20.85</v>
      </c>
      <c r="G586">
        <v>5760</v>
      </c>
      <c r="H586">
        <v>7230</v>
      </c>
      <c r="I586">
        <v>7710</v>
      </c>
      <c r="J586">
        <v>6900</v>
      </c>
      <c r="K586">
        <v>28.95</v>
      </c>
      <c r="L586">
        <v>28.95</v>
      </c>
      <c r="M586">
        <v>20.75</v>
      </c>
      <c r="N586">
        <v>28.95</v>
      </c>
      <c r="O586">
        <v>3.55</v>
      </c>
      <c r="P586" s="9">
        <v>46147.644525462965</v>
      </c>
    </row>
    <row r="587" spans="1:16" hidden="1" x14ac:dyDescent="0.25">
      <c r="A587" t="s">
        <v>8</v>
      </c>
      <c r="B587" s="4">
        <v>46168</v>
      </c>
      <c r="C587" t="s">
        <v>625</v>
      </c>
      <c r="D587">
        <v>60900</v>
      </c>
      <c r="E587" t="s">
        <v>42</v>
      </c>
      <c r="F587">
        <v>7396.6</v>
      </c>
      <c r="G587">
        <v>0</v>
      </c>
      <c r="H587">
        <v>180</v>
      </c>
      <c r="I587">
        <v>180</v>
      </c>
      <c r="J587">
        <v>180</v>
      </c>
      <c r="K587">
        <v>0</v>
      </c>
      <c r="L587">
        <v>0</v>
      </c>
      <c r="M587">
        <v>0</v>
      </c>
      <c r="N587">
        <v>7396.6</v>
      </c>
      <c r="O587">
        <v>5870.25</v>
      </c>
      <c r="P587" s="9">
        <v>46105.594710648147</v>
      </c>
    </row>
    <row r="588" spans="1:16" hidden="1" x14ac:dyDescent="0.25">
      <c r="A588" t="s">
        <v>8</v>
      </c>
      <c r="B588" s="4">
        <v>46168</v>
      </c>
      <c r="C588" t="s">
        <v>626</v>
      </c>
      <c r="D588">
        <v>61000</v>
      </c>
      <c r="E588" t="s">
        <v>40</v>
      </c>
      <c r="F588">
        <v>16.600000000000001</v>
      </c>
      <c r="G588">
        <v>564480</v>
      </c>
      <c r="H588">
        <v>573450</v>
      </c>
      <c r="I588">
        <v>575550</v>
      </c>
      <c r="J588">
        <v>498120</v>
      </c>
      <c r="K588">
        <v>20.45</v>
      </c>
      <c r="L588">
        <v>24.75</v>
      </c>
      <c r="M588">
        <v>16.25</v>
      </c>
      <c r="N588">
        <v>27.35</v>
      </c>
      <c r="O588">
        <v>16.899999999999999</v>
      </c>
      <c r="P588" s="9">
        <v>46147.645810185182</v>
      </c>
    </row>
    <row r="589" spans="1:16" hidden="1" x14ac:dyDescent="0.25">
      <c r="A589" t="s">
        <v>8</v>
      </c>
      <c r="B589" s="4">
        <v>46168</v>
      </c>
      <c r="C589" t="s">
        <v>627</v>
      </c>
      <c r="D589">
        <v>61000</v>
      </c>
      <c r="E589" t="s">
        <v>42</v>
      </c>
      <c r="F589">
        <v>6129.2</v>
      </c>
      <c r="G589">
        <v>2430</v>
      </c>
      <c r="H589">
        <v>69570</v>
      </c>
      <c r="I589">
        <v>70080</v>
      </c>
      <c r="J589">
        <v>69570</v>
      </c>
      <c r="K589">
        <v>6178.2</v>
      </c>
      <c r="L589">
        <v>6460</v>
      </c>
      <c r="M589">
        <v>5901.35</v>
      </c>
      <c r="N589">
        <v>5900</v>
      </c>
      <c r="O589">
        <v>6139.7</v>
      </c>
      <c r="P589" s="9">
        <v>46147.643634259257</v>
      </c>
    </row>
    <row r="590" spans="1:16" hidden="1" x14ac:dyDescent="0.25">
      <c r="A590" t="s">
        <v>8</v>
      </c>
      <c r="B590" s="4">
        <v>46168</v>
      </c>
      <c r="C590" t="s">
        <v>628</v>
      </c>
      <c r="D590">
        <v>61100</v>
      </c>
      <c r="E590" t="s">
        <v>40</v>
      </c>
      <c r="F590">
        <v>18.25</v>
      </c>
      <c r="G590">
        <v>13650</v>
      </c>
      <c r="H590">
        <v>7530</v>
      </c>
      <c r="I590">
        <v>7830</v>
      </c>
      <c r="J590">
        <v>6540</v>
      </c>
      <c r="K590">
        <v>27.3</v>
      </c>
      <c r="L590">
        <v>27.35</v>
      </c>
      <c r="M590">
        <v>17.600000000000001</v>
      </c>
      <c r="N590">
        <v>26.3</v>
      </c>
      <c r="O590">
        <v>17.600000000000001</v>
      </c>
      <c r="P590" s="9">
        <v>46147.645509259259</v>
      </c>
    </row>
    <row r="591" spans="1:16" hidden="1" x14ac:dyDescent="0.25">
      <c r="A591" t="s">
        <v>8</v>
      </c>
      <c r="B591" s="4">
        <v>46168</v>
      </c>
      <c r="C591" t="s">
        <v>629</v>
      </c>
      <c r="D591">
        <v>61100</v>
      </c>
      <c r="E591" t="s">
        <v>42</v>
      </c>
      <c r="F591">
        <v>8733.6</v>
      </c>
      <c r="G591">
        <v>0</v>
      </c>
      <c r="H591">
        <v>330</v>
      </c>
      <c r="I591">
        <v>330</v>
      </c>
      <c r="J591">
        <v>330</v>
      </c>
      <c r="K591">
        <v>0</v>
      </c>
      <c r="L591">
        <v>0</v>
      </c>
      <c r="M591">
        <v>0</v>
      </c>
      <c r="N591">
        <v>8733.6</v>
      </c>
      <c r="O591">
        <v>5757.95</v>
      </c>
      <c r="P591" s="9">
        <v>46104.543865740743</v>
      </c>
    </row>
    <row r="592" spans="1:16" hidden="1" x14ac:dyDescent="0.25">
      <c r="A592" t="s">
        <v>8</v>
      </c>
      <c r="B592" s="4">
        <v>46168</v>
      </c>
      <c r="C592" t="s">
        <v>630</v>
      </c>
      <c r="D592">
        <v>61200</v>
      </c>
      <c r="E592" t="s">
        <v>40</v>
      </c>
      <c r="F592">
        <v>17.95</v>
      </c>
      <c r="G592">
        <v>12090</v>
      </c>
      <c r="H592">
        <v>11040</v>
      </c>
      <c r="I592">
        <v>11040</v>
      </c>
      <c r="J592">
        <v>10110</v>
      </c>
      <c r="K592">
        <v>26.8</v>
      </c>
      <c r="L592">
        <v>26.8</v>
      </c>
      <c r="M592">
        <v>17.899999999999999</v>
      </c>
      <c r="N592">
        <v>24.7</v>
      </c>
      <c r="O592">
        <v>9.0500000000000007</v>
      </c>
      <c r="P592" s="9">
        <v>46147.644733796296</v>
      </c>
    </row>
    <row r="593" spans="1:16" hidden="1" x14ac:dyDescent="0.25">
      <c r="A593" t="s">
        <v>8</v>
      </c>
      <c r="B593" s="4">
        <v>46168</v>
      </c>
      <c r="C593" t="s">
        <v>631</v>
      </c>
      <c r="D593">
        <v>61200</v>
      </c>
      <c r="E593" t="s">
        <v>42</v>
      </c>
      <c r="F593">
        <v>8804.9</v>
      </c>
      <c r="G593">
        <v>0</v>
      </c>
      <c r="H593">
        <v>240</v>
      </c>
      <c r="I593">
        <v>240</v>
      </c>
      <c r="J593">
        <v>240</v>
      </c>
      <c r="K593">
        <v>0</v>
      </c>
      <c r="L593">
        <v>0</v>
      </c>
      <c r="M593">
        <v>0</v>
      </c>
      <c r="N593">
        <v>8804.9</v>
      </c>
      <c r="O593">
        <v>6065.2</v>
      </c>
      <c r="P593" s="9">
        <v>46104.537974537037</v>
      </c>
    </row>
    <row r="594" spans="1:16" hidden="1" x14ac:dyDescent="0.25">
      <c r="A594" t="s">
        <v>8</v>
      </c>
      <c r="B594" s="4">
        <v>46168</v>
      </c>
      <c r="C594" t="s">
        <v>632</v>
      </c>
      <c r="D594">
        <v>61300</v>
      </c>
      <c r="E594" t="s">
        <v>40</v>
      </c>
      <c r="F594">
        <v>15.45</v>
      </c>
      <c r="G594">
        <v>12030</v>
      </c>
      <c r="H594">
        <v>7650</v>
      </c>
      <c r="I594">
        <v>8580</v>
      </c>
      <c r="J594">
        <v>7140</v>
      </c>
      <c r="K594">
        <v>25.8</v>
      </c>
      <c r="L594">
        <v>25.8</v>
      </c>
      <c r="M594">
        <v>15.45</v>
      </c>
      <c r="N594">
        <v>23.5</v>
      </c>
      <c r="O594">
        <v>15.45</v>
      </c>
      <c r="P594" s="9">
        <v>46147.644641203704</v>
      </c>
    </row>
    <row r="595" spans="1:16" hidden="1" x14ac:dyDescent="0.25">
      <c r="A595" t="s">
        <v>8</v>
      </c>
      <c r="B595" s="4">
        <v>46168</v>
      </c>
      <c r="C595" t="s">
        <v>633</v>
      </c>
      <c r="D595">
        <v>61300</v>
      </c>
      <c r="E595" t="s">
        <v>42</v>
      </c>
      <c r="F595">
        <v>3600</v>
      </c>
      <c r="G595">
        <v>0</v>
      </c>
      <c r="H595">
        <v>150</v>
      </c>
      <c r="I595">
        <v>150</v>
      </c>
      <c r="J595">
        <v>150</v>
      </c>
      <c r="K595">
        <v>0</v>
      </c>
      <c r="L595">
        <v>0</v>
      </c>
      <c r="M595">
        <v>0</v>
      </c>
      <c r="N595">
        <v>3600</v>
      </c>
      <c r="O595">
        <v>5938.25</v>
      </c>
      <c r="P595" s="9">
        <v>46134.478101851855</v>
      </c>
    </row>
    <row r="596" spans="1:16" hidden="1" x14ac:dyDescent="0.25">
      <c r="A596" t="s">
        <v>8</v>
      </c>
      <c r="B596" s="4">
        <v>46168</v>
      </c>
      <c r="C596" t="s">
        <v>634</v>
      </c>
      <c r="D596">
        <v>61400</v>
      </c>
      <c r="E596" t="s">
        <v>40</v>
      </c>
      <c r="F596">
        <v>16.05</v>
      </c>
      <c r="G596">
        <v>5430</v>
      </c>
      <c r="H596">
        <v>2970</v>
      </c>
      <c r="I596">
        <v>3840</v>
      </c>
      <c r="J596">
        <v>2580</v>
      </c>
      <c r="K596">
        <v>16.850000000000001</v>
      </c>
      <c r="L596">
        <v>20.3</v>
      </c>
      <c r="M596">
        <v>15.3</v>
      </c>
      <c r="N596">
        <v>22</v>
      </c>
      <c r="O596">
        <v>15.1</v>
      </c>
      <c r="P596" s="9">
        <v>46147.643113425926</v>
      </c>
    </row>
    <row r="597" spans="1:16" hidden="1" x14ac:dyDescent="0.25">
      <c r="A597" t="s">
        <v>8</v>
      </c>
      <c r="B597" s="4">
        <v>46168</v>
      </c>
      <c r="C597" t="s">
        <v>635</v>
      </c>
      <c r="D597">
        <v>61400</v>
      </c>
      <c r="E597" t="s">
        <v>42</v>
      </c>
      <c r="F597">
        <v>6667.6</v>
      </c>
      <c r="G597">
        <v>0</v>
      </c>
      <c r="H597">
        <v>90</v>
      </c>
      <c r="I597">
        <v>90</v>
      </c>
      <c r="J597">
        <v>90</v>
      </c>
      <c r="K597">
        <v>0</v>
      </c>
      <c r="L597">
        <v>0</v>
      </c>
      <c r="M597">
        <v>0</v>
      </c>
      <c r="N597">
        <v>6667.6</v>
      </c>
      <c r="O597">
        <v>6269.85</v>
      </c>
      <c r="P597" s="9">
        <v>46101.494074074071</v>
      </c>
    </row>
    <row r="598" spans="1:16" hidden="1" x14ac:dyDescent="0.25">
      <c r="A598" t="s">
        <v>8</v>
      </c>
      <c r="B598" s="4">
        <v>46168</v>
      </c>
      <c r="C598" t="s">
        <v>636</v>
      </c>
      <c r="D598">
        <v>61500</v>
      </c>
      <c r="E598" t="s">
        <v>40</v>
      </c>
      <c r="F598">
        <v>13.6</v>
      </c>
      <c r="G598">
        <v>253740</v>
      </c>
      <c r="H598">
        <v>192720</v>
      </c>
      <c r="I598">
        <v>192720</v>
      </c>
      <c r="J598">
        <v>142080</v>
      </c>
      <c r="K598">
        <v>17.350000000000001</v>
      </c>
      <c r="L598">
        <v>19.2</v>
      </c>
      <c r="M598">
        <v>13.6</v>
      </c>
      <c r="N598">
        <v>20.6</v>
      </c>
      <c r="O598">
        <v>13</v>
      </c>
      <c r="P598" s="9">
        <v>46147.645810185182</v>
      </c>
    </row>
    <row r="599" spans="1:16" hidden="1" x14ac:dyDescent="0.25">
      <c r="A599" t="s">
        <v>8</v>
      </c>
      <c r="B599" s="4">
        <v>46168</v>
      </c>
      <c r="C599" t="s">
        <v>637</v>
      </c>
      <c r="D599">
        <v>61500</v>
      </c>
      <c r="E599" t="s">
        <v>42</v>
      </c>
      <c r="F599">
        <v>6320.75</v>
      </c>
      <c r="G599">
        <v>0</v>
      </c>
      <c r="H599">
        <v>5910</v>
      </c>
      <c r="I599">
        <v>5910</v>
      </c>
      <c r="J599">
        <v>5910</v>
      </c>
      <c r="K599">
        <v>0</v>
      </c>
      <c r="L599">
        <v>0</v>
      </c>
      <c r="M599">
        <v>0</v>
      </c>
      <c r="N599">
        <v>6320.75</v>
      </c>
      <c r="O599">
        <v>6374.9</v>
      </c>
      <c r="P599" s="9">
        <v>46146.554143518515</v>
      </c>
    </row>
    <row r="600" spans="1:16" hidden="1" x14ac:dyDescent="0.25">
      <c r="A600" t="s">
        <v>8</v>
      </c>
      <c r="B600" s="4">
        <v>46168</v>
      </c>
      <c r="C600" t="s">
        <v>638</v>
      </c>
      <c r="D600">
        <v>61600</v>
      </c>
      <c r="E600" t="s">
        <v>40</v>
      </c>
      <c r="F600">
        <v>13.1</v>
      </c>
      <c r="G600">
        <v>10830</v>
      </c>
      <c r="H600">
        <v>9870</v>
      </c>
      <c r="I600">
        <v>9870</v>
      </c>
      <c r="J600">
        <v>5730</v>
      </c>
      <c r="K600">
        <v>17.2</v>
      </c>
      <c r="L600">
        <v>17.75</v>
      </c>
      <c r="M600">
        <v>13.1</v>
      </c>
      <c r="N600">
        <v>19.7</v>
      </c>
      <c r="O600">
        <v>13.2</v>
      </c>
      <c r="P600" s="9">
        <v>46147.64576388889</v>
      </c>
    </row>
    <row r="601" spans="1:16" hidden="1" x14ac:dyDescent="0.25">
      <c r="A601" t="s">
        <v>8</v>
      </c>
      <c r="B601" s="4">
        <v>46168</v>
      </c>
      <c r="C601" t="s">
        <v>639</v>
      </c>
      <c r="D601">
        <v>61600</v>
      </c>
      <c r="E601" t="s">
        <v>42</v>
      </c>
      <c r="F601">
        <v>6857.3</v>
      </c>
      <c r="G601">
        <v>0</v>
      </c>
      <c r="H601">
        <v>90</v>
      </c>
      <c r="I601">
        <v>90</v>
      </c>
      <c r="J601">
        <v>90</v>
      </c>
      <c r="K601">
        <v>0</v>
      </c>
      <c r="L601">
        <v>0</v>
      </c>
      <c r="M601">
        <v>0</v>
      </c>
      <c r="N601">
        <v>6857.3</v>
      </c>
      <c r="O601">
        <v>6465.2</v>
      </c>
      <c r="P601" s="9">
        <v>46101.494074074071</v>
      </c>
    </row>
    <row r="602" spans="1:16" hidden="1" x14ac:dyDescent="0.25">
      <c r="A602" t="s">
        <v>8</v>
      </c>
      <c r="B602" s="4">
        <v>46168</v>
      </c>
      <c r="C602" t="s">
        <v>640</v>
      </c>
      <c r="D602">
        <v>61700</v>
      </c>
      <c r="E602" t="s">
        <v>40</v>
      </c>
      <c r="F602">
        <v>13.9</v>
      </c>
      <c r="G602">
        <v>10800</v>
      </c>
      <c r="H602">
        <v>3750</v>
      </c>
      <c r="I602">
        <v>4980</v>
      </c>
      <c r="J602">
        <v>3420</v>
      </c>
      <c r="K602">
        <v>14.3</v>
      </c>
      <c r="L602">
        <v>17.05</v>
      </c>
      <c r="M602">
        <v>13.2</v>
      </c>
      <c r="N602">
        <v>18.95</v>
      </c>
      <c r="O602">
        <v>13.1</v>
      </c>
      <c r="P602" s="9">
        <v>46147.64271990741</v>
      </c>
    </row>
    <row r="603" spans="1:16" hidden="1" x14ac:dyDescent="0.25">
      <c r="A603" t="s">
        <v>8</v>
      </c>
      <c r="B603" s="4">
        <v>46168</v>
      </c>
      <c r="C603" t="s">
        <v>641</v>
      </c>
      <c r="D603">
        <v>61700</v>
      </c>
      <c r="E603" t="s">
        <v>42</v>
      </c>
      <c r="F603">
        <v>6951.45</v>
      </c>
      <c r="G603">
        <v>0</v>
      </c>
      <c r="H603">
        <v>60</v>
      </c>
      <c r="I603">
        <v>60</v>
      </c>
      <c r="J603">
        <v>60</v>
      </c>
      <c r="K603">
        <v>0</v>
      </c>
      <c r="L603">
        <v>0</v>
      </c>
      <c r="M603">
        <v>0</v>
      </c>
      <c r="N603">
        <v>6951.45</v>
      </c>
      <c r="O603">
        <v>6565.9</v>
      </c>
      <c r="P603" s="9">
        <v>46101.494074074071</v>
      </c>
    </row>
    <row r="604" spans="1:16" hidden="1" x14ac:dyDescent="0.25">
      <c r="A604" t="s">
        <v>8</v>
      </c>
      <c r="B604" s="4">
        <v>46168</v>
      </c>
      <c r="C604" t="s">
        <v>642</v>
      </c>
      <c r="D604">
        <v>61800</v>
      </c>
      <c r="E604" t="s">
        <v>40</v>
      </c>
      <c r="F604">
        <v>13.2</v>
      </c>
      <c r="G604">
        <v>4530</v>
      </c>
      <c r="H604">
        <v>8370</v>
      </c>
      <c r="I604">
        <v>9330</v>
      </c>
      <c r="J604">
        <v>8310</v>
      </c>
      <c r="K604">
        <v>16.05</v>
      </c>
      <c r="L604">
        <v>17.3</v>
      </c>
      <c r="M604">
        <v>12.9</v>
      </c>
      <c r="N604">
        <v>17.8</v>
      </c>
      <c r="O604">
        <v>10.45</v>
      </c>
      <c r="P604" s="9">
        <v>46147.64571759259</v>
      </c>
    </row>
    <row r="605" spans="1:16" hidden="1" x14ac:dyDescent="0.25">
      <c r="A605" t="s">
        <v>8</v>
      </c>
      <c r="B605" s="4">
        <v>46168</v>
      </c>
      <c r="C605" t="s">
        <v>643</v>
      </c>
      <c r="D605">
        <v>61800</v>
      </c>
      <c r="E605" t="s">
        <v>42</v>
      </c>
      <c r="F605">
        <v>7051</v>
      </c>
      <c r="G605">
        <v>0</v>
      </c>
      <c r="H605">
        <v>60</v>
      </c>
      <c r="I605">
        <v>60</v>
      </c>
      <c r="J605">
        <v>60</v>
      </c>
      <c r="K605">
        <v>0</v>
      </c>
      <c r="L605">
        <v>0</v>
      </c>
      <c r="M605">
        <v>0</v>
      </c>
      <c r="N605">
        <v>7051</v>
      </c>
      <c r="O605">
        <v>6663.75</v>
      </c>
      <c r="P605" s="9">
        <v>46101.494131944448</v>
      </c>
    </row>
    <row r="606" spans="1:16" hidden="1" x14ac:dyDescent="0.25">
      <c r="A606" t="s">
        <v>8</v>
      </c>
      <c r="B606" s="4">
        <v>46168</v>
      </c>
      <c r="C606" t="s">
        <v>644</v>
      </c>
      <c r="D606">
        <v>61900</v>
      </c>
      <c r="E606" t="s">
        <v>40</v>
      </c>
      <c r="F606">
        <v>12.9</v>
      </c>
      <c r="G606">
        <v>5640</v>
      </c>
      <c r="H606">
        <v>5760</v>
      </c>
      <c r="I606">
        <v>6990</v>
      </c>
      <c r="J606">
        <v>5340</v>
      </c>
      <c r="K606">
        <v>17</v>
      </c>
      <c r="L606">
        <v>17.5</v>
      </c>
      <c r="M606">
        <v>12.9</v>
      </c>
      <c r="N606">
        <v>17.3</v>
      </c>
      <c r="O606">
        <v>11</v>
      </c>
      <c r="P606" s="9">
        <v>46147.642928240741</v>
      </c>
    </row>
    <row r="607" spans="1:16" hidden="1" x14ac:dyDescent="0.25">
      <c r="A607" t="s">
        <v>8</v>
      </c>
      <c r="B607" s="4">
        <v>46168</v>
      </c>
      <c r="C607" t="s">
        <v>645</v>
      </c>
      <c r="D607">
        <v>61900</v>
      </c>
      <c r="E607" t="s">
        <v>42</v>
      </c>
      <c r="F607">
        <v>7146.4</v>
      </c>
      <c r="G607">
        <v>0</v>
      </c>
      <c r="H607">
        <v>90</v>
      </c>
      <c r="I607">
        <v>90</v>
      </c>
      <c r="J607">
        <v>90</v>
      </c>
      <c r="K607">
        <v>0</v>
      </c>
      <c r="L607">
        <v>0</v>
      </c>
      <c r="M607">
        <v>0</v>
      </c>
      <c r="N607">
        <v>7146.4</v>
      </c>
      <c r="O607">
        <v>6344.9</v>
      </c>
      <c r="P607" s="9">
        <v>46101.49726851852</v>
      </c>
    </row>
    <row r="608" spans="1:16" hidden="1" x14ac:dyDescent="0.25">
      <c r="A608" t="s">
        <v>8</v>
      </c>
      <c r="B608" s="4">
        <v>46168</v>
      </c>
      <c r="C608" t="s">
        <v>646</v>
      </c>
      <c r="D608">
        <v>62000</v>
      </c>
      <c r="E608" t="s">
        <v>40</v>
      </c>
      <c r="F608">
        <v>11.7</v>
      </c>
      <c r="G608">
        <v>256800</v>
      </c>
      <c r="H608">
        <v>327390</v>
      </c>
      <c r="I608">
        <v>327390</v>
      </c>
      <c r="J608">
        <v>304080</v>
      </c>
      <c r="K608">
        <v>13.7</v>
      </c>
      <c r="L608">
        <v>15.55</v>
      </c>
      <c r="M608">
        <v>11.7</v>
      </c>
      <c r="N608">
        <v>16.55</v>
      </c>
      <c r="O608">
        <v>11.65</v>
      </c>
      <c r="P608" s="9">
        <v>46147.645798611113</v>
      </c>
    </row>
    <row r="609" spans="1:16" hidden="1" x14ac:dyDescent="0.25">
      <c r="A609" t="s">
        <v>8</v>
      </c>
      <c r="B609" s="4">
        <v>46168</v>
      </c>
      <c r="C609" t="s">
        <v>647</v>
      </c>
      <c r="D609">
        <v>62000</v>
      </c>
      <c r="E609" t="s">
        <v>42</v>
      </c>
      <c r="F609">
        <v>7092.75</v>
      </c>
      <c r="G609">
        <v>840</v>
      </c>
      <c r="H609">
        <v>71700</v>
      </c>
      <c r="I609">
        <v>72270</v>
      </c>
      <c r="J609">
        <v>71670</v>
      </c>
      <c r="K609">
        <v>7090</v>
      </c>
      <c r="L609">
        <v>7459.2</v>
      </c>
      <c r="M609">
        <v>6875</v>
      </c>
      <c r="N609">
        <v>6780.05</v>
      </c>
      <c r="O609">
        <v>7126.65</v>
      </c>
      <c r="P609" s="9">
        <v>46147.639027777775</v>
      </c>
    </row>
    <row r="610" spans="1:16" hidden="1" x14ac:dyDescent="0.25">
      <c r="A610" t="s">
        <v>8</v>
      </c>
      <c r="B610" s="4">
        <v>46168</v>
      </c>
      <c r="C610" t="s">
        <v>648</v>
      </c>
      <c r="D610">
        <v>62100</v>
      </c>
      <c r="E610" t="s">
        <v>40</v>
      </c>
      <c r="F610">
        <v>12.2</v>
      </c>
      <c r="G610">
        <v>2310</v>
      </c>
      <c r="H610">
        <v>3180</v>
      </c>
      <c r="I610">
        <v>3180</v>
      </c>
      <c r="J610">
        <v>2850</v>
      </c>
      <c r="K610">
        <v>13.9</v>
      </c>
      <c r="L610">
        <v>14.6</v>
      </c>
      <c r="M610">
        <v>11.65</v>
      </c>
      <c r="N610">
        <v>15.4</v>
      </c>
      <c r="O610">
        <v>10.35</v>
      </c>
      <c r="P610" s="9">
        <v>46147.618877314817</v>
      </c>
    </row>
    <row r="611" spans="1:16" hidden="1" x14ac:dyDescent="0.25">
      <c r="A611" t="s">
        <v>8</v>
      </c>
      <c r="B611" s="4">
        <v>46168</v>
      </c>
      <c r="C611" t="s">
        <v>649</v>
      </c>
      <c r="D611">
        <v>62100</v>
      </c>
      <c r="E611" t="s">
        <v>42</v>
      </c>
      <c r="F611">
        <v>7339.75</v>
      </c>
      <c r="G611">
        <v>0</v>
      </c>
      <c r="H611">
        <v>60</v>
      </c>
      <c r="I611">
        <v>60</v>
      </c>
      <c r="J611">
        <v>60</v>
      </c>
      <c r="K611">
        <v>0</v>
      </c>
      <c r="L611">
        <v>0</v>
      </c>
      <c r="M611">
        <v>0</v>
      </c>
      <c r="N611">
        <v>7339.75</v>
      </c>
      <c r="O611">
        <v>6850.35</v>
      </c>
      <c r="P611" s="9">
        <v>46101.49763888889</v>
      </c>
    </row>
    <row r="612" spans="1:16" hidden="1" x14ac:dyDescent="0.25">
      <c r="A612" t="s">
        <v>8</v>
      </c>
      <c r="B612" s="4">
        <v>46168</v>
      </c>
      <c r="C612" t="s">
        <v>650</v>
      </c>
      <c r="D612">
        <v>62200</v>
      </c>
      <c r="E612" t="s">
        <v>40</v>
      </c>
      <c r="F612">
        <v>10.95</v>
      </c>
      <c r="G612">
        <v>2700</v>
      </c>
      <c r="H612">
        <v>2610</v>
      </c>
      <c r="I612">
        <v>2610</v>
      </c>
      <c r="J612">
        <v>2370</v>
      </c>
      <c r="K612">
        <v>13.35</v>
      </c>
      <c r="L612">
        <v>15.1</v>
      </c>
      <c r="M612">
        <v>10.3</v>
      </c>
      <c r="N612">
        <v>14.45</v>
      </c>
      <c r="O612">
        <v>10</v>
      </c>
      <c r="P612" s="9">
        <v>46147.642962962964</v>
      </c>
    </row>
    <row r="613" spans="1:16" hidden="1" x14ac:dyDescent="0.25">
      <c r="A613" t="s">
        <v>8</v>
      </c>
      <c r="B613" s="4">
        <v>46168</v>
      </c>
      <c r="C613" t="s">
        <v>651</v>
      </c>
      <c r="D613">
        <v>62200</v>
      </c>
      <c r="E613" t="s">
        <v>42</v>
      </c>
      <c r="F613">
        <v>7439.85</v>
      </c>
      <c r="G613">
        <v>0</v>
      </c>
      <c r="H613">
        <v>60</v>
      </c>
      <c r="I613">
        <v>60</v>
      </c>
      <c r="J613">
        <v>60</v>
      </c>
      <c r="K613">
        <v>0</v>
      </c>
      <c r="L613">
        <v>0</v>
      </c>
      <c r="M613">
        <v>0</v>
      </c>
      <c r="N613">
        <v>7439.85</v>
      </c>
      <c r="O613">
        <v>6946.95</v>
      </c>
      <c r="P613" s="9">
        <v>46101.498506944445</v>
      </c>
    </row>
    <row r="614" spans="1:16" hidden="1" x14ac:dyDescent="0.25">
      <c r="A614" t="s">
        <v>8</v>
      </c>
      <c r="B614" s="4">
        <v>46168</v>
      </c>
      <c r="C614" t="s">
        <v>652</v>
      </c>
      <c r="D614">
        <v>62300</v>
      </c>
      <c r="E614" t="s">
        <v>40</v>
      </c>
      <c r="F614">
        <v>10.65</v>
      </c>
      <c r="G614">
        <v>6480</v>
      </c>
      <c r="H614">
        <v>9870</v>
      </c>
      <c r="I614">
        <v>10050</v>
      </c>
      <c r="J614">
        <v>9810</v>
      </c>
      <c r="K614">
        <v>11</v>
      </c>
      <c r="L614">
        <v>13.65</v>
      </c>
      <c r="M614">
        <v>10.3</v>
      </c>
      <c r="N614">
        <v>14.05</v>
      </c>
      <c r="O614">
        <v>10.1</v>
      </c>
      <c r="P614" s="9">
        <v>46147.642696759256</v>
      </c>
    </row>
    <row r="615" spans="1:16" hidden="1" x14ac:dyDescent="0.25">
      <c r="A615" t="s">
        <v>8</v>
      </c>
      <c r="B615" s="4">
        <v>46168</v>
      </c>
      <c r="C615" t="s">
        <v>653</v>
      </c>
      <c r="D615">
        <v>62300</v>
      </c>
      <c r="E615" t="s">
        <v>42</v>
      </c>
      <c r="F615">
        <v>7536.9</v>
      </c>
      <c r="G615">
        <v>0</v>
      </c>
      <c r="H615">
        <v>60</v>
      </c>
      <c r="I615">
        <v>60</v>
      </c>
      <c r="J615">
        <v>60</v>
      </c>
      <c r="K615">
        <v>0</v>
      </c>
      <c r="L615">
        <v>0</v>
      </c>
      <c r="M615">
        <v>0</v>
      </c>
      <c r="N615">
        <v>7536.9</v>
      </c>
      <c r="O615">
        <v>7050.2</v>
      </c>
      <c r="P615" s="9">
        <v>46101.498553240737</v>
      </c>
    </row>
    <row r="616" spans="1:16" hidden="1" x14ac:dyDescent="0.25">
      <c r="A616" t="s">
        <v>8</v>
      </c>
      <c r="B616" s="4">
        <v>46168</v>
      </c>
      <c r="C616" t="s">
        <v>654</v>
      </c>
      <c r="D616">
        <v>62400</v>
      </c>
      <c r="E616" t="s">
        <v>40</v>
      </c>
      <c r="F616">
        <v>9.9499999999999993</v>
      </c>
      <c r="G616">
        <v>26550</v>
      </c>
      <c r="H616">
        <v>5700</v>
      </c>
      <c r="I616">
        <v>16530</v>
      </c>
      <c r="J616">
        <v>4440</v>
      </c>
      <c r="K616">
        <v>15.2</v>
      </c>
      <c r="L616">
        <v>15.2</v>
      </c>
      <c r="M616">
        <v>9.5500000000000007</v>
      </c>
      <c r="N616">
        <v>15.2</v>
      </c>
      <c r="O616">
        <v>9.5500000000000007</v>
      </c>
      <c r="P616" s="9">
        <v>46147.644768518519</v>
      </c>
    </row>
    <row r="617" spans="1:16" hidden="1" x14ac:dyDescent="0.25">
      <c r="A617" t="s">
        <v>8</v>
      </c>
      <c r="B617" s="4">
        <v>46168</v>
      </c>
      <c r="C617" t="s">
        <v>655</v>
      </c>
      <c r="D617">
        <v>62400</v>
      </c>
      <c r="E617" t="s">
        <v>42</v>
      </c>
      <c r="F617">
        <v>7634.05</v>
      </c>
      <c r="G617">
        <v>0</v>
      </c>
      <c r="H617">
        <v>60</v>
      </c>
      <c r="I617">
        <v>60</v>
      </c>
      <c r="J617">
        <v>60</v>
      </c>
      <c r="K617">
        <v>0</v>
      </c>
      <c r="L617">
        <v>0</v>
      </c>
      <c r="M617">
        <v>0</v>
      </c>
      <c r="N617">
        <v>7634.05</v>
      </c>
      <c r="O617">
        <v>6848.65</v>
      </c>
      <c r="P617" s="9">
        <v>46101.498553240737</v>
      </c>
    </row>
    <row r="618" spans="1:16" hidden="1" x14ac:dyDescent="0.25">
      <c r="A618" t="s">
        <v>8</v>
      </c>
      <c r="B618" s="4">
        <v>46168</v>
      </c>
      <c r="C618" t="s">
        <v>656</v>
      </c>
      <c r="D618">
        <v>62500</v>
      </c>
      <c r="E618" t="s">
        <v>40</v>
      </c>
      <c r="F618">
        <v>9.1999999999999993</v>
      </c>
      <c r="G618">
        <v>51300</v>
      </c>
      <c r="H618">
        <v>47970</v>
      </c>
      <c r="I618">
        <v>54030</v>
      </c>
      <c r="J618">
        <v>45480</v>
      </c>
      <c r="K618">
        <v>13</v>
      </c>
      <c r="L618">
        <v>13.4</v>
      </c>
      <c r="M618">
        <v>9.1999999999999993</v>
      </c>
      <c r="N618">
        <v>13</v>
      </c>
      <c r="O618">
        <v>9.1999999999999993</v>
      </c>
      <c r="P618" s="9">
        <v>46147.645578703705</v>
      </c>
    </row>
    <row r="619" spans="1:16" hidden="1" x14ac:dyDescent="0.25">
      <c r="A619" t="s">
        <v>8</v>
      </c>
      <c r="B619" s="4">
        <v>46168</v>
      </c>
      <c r="C619" t="s">
        <v>657</v>
      </c>
      <c r="D619">
        <v>62500</v>
      </c>
      <c r="E619" t="s">
        <v>42</v>
      </c>
      <c r="F619">
        <v>8000</v>
      </c>
      <c r="G619">
        <v>60</v>
      </c>
      <c r="H619">
        <v>2790</v>
      </c>
      <c r="I619">
        <v>2790</v>
      </c>
      <c r="J619">
        <v>2790</v>
      </c>
      <c r="K619">
        <v>8000</v>
      </c>
      <c r="L619">
        <v>8000</v>
      </c>
      <c r="M619">
        <v>8000</v>
      </c>
      <c r="N619">
        <v>7200</v>
      </c>
      <c r="O619">
        <v>7327.25</v>
      </c>
      <c r="P619" s="9">
        <v>46147.468645833331</v>
      </c>
    </row>
    <row r="620" spans="1:16" hidden="1" x14ac:dyDescent="0.25">
      <c r="A620" t="s">
        <v>8</v>
      </c>
      <c r="B620" s="4">
        <v>46168</v>
      </c>
      <c r="C620" t="s">
        <v>658</v>
      </c>
      <c r="D620">
        <v>62600</v>
      </c>
      <c r="E620" t="s">
        <v>40</v>
      </c>
      <c r="F620">
        <v>9.1999999999999993</v>
      </c>
      <c r="G620">
        <v>2670</v>
      </c>
      <c r="H620">
        <v>2670</v>
      </c>
      <c r="I620">
        <v>2670</v>
      </c>
      <c r="J620">
        <v>2400</v>
      </c>
      <c r="K620">
        <v>10.85</v>
      </c>
      <c r="L620">
        <v>12.15</v>
      </c>
      <c r="M620">
        <v>8.15</v>
      </c>
      <c r="N620">
        <v>13.05</v>
      </c>
      <c r="O620">
        <v>2.5</v>
      </c>
      <c r="P620" s="9">
        <v>46147.64266203704</v>
      </c>
    </row>
    <row r="621" spans="1:16" hidden="1" x14ac:dyDescent="0.25">
      <c r="A621" t="s">
        <v>8</v>
      </c>
      <c r="B621" s="4">
        <v>46168</v>
      </c>
      <c r="C621" t="s">
        <v>659</v>
      </c>
      <c r="D621">
        <v>62600</v>
      </c>
      <c r="E621" t="s">
        <v>42</v>
      </c>
      <c r="F621">
        <v>9296.1</v>
      </c>
      <c r="G621">
        <v>0</v>
      </c>
      <c r="H621">
        <v>60</v>
      </c>
      <c r="I621">
        <v>60</v>
      </c>
      <c r="J621">
        <v>60</v>
      </c>
      <c r="K621">
        <v>0</v>
      </c>
      <c r="L621">
        <v>0</v>
      </c>
      <c r="M621">
        <v>0</v>
      </c>
      <c r="N621">
        <v>9296.1</v>
      </c>
      <c r="O621">
        <v>7139.5</v>
      </c>
      <c r="P621" s="9">
        <v>46105.614583333336</v>
      </c>
    </row>
    <row r="622" spans="1:16" hidden="1" x14ac:dyDescent="0.25">
      <c r="A622" t="s">
        <v>8</v>
      </c>
      <c r="B622" s="4">
        <v>46168</v>
      </c>
      <c r="C622" t="s">
        <v>660</v>
      </c>
      <c r="D622">
        <v>62700</v>
      </c>
      <c r="E622" t="s">
        <v>40</v>
      </c>
      <c r="F622">
        <v>8.8000000000000007</v>
      </c>
      <c r="G622">
        <v>6300</v>
      </c>
      <c r="H622">
        <v>4770</v>
      </c>
      <c r="I622">
        <v>5880</v>
      </c>
      <c r="J622">
        <v>4740</v>
      </c>
      <c r="K622">
        <v>10.7</v>
      </c>
      <c r="L622">
        <v>12.95</v>
      </c>
      <c r="M622">
        <v>7.65</v>
      </c>
      <c r="N622">
        <v>12</v>
      </c>
      <c r="O622">
        <v>7.4</v>
      </c>
      <c r="P622" s="9">
        <v>46147.644641203704</v>
      </c>
    </row>
    <row r="623" spans="1:16" hidden="1" x14ac:dyDescent="0.25">
      <c r="A623" t="s">
        <v>8</v>
      </c>
      <c r="B623" s="4">
        <v>46168</v>
      </c>
      <c r="C623" t="s">
        <v>661</v>
      </c>
      <c r="D623">
        <v>62700</v>
      </c>
      <c r="E623" t="s">
        <v>42</v>
      </c>
      <c r="F623">
        <v>9390.5</v>
      </c>
      <c r="G623">
        <v>0</v>
      </c>
      <c r="H623">
        <v>60</v>
      </c>
      <c r="I623">
        <v>60</v>
      </c>
      <c r="J623">
        <v>60</v>
      </c>
      <c r="K623">
        <v>0</v>
      </c>
      <c r="L623">
        <v>0</v>
      </c>
      <c r="M623">
        <v>0</v>
      </c>
      <c r="N623">
        <v>9390.5</v>
      </c>
      <c r="O623">
        <v>7236.3</v>
      </c>
      <c r="P623" s="9">
        <v>46105.614583333336</v>
      </c>
    </row>
    <row r="624" spans="1:16" hidden="1" x14ac:dyDescent="0.25">
      <c r="A624" t="s">
        <v>8</v>
      </c>
      <c r="B624" s="4">
        <v>46168</v>
      </c>
      <c r="C624" t="s">
        <v>662</v>
      </c>
      <c r="D624">
        <v>62800</v>
      </c>
      <c r="E624" t="s">
        <v>40</v>
      </c>
      <c r="F624">
        <v>7.85</v>
      </c>
      <c r="G624">
        <v>6990</v>
      </c>
      <c r="H624">
        <v>2100</v>
      </c>
      <c r="I624">
        <v>4020</v>
      </c>
      <c r="J624">
        <v>2100</v>
      </c>
      <c r="K624">
        <v>12.4</v>
      </c>
      <c r="L624">
        <v>13.1</v>
      </c>
      <c r="M624">
        <v>7.4</v>
      </c>
      <c r="N624">
        <v>13.1</v>
      </c>
      <c r="O624">
        <v>2.5</v>
      </c>
      <c r="P624" s="9">
        <v>46147.645405092589</v>
      </c>
    </row>
    <row r="625" spans="1:16" hidden="1" x14ac:dyDescent="0.25">
      <c r="A625" t="s">
        <v>8</v>
      </c>
      <c r="B625" s="4">
        <v>46168</v>
      </c>
      <c r="C625" t="s">
        <v>663</v>
      </c>
      <c r="D625">
        <v>62800</v>
      </c>
      <c r="E625" t="s">
        <v>42</v>
      </c>
      <c r="F625">
        <v>9484.15</v>
      </c>
      <c r="G625">
        <v>0</v>
      </c>
      <c r="H625">
        <v>60</v>
      </c>
      <c r="I625">
        <v>60</v>
      </c>
      <c r="J625">
        <v>60</v>
      </c>
      <c r="K625">
        <v>0</v>
      </c>
      <c r="L625">
        <v>0</v>
      </c>
      <c r="M625">
        <v>0</v>
      </c>
      <c r="N625">
        <v>9484.15</v>
      </c>
      <c r="O625">
        <v>7350.75</v>
      </c>
      <c r="P625" s="9">
        <v>46105.614583333336</v>
      </c>
    </row>
    <row r="626" spans="1:16" hidden="1" x14ac:dyDescent="0.25">
      <c r="A626" t="s">
        <v>8</v>
      </c>
      <c r="B626" s="4">
        <v>46168</v>
      </c>
      <c r="C626" t="s">
        <v>664</v>
      </c>
      <c r="D626">
        <v>62900</v>
      </c>
      <c r="E626" t="s">
        <v>40</v>
      </c>
      <c r="F626">
        <v>8.35</v>
      </c>
      <c r="G626">
        <v>1740</v>
      </c>
      <c r="H626">
        <v>1770</v>
      </c>
      <c r="I626">
        <v>2070</v>
      </c>
      <c r="J626">
        <v>1740</v>
      </c>
      <c r="K626">
        <v>9.9</v>
      </c>
      <c r="L626">
        <v>10</v>
      </c>
      <c r="M626">
        <v>8.35</v>
      </c>
      <c r="N626">
        <v>11.6</v>
      </c>
      <c r="O626">
        <v>6.9</v>
      </c>
      <c r="P626" s="9">
        <v>46147.6328587963</v>
      </c>
    </row>
    <row r="627" spans="1:16" hidden="1" x14ac:dyDescent="0.25">
      <c r="A627" t="s">
        <v>8</v>
      </c>
      <c r="B627" s="4">
        <v>46168</v>
      </c>
      <c r="C627" t="s">
        <v>665</v>
      </c>
      <c r="D627">
        <v>62900</v>
      </c>
      <c r="E627" t="s">
        <v>42</v>
      </c>
      <c r="F627">
        <v>6473.5</v>
      </c>
      <c r="G627">
        <v>0</v>
      </c>
      <c r="H627">
        <v>30</v>
      </c>
      <c r="I627">
        <v>30</v>
      </c>
      <c r="J627">
        <v>30</v>
      </c>
      <c r="K627">
        <v>0</v>
      </c>
      <c r="L627">
        <v>0</v>
      </c>
      <c r="M627">
        <v>0</v>
      </c>
      <c r="N627">
        <v>6473.5</v>
      </c>
      <c r="O627">
        <v>7138.75</v>
      </c>
      <c r="P627" s="9">
        <v>46128.642951388887</v>
      </c>
    </row>
    <row r="628" spans="1:16" hidden="1" x14ac:dyDescent="0.25">
      <c r="A628" t="s">
        <v>8</v>
      </c>
      <c r="B628" s="4">
        <v>46168</v>
      </c>
      <c r="C628" t="s">
        <v>666</v>
      </c>
      <c r="D628">
        <v>63000</v>
      </c>
      <c r="E628" t="s">
        <v>40</v>
      </c>
      <c r="F628">
        <v>8.4</v>
      </c>
      <c r="G628">
        <v>209310</v>
      </c>
      <c r="H628">
        <v>171270</v>
      </c>
      <c r="I628">
        <v>182430</v>
      </c>
      <c r="J628">
        <v>150000</v>
      </c>
      <c r="K628">
        <v>10.75</v>
      </c>
      <c r="L628">
        <v>10.75</v>
      </c>
      <c r="M628">
        <v>7.5</v>
      </c>
      <c r="N628">
        <v>10.6</v>
      </c>
      <c r="O628">
        <v>7.4</v>
      </c>
      <c r="P628" s="9">
        <v>46147.645798611113</v>
      </c>
    </row>
    <row r="629" spans="1:16" hidden="1" x14ac:dyDescent="0.25">
      <c r="A629" t="s">
        <v>8</v>
      </c>
      <c r="B629" s="4">
        <v>46168</v>
      </c>
      <c r="C629" t="s">
        <v>667</v>
      </c>
      <c r="D629">
        <v>63000</v>
      </c>
      <c r="E629" t="s">
        <v>42</v>
      </c>
      <c r="F629">
        <v>8060.25</v>
      </c>
      <c r="G629">
        <v>2160</v>
      </c>
      <c r="H629">
        <v>44370</v>
      </c>
      <c r="I629">
        <v>46200</v>
      </c>
      <c r="J629">
        <v>44370</v>
      </c>
      <c r="K629">
        <v>8250</v>
      </c>
      <c r="L629">
        <v>8419.15</v>
      </c>
      <c r="M629">
        <v>7945</v>
      </c>
      <c r="N629">
        <v>7150</v>
      </c>
      <c r="O629">
        <v>8114.05</v>
      </c>
      <c r="P629" s="9">
        <v>46147.637245370373</v>
      </c>
    </row>
    <row r="630" spans="1:16" hidden="1" x14ac:dyDescent="0.25">
      <c r="A630" t="s">
        <v>8</v>
      </c>
      <c r="B630" s="4">
        <v>46168</v>
      </c>
      <c r="C630" t="s">
        <v>668</v>
      </c>
      <c r="D630">
        <v>63100</v>
      </c>
      <c r="E630" t="s">
        <v>40</v>
      </c>
      <c r="F630">
        <v>8</v>
      </c>
      <c r="G630">
        <v>7440</v>
      </c>
      <c r="H630">
        <v>3600</v>
      </c>
      <c r="I630">
        <v>3720</v>
      </c>
      <c r="J630">
        <v>2550</v>
      </c>
      <c r="K630">
        <v>10.4</v>
      </c>
      <c r="L630">
        <v>10.95</v>
      </c>
      <c r="M630">
        <v>7.75</v>
      </c>
      <c r="N630">
        <v>10.4</v>
      </c>
      <c r="O630">
        <v>2.5</v>
      </c>
      <c r="P630" s="9">
        <v>46147.644444444442</v>
      </c>
    </row>
    <row r="631" spans="1:16" hidden="1" x14ac:dyDescent="0.25">
      <c r="A631" t="s">
        <v>8</v>
      </c>
      <c r="B631" s="4">
        <v>46168</v>
      </c>
      <c r="C631" t="s">
        <v>669</v>
      </c>
      <c r="D631">
        <v>63100</v>
      </c>
      <c r="E631" t="s">
        <v>42</v>
      </c>
      <c r="F631">
        <v>6570</v>
      </c>
      <c r="G631">
        <v>0</v>
      </c>
      <c r="H631">
        <v>90</v>
      </c>
      <c r="I631">
        <v>90</v>
      </c>
      <c r="J631">
        <v>90</v>
      </c>
      <c r="K631">
        <v>0</v>
      </c>
      <c r="L631">
        <v>0</v>
      </c>
      <c r="M631">
        <v>0</v>
      </c>
      <c r="N631">
        <v>6570</v>
      </c>
      <c r="O631">
        <v>7550.2</v>
      </c>
      <c r="P631" s="9">
        <v>46139.404826388891</v>
      </c>
    </row>
    <row r="632" spans="1:16" hidden="1" x14ac:dyDescent="0.25">
      <c r="A632" t="s">
        <v>8</v>
      </c>
      <c r="B632" s="4">
        <v>46168</v>
      </c>
      <c r="C632" t="s">
        <v>670</v>
      </c>
      <c r="D632">
        <v>63200</v>
      </c>
      <c r="E632" t="s">
        <v>40</v>
      </c>
      <c r="F632">
        <v>7.9</v>
      </c>
      <c r="G632">
        <v>14340</v>
      </c>
      <c r="H632">
        <v>13530</v>
      </c>
      <c r="I632">
        <v>13530</v>
      </c>
      <c r="J632">
        <v>10740</v>
      </c>
      <c r="K632">
        <v>8.9</v>
      </c>
      <c r="L632">
        <v>10.25</v>
      </c>
      <c r="M632">
        <v>7.4</v>
      </c>
      <c r="N632">
        <v>10.55</v>
      </c>
      <c r="O632">
        <v>2.5</v>
      </c>
      <c r="P632" s="9">
        <v>46147.644444444442</v>
      </c>
    </row>
    <row r="633" spans="1:16" hidden="1" x14ac:dyDescent="0.25">
      <c r="A633" t="s">
        <v>8</v>
      </c>
      <c r="B633" s="4">
        <v>46168</v>
      </c>
      <c r="C633" t="s">
        <v>671</v>
      </c>
      <c r="D633">
        <v>63200</v>
      </c>
      <c r="E633" t="s">
        <v>42</v>
      </c>
      <c r="F633">
        <v>9865.35</v>
      </c>
      <c r="G633">
        <v>0</v>
      </c>
      <c r="H633">
        <v>60</v>
      </c>
      <c r="I633">
        <v>60</v>
      </c>
      <c r="J633">
        <v>60</v>
      </c>
      <c r="K633">
        <v>0</v>
      </c>
      <c r="L633">
        <v>0</v>
      </c>
      <c r="M633">
        <v>0</v>
      </c>
      <c r="N633">
        <v>9865.35</v>
      </c>
      <c r="O633">
        <v>7639.4</v>
      </c>
      <c r="P633" s="9">
        <v>46105.614594907405</v>
      </c>
    </row>
    <row r="634" spans="1:16" hidden="1" x14ac:dyDescent="0.25">
      <c r="A634" t="s">
        <v>8</v>
      </c>
      <c r="B634" s="4">
        <v>46168</v>
      </c>
      <c r="C634" t="s">
        <v>672</v>
      </c>
      <c r="D634">
        <v>63300</v>
      </c>
      <c r="E634" t="s">
        <v>40</v>
      </c>
      <c r="F634">
        <v>7.3</v>
      </c>
      <c r="G634">
        <v>1170</v>
      </c>
      <c r="H634">
        <v>1050</v>
      </c>
      <c r="I634">
        <v>1050</v>
      </c>
      <c r="J634">
        <v>930</v>
      </c>
      <c r="K634">
        <v>9</v>
      </c>
      <c r="L634">
        <v>9.35</v>
      </c>
      <c r="M634">
        <v>7.3</v>
      </c>
      <c r="N634">
        <v>10.6</v>
      </c>
      <c r="O634">
        <v>5.75</v>
      </c>
      <c r="P634" s="9">
        <v>46147.636307870373</v>
      </c>
    </row>
    <row r="635" spans="1:16" hidden="1" x14ac:dyDescent="0.25">
      <c r="A635" t="s">
        <v>8</v>
      </c>
      <c r="B635" s="4">
        <v>46168</v>
      </c>
      <c r="C635" t="s">
        <v>673</v>
      </c>
      <c r="D635">
        <v>63300</v>
      </c>
      <c r="E635" t="s">
        <v>42</v>
      </c>
      <c r="F635">
        <v>9961</v>
      </c>
      <c r="G635">
        <v>0</v>
      </c>
      <c r="H635">
        <v>30</v>
      </c>
      <c r="I635">
        <v>30</v>
      </c>
      <c r="J635">
        <v>30</v>
      </c>
      <c r="K635">
        <v>0</v>
      </c>
      <c r="L635">
        <v>0</v>
      </c>
      <c r="M635">
        <v>0</v>
      </c>
      <c r="N635">
        <v>9961</v>
      </c>
      <c r="O635">
        <v>7726.25</v>
      </c>
      <c r="P635" s="9">
        <v>46105.614583333336</v>
      </c>
    </row>
    <row r="636" spans="1:16" hidden="1" x14ac:dyDescent="0.25">
      <c r="A636" t="s">
        <v>8</v>
      </c>
      <c r="B636" s="4">
        <v>46168</v>
      </c>
      <c r="C636" t="s">
        <v>674</v>
      </c>
      <c r="D636">
        <v>63400</v>
      </c>
      <c r="E636" t="s">
        <v>40</v>
      </c>
      <c r="F636">
        <v>7.45</v>
      </c>
      <c r="G636">
        <v>3390</v>
      </c>
      <c r="H636">
        <v>2130</v>
      </c>
      <c r="I636">
        <v>2700</v>
      </c>
      <c r="J636">
        <v>2010</v>
      </c>
      <c r="K636">
        <v>7.6</v>
      </c>
      <c r="L636">
        <v>9.4</v>
      </c>
      <c r="M636">
        <v>6.35</v>
      </c>
      <c r="N636">
        <v>9.4499999999999993</v>
      </c>
      <c r="O636">
        <v>6.1</v>
      </c>
      <c r="P636" s="9">
        <v>46147.643495370372</v>
      </c>
    </row>
    <row r="637" spans="1:16" hidden="1" x14ac:dyDescent="0.25">
      <c r="A637" t="s">
        <v>8</v>
      </c>
      <c r="B637" s="4">
        <v>46168</v>
      </c>
      <c r="C637" t="s">
        <v>675</v>
      </c>
      <c r="D637">
        <v>63400</v>
      </c>
      <c r="E637" t="s">
        <v>42</v>
      </c>
      <c r="F637">
        <v>10056.450000000001</v>
      </c>
      <c r="G637">
        <v>0</v>
      </c>
      <c r="H637">
        <v>30</v>
      </c>
      <c r="I637">
        <v>30</v>
      </c>
      <c r="J637">
        <v>30</v>
      </c>
      <c r="K637">
        <v>0</v>
      </c>
      <c r="L637">
        <v>0</v>
      </c>
      <c r="M637">
        <v>0</v>
      </c>
      <c r="N637">
        <v>10056.450000000001</v>
      </c>
      <c r="O637">
        <v>7824.3</v>
      </c>
      <c r="P637" s="9">
        <v>46105.614583333336</v>
      </c>
    </row>
    <row r="638" spans="1:16" hidden="1" x14ac:dyDescent="0.25">
      <c r="A638" t="s">
        <v>8</v>
      </c>
      <c r="B638" s="4">
        <v>46168</v>
      </c>
      <c r="C638" t="s">
        <v>676</v>
      </c>
      <c r="D638">
        <v>63500</v>
      </c>
      <c r="E638" t="s">
        <v>40</v>
      </c>
      <c r="F638">
        <v>6.35</v>
      </c>
      <c r="G638">
        <v>11100</v>
      </c>
      <c r="H638">
        <v>17190</v>
      </c>
      <c r="I638">
        <v>18090</v>
      </c>
      <c r="J638">
        <v>16350</v>
      </c>
      <c r="K638">
        <v>7.4</v>
      </c>
      <c r="L638">
        <v>8.9</v>
      </c>
      <c r="M638">
        <v>6.35</v>
      </c>
      <c r="N638">
        <v>9.25</v>
      </c>
      <c r="O638">
        <v>6.35</v>
      </c>
      <c r="P638" s="9">
        <v>46147.644849537035</v>
      </c>
    </row>
    <row r="639" spans="1:16" hidden="1" x14ac:dyDescent="0.25">
      <c r="A639" t="s">
        <v>8</v>
      </c>
      <c r="B639" s="4">
        <v>46168</v>
      </c>
      <c r="C639" t="s">
        <v>677</v>
      </c>
      <c r="D639">
        <v>63500</v>
      </c>
      <c r="E639" t="s">
        <v>42</v>
      </c>
      <c r="F639">
        <v>7069.55</v>
      </c>
      <c r="G639">
        <v>0</v>
      </c>
      <c r="H639">
        <v>60</v>
      </c>
      <c r="I639">
        <v>60</v>
      </c>
      <c r="J639">
        <v>60</v>
      </c>
      <c r="K639">
        <v>0</v>
      </c>
      <c r="L639">
        <v>0</v>
      </c>
      <c r="M639">
        <v>0</v>
      </c>
      <c r="N639">
        <v>7069.55</v>
      </c>
      <c r="O639">
        <v>7913.2</v>
      </c>
      <c r="P639" s="9">
        <v>46128.642974537041</v>
      </c>
    </row>
    <row r="640" spans="1:16" hidden="1" x14ac:dyDescent="0.25">
      <c r="A640" t="s">
        <v>8</v>
      </c>
      <c r="B640" s="4">
        <v>46168</v>
      </c>
      <c r="C640" t="s">
        <v>678</v>
      </c>
      <c r="D640">
        <v>63600</v>
      </c>
      <c r="E640" t="s">
        <v>40</v>
      </c>
      <c r="F640">
        <v>6</v>
      </c>
      <c r="G640">
        <v>1170</v>
      </c>
      <c r="H640">
        <v>2850</v>
      </c>
      <c r="I640">
        <v>2940</v>
      </c>
      <c r="J640">
        <v>2820</v>
      </c>
      <c r="K640">
        <v>8</v>
      </c>
      <c r="L640">
        <v>8.4</v>
      </c>
      <c r="M640">
        <v>6</v>
      </c>
      <c r="N640">
        <v>9.3000000000000007</v>
      </c>
      <c r="O640">
        <v>6</v>
      </c>
      <c r="P640" s="9">
        <v>46147.640150462961</v>
      </c>
    </row>
    <row r="641" spans="1:16" hidden="1" x14ac:dyDescent="0.25">
      <c r="A641" t="s">
        <v>8</v>
      </c>
      <c r="B641" s="4">
        <v>46168</v>
      </c>
      <c r="C641" t="s">
        <v>679</v>
      </c>
      <c r="D641">
        <v>63600</v>
      </c>
      <c r="E641" t="s">
        <v>42</v>
      </c>
      <c r="F641">
        <v>10249.1</v>
      </c>
      <c r="G641">
        <v>0</v>
      </c>
      <c r="H641">
        <v>30</v>
      </c>
      <c r="I641">
        <v>30</v>
      </c>
      <c r="J641">
        <v>30</v>
      </c>
      <c r="K641">
        <v>0</v>
      </c>
      <c r="L641">
        <v>0</v>
      </c>
      <c r="M641">
        <v>0</v>
      </c>
      <c r="N641">
        <v>10249.1</v>
      </c>
      <c r="O641">
        <v>7970.7</v>
      </c>
      <c r="P641" s="9">
        <v>46105.614583333336</v>
      </c>
    </row>
    <row r="642" spans="1:16" hidden="1" x14ac:dyDescent="0.25">
      <c r="A642" t="s">
        <v>8</v>
      </c>
      <c r="B642" s="4">
        <v>46168</v>
      </c>
      <c r="C642" t="s">
        <v>680</v>
      </c>
      <c r="D642">
        <v>63700</v>
      </c>
      <c r="E642" t="s">
        <v>40</v>
      </c>
      <c r="F642">
        <v>6.7</v>
      </c>
      <c r="G642">
        <v>300</v>
      </c>
      <c r="H642">
        <v>540</v>
      </c>
      <c r="I642">
        <v>570</v>
      </c>
      <c r="J642">
        <v>510</v>
      </c>
      <c r="K642">
        <v>8</v>
      </c>
      <c r="L642">
        <v>8</v>
      </c>
      <c r="M642">
        <v>6.5</v>
      </c>
      <c r="N642">
        <v>8.65</v>
      </c>
      <c r="O642">
        <v>2.5</v>
      </c>
      <c r="P642" s="9">
        <v>46147.612314814818</v>
      </c>
    </row>
    <row r="643" spans="1:16" hidden="1" x14ac:dyDescent="0.25">
      <c r="A643" t="s">
        <v>8</v>
      </c>
      <c r="B643" s="4">
        <v>46168</v>
      </c>
      <c r="C643" t="s">
        <v>681</v>
      </c>
      <c r="D643">
        <v>63700</v>
      </c>
      <c r="E643" t="s">
        <v>42</v>
      </c>
      <c r="F643">
        <v>10342.9</v>
      </c>
      <c r="G643">
        <v>0</v>
      </c>
      <c r="H643">
        <v>30</v>
      </c>
      <c r="I643">
        <v>30</v>
      </c>
      <c r="J643">
        <v>30</v>
      </c>
      <c r="K643">
        <v>0</v>
      </c>
      <c r="L643">
        <v>0</v>
      </c>
      <c r="M643">
        <v>0</v>
      </c>
      <c r="N643">
        <v>10342.9</v>
      </c>
      <c r="O643">
        <v>8073.8</v>
      </c>
      <c r="P643" s="9">
        <v>46105.614583333336</v>
      </c>
    </row>
    <row r="644" spans="1:16" hidden="1" x14ac:dyDescent="0.25">
      <c r="A644" t="s">
        <v>8</v>
      </c>
      <c r="B644" s="4">
        <v>46168</v>
      </c>
      <c r="C644" t="s">
        <v>682</v>
      </c>
      <c r="D644">
        <v>63800</v>
      </c>
      <c r="E644" t="s">
        <v>40</v>
      </c>
      <c r="F644">
        <v>5.45</v>
      </c>
      <c r="G644">
        <v>1800</v>
      </c>
      <c r="H644">
        <v>1770</v>
      </c>
      <c r="I644">
        <v>1920</v>
      </c>
      <c r="J644">
        <v>1740</v>
      </c>
      <c r="K644">
        <v>8.4499999999999993</v>
      </c>
      <c r="L644">
        <v>8.4499999999999993</v>
      </c>
      <c r="M644">
        <v>4.95</v>
      </c>
      <c r="N644">
        <v>8.4499999999999993</v>
      </c>
      <c r="O644">
        <v>2.5</v>
      </c>
      <c r="P644" s="9">
        <v>46147.644062500003</v>
      </c>
    </row>
    <row r="645" spans="1:16" hidden="1" x14ac:dyDescent="0.25">
      <c r="A645" t="s">
        <v>8</v>
      </c>
      <c r="B645" s="4">
        <v>46168</v>
      </c>
      <c r="C645" t="s">
        <v>683</v>
      </c>
      <c r="D645">
        <v>63800</v>
      </c>
      <c r="E645" t="s">
        <v>42</v>
      </c>
      <c r="F645">
        <v>10438.4</v>
      </c>
      <c r="G645">
        <v>0</v>
      </c>
      <c r="H645">
        <v>30</v>
      </c>
      <c r="I645">
        <v>30</v>
      </c>
      <c r="J645">
        <v>30</v>
      </c>
      <c r="K645">
        <v>0</v>
      </c>
      <c r="L645">
        <v>0</v>
      </c>
      <c r="M645">
        <v>0</v>
      </c>
      <c r="N645">
        <v>10438.4</v>
      </c>
      <c r="O645">
        <v>8144.35</v>
      </c>
      <c r="P645" s="9">
        <v>46105.614583333336</v>
      </c>
    </row>
    <row r="646" spans="1:16" hidden="1" x14ac:dyDescent="0.25">
      <c r="A646" t="s">
        <v>8</v>
      </c>
      <c r="B646" s="4">
        <v>46168</v>
      </c>
      <c r="C646" t="s">
        <v>684</v>
      </c>
      <c r="D646">
        <v>63900</v>
      </c>
      <c r="E646" t="s">
        <v>40</v>
      </c>
      <c r="F646">
        <v>6.2</v>
      </c>
      <c r="G646">
        <v>660</v>
      </c>
      <c r="H646">
        <v>1230</v>
      </c>
      <c r="I646">
        <v>1230</v>
      </c>
      <c r="J646">
        <v>1200</v>
      </c>
      <c r="K646">
        <v>7.5</v>
      </c>
      <c r="L646">
        <v>7.5</v>
      </c>
      <c r="M646">
        <v>5.8</v>
      </c>
      <c r="N646">
        <v>8.35</v>
      </c>
      <c r="O646">
        <v>4.9000000000000004</v>
      </c>
      <c r="P646" s="9">
        <v>46147.612187500003</v>
      </c>
    </row>
    <row r="647" spans="1:16" hidden="1" x14ac:dyDescent="0.25">
      <c r="A647" t="s">
        <v>8</v>
      </c>
      <c r="B647" s="4">
        <v>46168</v>
      </c>
      <c r="C647" t="s">
        <v>685</v>
      </c>
      <c r="D647">
        <v>63900</v>
      </c>
      <c r="E647" t="s">
        <v>42</v>
      </c>
      <c r="F647">
        <v>10549.5</v>
      </c>
      <c r="G647">
        <v>0</v>
      </c>
      <c r="H647">
        <v>30</v>
      </c>
      <c r="I647">
        <v>30</v>
      </c>
      <c r="J647">
        <v>30</v>
      </c>
      <c r="K647">
        <v>0</v>
      </c>
      <c r="L647">
        <v>0</v>
      </c>
      <c r="M647">
        <v>0</v>
      </c>
      <c r="N647">
        <v>10549.5</v>
      </c>
      <c r="O647">
        <v>8256.7999999999993</v>
      </c>
      <c r="P647" s="9">
        <v>46105.614583333336</v>
      </c>
    </row>
    <row r="648" spans="1:16" hidden="1" x14ac:dyDescent="0.25">
      <c r="A648" t="s">
        <v>8</v>
      </c>
      <c r="B648" s="4">
        <v>46168</v>
      </c>
      <c r="C648" t="s">
        <v>686</v>
      </c>
      <c r="D648">
        <v>64000</v>
      </c>
      <c r="E648" t="s">
        <v>40</v>
      </c>
      <c r="F648">
        <v>4.75</v>
      </c>
      <c r="G648">
        <v>92460</v>
      </c>
      <c r="H648">
        <v>136260</v>
      </c>
      <c r="I648">
        <v>136260</v>
      </c>
      <c r="J648">
        <v>95040</v>
      </c>
      <c r="K648">
        <v>7.2</v>
      </c>
      <c r="L648">
        <v>7.5</v>
      </c>
      <c r="M648">
        <v>4.75</v>
      </c>
      <c r="N648">
        <v>7.6</v>
      </c>
      <c r="O648">
        <v>4.75</v>
      </c>
      <c r="P648" s="9">
        <v>46147.645740740743</v>
      </c>
    </row>
    <row r="649" spans="1:16" hidden="1" x14ac:dyDescent="0.25">
      <c r="A649" t="s">
        <v>8</v>
      </c>
      <c r="B649" s="4">
        <v>46168</v>
      </c>
      <c r="C649" t="s">
        <v>687</v>
      </c>
      <c r="D649">
        <v>64000</v>
      </c>
      <c r="E649" t="s">
        <v>42</v>
      </c>
      <c r="F649">
        <v>8123.4</v>
      </c>
      <c r="G649">
        <v>0</v>
      </c>
      <c r="H649">
        <v>25860</v>
      </c>
      <c r="I649">
        <v>25860</v>
      </c>
      <c r="J649">
        <v>25860</v>
      </c>
      <c r="K649">
        <v>0</v>
      </c>
      <c r="L649">
        <v>0</v>
      </c>
      <c r="M649">
        <v>0</v>
      </c>
      <c r="N649">
        <v>8123.4</v>
      </c>
      <c r="O649">
        <v>9029.5</v>
      </c>
      <c r="P649" s="9">
        <v>46140.642361111109</v>
      </c>
    </row>
    <row r="650" spans="1:16" hidden="1" x14ac:dyDescent="0.25">
      <c r="A650" t="s">
        <v>8</v>
      </c>
      <c r="B650" s="4">
        <v>46168</v>
      </c>
      <c r="C650" t="s">
        <v>688</v>
      </c>
      <c r="D650">
        <v>64100</v>
      </c>
      <c r="E650" t="s">
        <v>40</v>
      </c>
      <c r="F650">
        <v>5.2</v>
      </c>
      <c r="G650">
        <v>1620</v>
      </c>
      <c r="H650">
        <v>450</v>
      </c>
      <c r="I650">
        <v>780</v>
      </c>
      <c r="J650">
        <v>450</v>
      </c>
      <c r="K650">
        <v>7.15</v>
      </c>
      <c r="L650">
        <v>7.15</v>
      </c>
      <c r="M650">
        <v>4.3499999999999996</v>
      </c>
      <c r="N650">
        <v>7.25</v>
      </c>
      <c r="O650">
        <v>4.3499999999999996</v>
      </c>
      <c r="P650" s="9">
        <v>46147.643310185187</v>
      </c>
    </row>
    <row r="651" spans="1:16" hidden="1" x14ac:dyDescent="0.25">
      <c r="A651" t="s">
        <v>8</v>
      </c>
      <c r="B651" s="4">
        <v>46168</v>
      </c>
      <c r="C651" t="s">
        <v>689</v>
      </c>
      <c r="D651">
        <v>64100</v>
      </c>
      <c r="E651" t="s">
        <v>42</v>
      </c>
      <c r="F651">
        <v>10727.5</v>
      </c>
      <c r="G651">
        <v>0</v>
      </c>
      <c r="H651">
        <v>30</v>
      </c>
      <c r="I651">
        <v>30</v>
      </c>
      <c r="J651">
        <v>30</v>
      </c>
      <c r="K651">
        <v>0</v>
      </c>
      <c r="L651">
        <v>0</v>
      </c>
      <c r="M651">
        <v>0</v>
      </c>
      <c r="N651">
        <v>10727.5</v>
      </c>
      <c r="O651">
        <v>8403.7999999999993</v>
      </c>
      <c r="P651" s="9">
        <v>46105.614583333336</v>
      </c>
    </row>
    <row r="652" spans="1:16" hidden="1" x14ac:dyDescent="0.25">
      <c r="A652" t="s">
        <v>8</v>
      </c>
      <c r="B652" s="4">
        <v>46168</v>
      </c>
      <c r="C652" t="s">
        <v>690</v>
      </c>
      <c r="D652">
        <v>64200</v>
      </c>
      <c r="E652" t="s">
        <v>40</v>
      </c>
      <c r="F652">
        <v>4.95</v>
      </c>
      <c r="G652">
        <v>3240</v>
      </c>
      <c r="H652">
        <v>7950</v>
      </c>
      <c r="I652">
        <v>7950</v>
      </c>
      <c r="J652">
        <v>6780</v>
      </c>
      <c r="K652">
        <v>5.55</v>
      </c>
      <c r="L652">
        <v>7.4</v>
      </c>
      <c r="M652">
        <v>4.95</v>
      </c>
      <c r="N652">
        <v>7.55</v>
      </c>
      <c r="O652">
        <v>4.95</v>
      </c>
      <c r="P652" s="9">
        <v>46147.64435185185</v>
      </c>
    </row>
    <row r="653" spans="1:16" hidden="1" x14ac:dyDescent="0.25">
      <c r="A653" t="s">
        <v>8</v>
      </c>
      <c r="B653" s="4">
        <v>46168</v>
      </c>
      <c r="C653" t="s">
        <v>691</v>
      </c>
      <c r="D653">
        <v>64200</v>
      </c>
      <c r="E653" t="s">
        <v>42</v>
      </c>
      <c r="F653">
        <v>10822.75</v>
      </c>
      <c r="G653">
        <v>0</v>
      </c>
      <c r="H653">
        <v>30</v>
      </c>
      <c r="I653">
        <v>30</v>
      </c>
      <c r="J653">
        <v>30</v>
      </c>
      <c r="K653">
        <v>0</v>
      </c>
      <c r="L653">
        <v>0</v>
      </c>
      <c r="M653">
        <v>0</v>
      </c>
      <c r="N653">
        <v>10822.75</v>
      </c>
      <c r="O653">
        <v>8546.0499999999993</v>
      </c>
      <c r="P653" s="9">
        <v>46105.614583333336</v>
      </c>
    </row>
    <row r="654" spans="1:16" hidden="1" x14ac:dyDescent="0.25">
      <c r="A654" t="s">
        <v>8</v>
      </c>
      <c r="B654" s="4">
        <v>46168</v>
      </c>
      <c r="C654" t="s">
        <v>692</v>
      </c>
      <c r="D654">
        <v>64300</v>
      </c>
      <c r="E654" t="s">
        <v>40</v>
      </c>
      <c r="F654">
        <v>4.5</v>
      </c>
      <c r="G654">
        <v>1560</v>
      </c>
      <c r="H654">
        <v>360</v>
      </c>
      <c r="I654">
        <v>420</v>
      </c>
      <c r="J654">
        <v>270</v>
      </c>
      <c r="K654">
        <v>5.85</v>
      </c>
      <c r="L654">
        <v>7.25</v>
      </c>
      <c r="M654">
        <v>4.05</v>
      </c>
      <c r="N654">
        <v>6.9</v>
      </c>
      <c r="O654">
        <v>3.8</v>
      </c>
      <c r="P654" s="9">
        <v>46147.643854166665</v>
      </c>
    </row>
    <row r="655" spans="1:16" hidden="1" x14ac:dyDescent="0.25">
      <c r="A655" t="s">
        <v>8</v>
      </c>
      <c r="B655" s="4">
        <v>46168</v>
      </c>
      <c r="C655" t="s">
        <v>693</v>
      </c>
      <c r="D655">
        <v>64300</v>
      </c>
      <c r="E655" t="s">
        <v>42</v>
      </c>
      <c r="F655">
        <v>10935.2</v>
      </c>
      <c r="G655">
        <v>0</v>
      </c>
      <c r="H655">
        <v>30</v>
      </c>
      <c r="I655">
        <v>30</v>
      </c>
      <c r="J655">
        <v>30</v>
      </c>
      <c r="K655">
        <v>0</v>
      </c>
      <c r="L655">
        <v>0</v>
      </c>
      <c r="M655">
        <v>0</v>
      </c>
      <c r="N655">
        <v>10935.2</v>
      </c>
      <c r="O655">
        <v>8632.0499999999993</v>
      </c>
      <c r="P655" s="9">
        <v>46105.614583333336</v>
      </c>
    </row>
    <row r="656" spans="1:16" hidden="1" x14ac:dyDescent="0.25">
      <c r="A656" t="s">
        <v>8</v>
      </c>
      <c r="B656" s="4">
        <v>46168</v>
      </c>
      <c r="C656" t="s">
        <v>694</v>
      </c>
      <c r="D656">
        <v>64400</v>
      </c>
      <c r="E656" t="s">
        <v>40</v>
      </c>
      <c r="F656">
        <v>4.5</v>
      </c>
      <c r="G656">
        <v>6810</v>
      </c>
      <c r="H656">
        <v>4770</v>
      </c>
      <c r="I656">
        <v>4770</v>
      </c>
      <c r="J656">
        <v>2310</v>
      </c>
      <c r="K656">
        <v>5.8</v>
      </c>
      <c r="L656">
        <v>6.75</v>
      </c>
      <c r="M656">
        <v>4.0999999999999996</v>
      </c>
      <c r="N656">
        <v>7.25</v>
      </c>
      <c r="O656">
        <v>4.0999999999999996</v>
      </c>
      <c r="P656" s="9">
        <v>46147.644108796296</v>
      </c>
    </row>
    <row r="657" spans="1:16" hidden="1" x14ac:dyDescent="0.25">
      <c r="A657" t="s">
        <v>8</v>
      </c>
      <c r="B657" s="4">
        <v>46168</v>
      </c>
      <c r="C657" t="s">
        <v>695</v>
      </c>
      <c r="D657">
        <v>64400</v>
      </c>
      <c r="E657" t="s">
        <v>42</v>
      </c>
      <c r="F657">
        <v>7000.05</v>
      </c>
      <c r="G657">
        <v>0</v>
      </c>
      <c r="H657">
        <v>120</v>
      </c>
      <c r="I657">
        <v>120</v>
      </c>
      <c r="J657">
        <v>120</v>
      </c>
      <c r="K657">
        <v>0</v>
      </c>
      <c r="L657">
        <v>0</v>
      </c>
      <c r="M657">
        <v>0</v>
      </c>
      <c r="N657">
        <v>7000.05</v>
      </c>
      <c r="O657">
        <v>8694.7999999999993</v>
      </c>
      <c r="P657" s="9">
        <v>46132.404328703706</v>
      </c>
    </row>
    <row r="658" spans="1:16" hidden="1" x14ac:dyDescent="0.25">
      <c r="A658" t="s">
        <v>8</v>
      </c>
      <c r="B658" s="4">
        <v>46168</v>
      </c>
      <c r="C658" t="s">
        <v>696</v>
      </c>
      <c r="D658">
        <v>64500</v>
      </c>
      <c r="E658" t="s">
        <v>40</v>
      </c>
      <c r="F658">
        <v>4.6500000000000004</v>
      </c>
      <c r="G658">
        <v>63630</v>
      </c>
      <c r="H658">
        <v>39930</v>
      </c>
      <c r="I658">
        <v>41760</v>
      </c>
      <c r="J658">
        <v>34980</v>
      </c>
      <c r="K658">
        <v>5.9</v>
      </c>
      <c r="L658">
        <v>6.8</v>
      </c>
      <c r="M658">
        <v>4.2</v>
      </c>
      <c r="N658">
        <v>7.1</v>
      </c>
      <c r="O658">
        <v>4.25</v>
      </c>
      <c r="P658" s="9">
        <v>46147.645509259259</v>
      </c>
    </row>
    <row r="659" spans="1:16" hidden="1" x14ac:dyDescent="0.25">
      <c r="A659" t="s">
        <v>8</v>
      </c>
      <c r="B659" s="4">
        <v>46168</v>
      </c>
      <c r="C659" t="s">
        <v>697</v>
      </c>
      <c r="D659">
        <v>64500</v>
      </c>
      <c r="E659" t="s">
        <v>42</v>
      </c>
      <c r="F659">
        <v>11127.6</v>
      </c>
      <c r="G659">
        <v>0</v>
      </c>
      <c r="H659">
        <v>30</v>
      </c>
      <c r="I659">
        <v>30</v>
      </c>
      <c r="J659">
        <v>30</v>
      </c>
      <c r="K659">
        <v>0</v>
      </c>
      <c r="L659">
        <v>0</v>
      </c>
      <c r="M659">
        <v>0</v>
      </c>
      <c r="N659">
        <v>11127.6</v>
      </c>
      <c r="O659">
        <v>8832.5499999999993</v>
      </c>
      <c r="P659" s="9">
        <v>46105.614583333336</v>
      </c>
    </row>
    <row r="660" spans="1:16" hidden="1" x14ac:dyDescent="0.25">
      <c r="A660" t="s">
        <v>8</v>
      </c>
      <c r="B660" s="4">
        <v>46168</v>
      </c>
      <c r="C660" t="s">
        <v>698</v>
      </c>
      <c r="D660">
        <v>64600</v>
      </c>
      <c r="E660" t="s">
        <v>40</v>
      </c>
      <c r="F660">
        <v>4.4000000000000004</v>
      </c>
      <c r="G660">
        <v>2970</v>
      </c>
      <c r="H660">
        <v>540</v>
      </c>
      <c r="I660">
        <v>1050</v>
      </c>
      <c r="J660">
        <v>540</v>
      </c>
      <c r="K660">
        <v>7.3</v>
      </c>
      <c r="L660">
        <v>7.3</v>
      </c>
      <c r="M660">
        <v>4.2</v>
      </c>
      <c r="N660">
        <v>6.45</v>
      </c>
      <c r="O660">
        <v>4.2</v>
      </c>
      <c r="P660" s="9">
        <v>46147.640567129631</v>
      </c>
    </row>
    <row r="661" spans="1:16" hidden="1" x14ac:dyDescent="0.25">
      <c r="A661" t="s">
        <v>8</v>
      </c>
      <c r="B661" s="4">
        <v>46168</v>
      </c>
      <c r="C661" t="s">
        <v>699</v>
      </c>
      <c r="D661">
        <v>64600</v>
      </c>
      <c r="E661" t="s">
        <v>42</v>
      </c>
      <c r="F661">
        <v>11223.95</v>
      </c>
      <c r="G661">
        <v>0</v>
      </c>
      <c r="H661">
        <v>30</v>
      </c>
      <c r="I661">
        <v>30</v>
      </c>
      <c r="J661">
        <v>30</v>
      </c>
      <c r="K661">
        <v>0</v>
      </c>
      <c r="L661">
        <v>0</v>
      </c>
      <c r="M661">
        <v>0</v>
      </c>
      <c r="N661">
        <v>11223.95</v>
      </c>
      <c r="O661">
        <v>8869.4</v>
      </c>
      <c r="P661" s="9">
        <v>46105.614583333336</v>
      </c>
    </row>
    <row r="662" spans="1:16" hidden="1" x14ac:dyDescent="0.25">
      <c r="A662" t="s">
        <v>8</v>
      </c>
      <c r="B662" s="4">
        <v>46168</v>
      </c>
      <c r="C662" t="s">
        <v>700</v>
      </c>
      <c r="D662">
        <v>64700</v>
      </c>
      <c r="E662" t="s">
        <v>40</v>
      </c>
      <c r="F662">
        <v>3.7</v>
      </c>
      <c r="G662">
        <v>2400</v>
      </c>
      <c r="H662">
        <v>2070</v>
      </c>
      <c r="I662">
        <v>2310</v>
      </c>
      <c r="J662">
        <v>2070</v>
      </c>
      <c r="K662">
        <v>5.6</v>
      </c>
      <c r="L662">
        <v>6</v>
      </c>
      <c r="M662">
        <v>3.7</v>
      </c>
      <c r="N662">
        <v>6.4</v>
      </c>
      <c r="O662">
        <v>3.7</v>
      </c>
      <c r="P662" s="9">
        <v>46147.645277777781</v>
      </c>
    </row>
    <row r="663" spans="1:16" hidden="1" x14ac:dyDescent="0.25">
      <c r="A663" t="s">
        <v>8</v>
      </c>
      <c r="B663" s="4">
        <v>46168</v>
      </c>
      <c r="C663" t="s">
        <v>701</v>
      </c>
      <c r="D663">
        <v>64700</v>
      </c>
      <c r="E663" t="s">
        <v>42</v>
      </c>
      <c r="F663">
        <v>11320.55</v>
      </c>
      <c r="G663">
        <v>0</v>
      </c>
      <c r="H663">
        <v>30</v>
      </c>
      <c r="I663">
        <v>30</v>
      </c>
      <c r="J663">
        <v>30</v>
      </c>
      <c r="K663">
        <v>0</v>
      </c>
      <c r="L663">
        <v>0</v>
      </c>
      <c r="M663">
        <v>0</v>
      </c>
      <c r="N663">
        <v>11320.55</v>
      </c>
      <c r="O663">
        <v>8941.9</v>
      </c>
      <c r="P663" s="9">
        <v>46105.614583333336</v>
      </c>
    </row>
    <row r="664" spans="1:16" hidden="1" x14ac:dyDescent="0.25">
      <c r="A664" t="s">
        <v>8</v>
      </c>
      <c r="B664" s="4">
        <v>46168</v>
      </c>
      <c r="C664" t="s">
        <v>702</v>
      </c>
      <c r="D664">
        <v>64800</v>
      </c>
      <c r="E664" t="s">
        <v>40</v>
      </c>
      <c r="F664">
        <v>4</v>
      </c>
      <c r="G664">
        <v>1680</v>
      </c>
      <c r="H664">
        <v>1170</v>
      </c>
      <c r="I664">
        <v>1170</v>
      </c>
      <c r="J664">
        <v>750</v>
      </c>
      <c r="K664">
        <v>6.1</v>
      </c>
      <c r="L664">
        <v>6.5</v>
      </c>
      <c r="M664">
        <v>3.65</v>
      </c>
      <c r="N664">
        <v>5.95</v>
      </c>
      <c r="O664">
        <v>1.5</v>
      </c>
      <c r="P664" s="9">
        <v>46147.644085648149</v>
      </c>
    </row>
    <row r="665" spans="1:16" hidden="1" x14ac:dyDescent="0.25">
      <c r="A665" t="s">
        <v>8</v>
      </c>
      <c r="B665" s="4">
        <v>46168</v>
      </c>
      <c r="C665" t="s">
        <v>703</v>
      </c>
      <c r="D665">
        <v>64800</v>
      </c>
      <c r="E665" t="s">
        <v>42</v>
      </c>
      <c r="F665">
        <v>11417.5</v>
      </c>
      <c r="G665">
        <v>0</v>
      </c>
      <c r="H665">
        <v>600</v>
      </c>
      <c r="I665">
        <v>600</v>
      </c>
      <c r="J665">
        <v>600</v>
      </c>
      <c r="K665">
        <v>0</v>
      </c>
      <c r="L665">
        <v>0</v>
      </c>
      <c r="M665">
        <v>0</v>
      </c>
      <c r="N665">
        <v>11417.5</v>
      </c>
      <c r="O665">
        <v>9117.2999999999993</v>
      </c>
      <c r="P665" s="9">
        <v>46105.614583333336</v>
      </c>
    </row>
    <row r="666" spans="1:16" hidden="1" x14ac:dyDescent="0.25">
      <c r="A666" t="s">
        <v>8</v>
      </c>
      <c r="B666" s="4">
        <v>46168</v>
      </c>
      <c r="C666" t="s">
        <v>704</v>
      </c>
      <c r="D666">
        <v>64900</v>
      </c>
      <c r="E666" t="s">
        <v>40</v>
      </c>
      <c r="F666">
        <v>3.7</v>
      </c>
      <c r="G666">
        <v>5520</v>
      </c>
      <c r="H666">
        <v>3000</v>
      </c>
      <c r="I666">
        <v>3000</v>
      </c>
      <c r="J666">
        <v>900</v>
      </c>
      <c r="K666">
        <v>4.5999999999999996</v>
      </c>
      <c r="L666">
        <v>6</v>
      </c>
      <c r="M666">
        <v>3.7</v>
      </c>
      <c r="N666">
        <v>6.6</v>
      </c>
      <c r="O666">
        <v>1.5</v>
      </c>
      <c r="P666" s="9">
        <v>46147.645219907405</v>
      </c>
    </row>
    <row r="667" spans="1:16" hidden="1" x14ac:dyDescent="0.25">
      <c r="A667" t="s">
        <v>8</v>
      </c>
      <c r="B667" s="4">
        <v>46168</v>
      </c>
      <c r="C667" t="s">
        <v>705</v>
      </c>
      <c r="D667">
        <v>64900</v>
      </c>
      <c r="E667" t="s">
        <v>42</v>
      </c>
      <c r="F667">
        <v>11514.05</v>
      </c>
      <c r="G667">
        <v>0</v>
      </c>
      <c r="H667">
        <v>600</v>
      </c>
      <c r="I667">
        <v>600</v>
      </c>
      <c r="J667">
        <v>600</v>
      </c>
      <c r="K667">
        <v>0</v>
      </c>
      <c r="L667">
        <v>0</v>
      </c>
      <c r="M667">
        <v>0</v>
      </c>
      <c r="N667">
        <v>11514.05</v>
      </c>
      <c r="O667">
        <v>9258.85</v>
      </c>
      <c r="P667" s="9">
        <v>46105.614583333336</v>
      </c>
    </row>
    <row r="668" spans="1:16" hidden="1" x14ac:dyDescent="0.25">
      <c r="A668" t="s">
        <v>8</v>
      </c>
      <c r="B668" s="4">
        <v>46168</v>
      </c>
      <c r="C668" t="s">
        <v>706</v>
      </c>
      <c r="D668">
        <v>65000</v>
      </c>
      <c r="E668" t="s">
        <v>40</v>
      </c>
      <c r="F668">
        <v>4.2</v>
      </c>
      <c r="G668">
        <v>54090</v>
      </c>
      <c r="H668">
        <v>135660</v>
      </c>
      <c r="I668">
        <v>140100</v>
      </c>
      <c r="J668">
        <v>132240</v>
      </c>
      <c r="K668">
        <v>5.65</v>
      </c>
      <c r="L668">
        <v>5.7</v>
      </c>
      <c r="M668">
        <v>4.2</v>
      </c>
      <c r="N668">
        <v>5.75</v>
      </c>
      <c r="O668">
        <v>4.2</v>
      </c>
      <c r="P668" s="9">
        <v>46147.645509259259</v>
      </c>
    </row>
    <row r="669" spans="1:16" hidden="1" x14ac:dyDescent="0.25">
      <c r="A669" t="s">
        <v>8</v>
      </c>
      <c r="B669" s="4">
        <v>46168</v>
      </c>
      <c r="C669" t="s">
        <v>707</v>
      </c>
      <c r="D669">
        <v>65000</v>
      </c>
      <c r="E669" t="s">
        <v>42</v>
      </c>
      <c r="F669">
        <v>9865.4</v>
      </c>
      <c r="G669">
        <v>1530</v>
      </c>
      <c r="H669">
        <v>63060</v>
      </c>
      <c r="I669">
        <v>63930</v>
      </c>
      <c r="J669">
        <v>63060</v>
      </c>
      <c r="K669">
        <v>10400</v>
      </c>
      <c r="L669">
        <v>10400</v>
      </c>
      <c r="M669">
        <v>9854.4</v>
      </c>
      <c r="N669">
        <v>9758.9</v>
      </c>
      <c r="O669">
        <v>10096.450000000001</v>
      </c>
      <c r="P669" s="9">
        <v>46147.573240740741</v>
      </c>
    </row>
    <row r="670" spans="1:16" hidden="1" x14ac:dyDescent="0.25">
      <c r="A670" t="s">
        <v>8</v>
      </c>
      <c r="B670" s="4">
        <v>46168</v>
      </c>
      <c r="C670" t="s">
        <v>708</v>
      </c>
      <c r="D670">
        <v>65100</v>
      </c>
      <c r="E670" t="s">
        <v>40</v>
      </c>
      <c r="F670">
        <v>3.4</v>
      </c>
      <c r="G670">
        <v>3210</v>
      </c>
      <c r="H670">
        <v>1680</v>
      </c>
      <c r="I670">
        <v>2040</v>
      </c>
      <c r="J670">
        <v>1470</v>
      </c>
      <c r="K670">
        <v>5.9</v>
      </c>
      <c r="L670">
        <v>6.2</v>
      </c>
      <c r="M670">
        <v>3.35</v>
      </c>
      <c r="N670">
        <v>5.9</v>
      </c>
      <c r="O670">
        <v>3.35</v>
      </c>
      <c r="P670" s="9">
        <v>46147.645277777781</v>
      </c>
    </row>
    <row r="671" spans="1:16" hidden="1" x14ac:dyDescent="0.25">
      <c r="A671" t="s">
        <v>8</v>
      </c>
      <c r="B671" s="4">
        <v>46168</v>
      </c>
      <c r="C671" t="s">
        <v>709</v>
      </c>
      <c r="D671">
        <v>65100</v>
      </c>
      <c r="E671" t="s">
        <v>42</v>
      </c>
      <c r="F671">
        <v>10464.85</v>
      </c>
      <c r="G671">
        <v>0</v>
      </c>
      <c r="H671">
        <v>600</v>
      </c>
      <c r="I671">
        <v>600</v>
      </c>
      <c r="J671">
        <v>600</v>
      </c>
      <c r="K671">
        <v>0</v>
      </c>
      <c r="L671">
        <v>0</v>
      </c>
      <c r="M671">
        <v>0</v>
      </c>
      <c r="N671">
        <v>10464.85</v>
      </c>
      <c r="O671">
        <v>9386.9500000000007</v>
      </c>
      <c r="P671" s="9">
        <v>46106.614594907405</v>
      </c>
    </row>
    <row r="672" spans="1:16" hidden="1" x14ac:dyDescent="0.25">
      <c r="A672" t="s">
        <v>8</v>
      </c>
      <c r="B672" s="4">
        <v>46168</v>
      </c>
      <c r="C672" t="s">
        <v>710</v>
      </c>
      <c r="D672">
        <v>65200</v>
      </c>
      <c r="E672" t="s">
        <v>40</v>
      </c>
      <c r="F672">
        <v>3.45</v>
      </c>
      <c r="G672">
        <v>12090</v>
      </c>
      <c r="H672">
        <v>9990</v>
      </c>
      <c r="I672">
        <v>10500</v>
      </c>
      <c r="J672">
        <v>4590</v>
      </c>
      <c r="K672">
        <v>6.75</v>
      </c>
      <c r="L672">
        <v>9</v>
      </c>
      <c r="M672">
        <v>3.45</v>
      </c>
      <c r="N672">
        <v>5.8</v>
      </c>
      <c r="O672">
        <v>3.35</v>
      </c>
      <c r="P672" s="9">
        <v>46147.644444444442</v>
      </c>
    </row>
    <row r="673" spans="1:16" hidden="1" x14ac:dyDescent="0.25">
      <c r="A673" t="s">
        <v>8</v>
      </c>
      <c r="B673" s="4">
        <v>46168</v>
      </c>
      <c r="C673" t="s">
        <v>711</v>
      </c>
      <c r="D673">
        <v>65200</v>
      </c>
      <c r="E673" t="s">
        <v>42</v>
      </c>
      <c r="F673">
        <v>10572.45</v>
      </c>
      <c r="G673">
        <v>0</v>
      </c>
      <c r="H673">
        <v>600</v>
      </c>
      <c r="I673">
        <v>600</v>
      </c>
      <c r="J673">
        <v>600</v>
      </c>
      <c r="K673">
        <v>0</v>
      </c>
      <c r="L673">
        <v>0</v>
      </c>
      <c r="M673">
        <v>0</v>
      </c>
      <c r="N673">
        <v>10572.45</v>
      </c>
      <c r="O673">
        <v>9501.5499999999993</v>
      </c>
      <c r="P673" s="9">
        <v>46106.614583333336</v>
      </c>
    </row>
    <row r="674" spans="1:16" hidden="1" x14ac:dyDescent="0.25">
      <c r="A674" t="s">
        <v>8</v>
      </c>
      <c r="B674" s="4">
        <v>46168</v>
      </c>
      <c r="C674" t="s">
        <v>712</v>
      </c>
      <c r="D674">
        <v>65300</v>
      </c>
      <c r="E674" t="s">
        <v>40</v>
      </c>
      <c r="F674">
        <v>5.55</v>
      </c>
      <c r="G674">
        <v>660</v>
      </c>
      <c r="H674">
        <v>1200</v>
      </c>
      <c r="I674">
        <v>1200</v>
      </c>
      <c r="J674">
        <v>1200</v>
      </c>
      <c r="K674">
        <v>5.55</v>
      </c>
      <c r="L674">
        <v>6.4</v>
      </c>
      <c r="M674">
        <v>4.5</v>
      </c>
      <c r="N674">
        <v>5.5</v>
      </c>
      <c r="O674">
        <v>3.35</v>
      </c>
      <c r="P674" s="9">
        <v>46147.615543981483</v>
      </c>
    </row>
    <row r="675" spans="1:16" hidden="1" x14ac:dyDescent="0.25">
      <c r="A675" t="s">
        <v>8</v>
      </c>
      <c r="B675" s="4">
        <v>46168</v>
      </c>
      <c r="C675" t="s">
        <v>713</v>
      </c>
      <c r="D675">
        <v>65300</v>
      </c>
      <c r="E675" t="s">
        <v>42</v>
      </c>
      <c r="F675">
        <v>7350</v>
      </c>
      <c r="G675">
        <v>0</v>
      </c>
      <c r="H675">
        <v>510</v>
      </c>
      <c r="I675">
        <v>510</v>
      </c>
      <c r="J675">
        <v>510</v>
      </c>
      <c r="K675">
        <v>0</v>
      </c>
      <c r="L675">
        <v>0</v>
      </c>
      <c r="M675">
        <v>0</v>
      </c>
      <c r="N675">
        <v>7350</v>
      </c>
      <c r="O675">
        <v>9569.2999999999993</v>
      </c>
      <c r="P675" s="9">
        <v>46134.442395833335</v>
      </c>
    </row>
    <row r="676" spans="1:16" hidden="1" x14ac:dyDescent="0.25">
      <c r="A676" t="s">
        <v>8</v>
      </c>
      <c r="B676" s="4">
        <v>46168</v>
      </c>
      <c r="C676" t="s">
        <v>714</v>
      </c>
      <c r="D676">
        <v>65400</v>
      </c>
      <c r="E676" t="s">
        <v>40</v>
      </c>
      <c r="F676">
        <v>5.15</v>
      </c>
      <c r="G676">
        <v>1980</v>
      </c>
      <c r="H676">
        <v>570</v>
      </c>
      <c r="I676">
        <v>690</v>
      </c>
      <c r="J676">
        <v>570</v>
      </c>
      <c r="K676">
        <v>5.25</v>
      </c>
      <c r="L676">
        <v>5.5</v>
      </c>
      <c r="M676">
        <v>4.05</v>
      </c>
      <c r="N676">
        <v>5.35</v>
      </c>
      <c r="O676">
        <v>3.35</v>
      </c>
      <c r="P676" s="9">
        <v>46147.604641203703</v>
      </c>
    </row>
    <row r="677" spans="1:16" hidden="1" x14ac:dyDescent="0.25">
      <c r="A677" t="s">
        <v>8</v>
      </c>
      <c r="B677" s="4">
        <v>46168</v>
      </c>
      <c r="C677" t="s">
        <v>715</v>
      </c>
      <c r="D677">
        <v>65400</v>
      </c>
      <c r="E677" t="s">
        <v>42</v>
      </c>
      <c r="F677">
        <v>10104.75</v>
      </c>
      <c r="G677">
        <v>0</v>
      </c>
      <c r="H677">
        <v>570</v>
      </c>
      <c r="I677">
        <v>570</v>
      </c>
      <c r="J677">
        <v>570</v>
      </c>
      <c r="K677">
        <v>0</v>
      </c>
      <c r="L677">
        <v>0</v>
      </c>
      <c r="M677">
        <v>0</v>
      </c>
      <c r="N677">
        <v>10104.75</v>
      </c>
      <c r="O677">
        <v>9660.7999999999993</v>
      </c>
      <c r="P677" s="9">
        <v>46125.439340277779</v>
      </c>
    </row>
    <row r="678" spans="1:16" hidden="1" x14ac:dyDescent="0.25">
      <c r="A678" t="s">
        <v>8</v>
      </c>
      <c r="B678" s="4">
        <v>46168</v>
      </c>
      <c r="C678" t="s">
        <v>716</v>
      </c>
      <c r="D678">
        <v>65500</v>
      </c>
      <c r="E678" t="s">
        <v>40</v>
      </c>
      <c r="F678">
        <v>4</v>
      </c>
      <c r="G678">
        <v>1650</v>
      </c>
      <c r="H678">
        <v>5760</v>
      </c>
      <c r="I678">
        <v>5760</v>
      </c>
      <c r="J678">
        <v>5370</v>
      </c>
      <c r="K678">
        <v>4.05</v>
      </c>
      <c r="L678">
        <v>5</v>
      </c>
      <c r="M678">
        <v>4</v>
      </c>
      <c r="N678">
        <v>5.35</v>
      </c>
      <c r="O678">
        <v>3.7</v>
      </c>
      <c r="P678" s="9">
        <v>46147.625034722223</v>
      </c>
    </row>
    <row r="679" spans="1:16" hidden="1" x14ac:dyDescent="0.25">
      <c r="A679" t="s">
        <v>8</v>
      </c>
      <c r="B679" s="4">
        <v>46168</v>
      </c>
      <c r="C679" t="s">
        <v>717</v>
      </c>
      <c r="D679">
        <v>65500</v>
      </c>
      <c r="E679" t="s">
        <v>42</v>
      </c>
      <c r="F679">
        <v>10851.45</v>
      </c>
      <c r="G679">
        <v>0</v>
      </c>
      <c r="H679">
        <v>600</v>
      </c>
      <c r="I679">
        <v>600</v>
      </c>
      <c r="J679">
        <v>600</v>
      </c>
      <c r="K679">
        <v>0</v>
      </c>
      <c r="L679">
        <v>0</v>
      </c>
      <c r="M679">
        <v>0</v>
      </c>
      <c r="N679">
        <v>10851.45</v>
      </c>
      <c r="O679">
        <v>9761.5499999999993</v>
      </c>
      <c r="P679" s="9">
        <v>46106.614594907405</v>
      </c>
    </row>
    <row r="680" spans="1:16" hidden="1" x14ac:dyDescent="0.25">
      <c r="A680" t="s">
        <v>8</v>
      </c>
      <c r="B680" s="4">
        <v>46168</v>
      </c>
      <c r="C680" t="s">
        <v>718</v>
      </c>
      <c r="D680">
        <v>65600</v>
      </c>
      <c r="E680" t="s">
        <v>40</v>
      </c>
      <c r="F680">
        <v>6</v>
      </c>
      <c r="G680">
        <v>0</v>
      </c>
      <c r="H680">
        <v>420</v>
      </c>
      <c r="I680">
        <v>420</v>
      </c>
      <c r="J680">
        <v>420</v>
      </c>
      <c r="K680">
        <v>0</v>
      </c>
      <c r="L680">
        <v>0</v>
      </c>
      <c r="M680">
        <v>0</v>
      </c>
      <c r="N680">
        <v>6</v>
      </c>
      <c r="O680">
        <v>3.4</v>
      </c>
      <c r="P680" s="9">
        <v>46141.613020833334</v>
      </c>
    </row>
    <row r="681" spans="1:16" hidden="1" x14ac:dyDescent="0.25">
      <c r="A681" t="s">
        <v>8</v>
      </c>
      <c r="B681" s="4">
        <v>46168</v>
      </c>
      <c r="C681" t="s">
        <v>719</v>
      </c>
      <c r="D681">
        <v>65600</v>
      </c>
      <c r="E681" t="s">
        <v>42</v>
      </c>
      <c r="F681">
        <v>10948.45</v>
      </c>
      <c r="G681">
        <v>0</v>
      </c>
      <c r="H681">
        <v>600</v>
      </c>
      <c r="I681">
        <v>600</v>
      </c>
      <c r="J681">
        <v>600</v>
      </c>
      <c r="K681">
        <v>0</v>
      </c>
      <c r="L681">
        <v>0</v>
      </c>
      <c r="M681">
        <v>0</v>
      </c>
      <c r="N681">
        <v>10948.45</v>
      </c>
      <c r="O681">
        <v>9773.15</v>
      </c>
      <c r="P681" s="9">
        <v>46106.614594907405</v>
      </c>
    </row>
    <row r="682" spans="1:16" hidden="1" x14ac:dyDescent="0.25">
      <c r="A682" t="s">
        <v>8</v>
      </c>
      <c r="B682" s="4">
        <v>46168</v>
      </c>
      <c r="C682" t="s">
        <v>720</v>
      </c>
      <c r="D682">
        <v>65700</v>
      </c>
      <c r="E682" t="s">
        <v>40</v>
      </c>
      <c r="F682">
        <v>4.5</v>
      </c>
      <c r="G682">
        <v>120</v>
      </c>
      <c r="H682">
        <v>480</v>
      </c>
      <c r="I682">
        <v>480</v>
      </c>
      <c r="J682">
        <v>480</v>
      </c>
      <c r="K682">
        <v>5.15</v>
      </c>
      <c r="L682">
        <v>5.15</v>
      </c>
      <c r="M682">
        <v>3.4</v>
      </c>
      <c r="N682">
        <v>5.15</v>
      </c>
      <c r="O682">
        <v>3.35</v>
      </c>
      <c r="P682" s="9">
        <v>46147.581712962965</v>
      </c>
    </row>
    <row r="683" spans="1:16" hidden="1" x14ac:dyDescent="0.25">
      <c r="A683" t="s">
        <v>8</v>
      </c>
      <c r="B683" s="4">
        <v>46168</v>
      </c>
      <c r="C683" t="s">
        <v>721</v>
      </c>
      <c r="D683">
        <v>65700</v>
      </c>
      <c r="E683" t="s">
        <v>42</v>
      </c>
      <c r="F683">
        <v>11045.75</v>
      </c>
      <c r="G683">
        <v>0</v>
      </c>
      <c r="H683">
        <v>600</v>
      </c>
      <c r="I683">
        <v>600</v>
      </c>
      <c r="J683">
        <v>600</v>
      </c>
      <c r="K683">
        <v>0</v>
      </c>
      <c r="L683">
        <v>0</v>
      </c>
      <c r="M683">
        <v>0</v>
      </c>
      <c r="N683">
        <v>11045.75</v>
      </c>
      <c r="O683">
        <v>9900.0499999999993</v>
      </c>
      <c r="P683" s="9">
        <v>46106.614594907405</v>
      </c>
    </row>
    <row r="684" spans="1:16" hidden="1" x14ac:dyDescent="0.25">
      <c r="A684" t="s">
        <v>8</v>
      </c>
      <c r="B684" s="4">
        <v>46168</v>
      </c>
      <c r="C684" t="s">
        <v>722</v>
      </c>
      <c r="D684">
        <v>65800</v>
      </c>
      <c r="E684" t="s">
        <v>40</v>
      </c>
      <c r="F684">
        <v>3.65</v>
      </c>
      <c r="G684">
        <v>420</v>
      </c>
      <c r="H684">
        <v>4350</v>
      </c>
      <c r="I684">
        <v>4410</v>
      </c>
      <c r="J684">
        <v>4350</v>
      </c>
      <c r="K684">
        <v>4.75</v>
      </c>
      <c r="L684">
        <v>4.75</v>
      </c>
      <c r="M684">
        <v>3.55</v>
      </c>
      <c r="N684">
        <v>4.75</v>
      </c>
      <c r="O684">
        <v>3.5</v>
      </c>
      <c r="P684" s="9">
        <v>46147.635405092595</v>
      </c>
    </row>
    <row r="685" spans="1:16" hidden="1" x14ac:dyDescent="0.25">
      <c r="A685" t="s">
        <v>8</v>
      </c>
      <c r="B685" s="4">
        <v>46168</v>
      </c>
      <c r="C685" t="s">
        <v>723</v>
      </c>
      <c r="D685">
        <v>65800</v>
      </c>
      <c r="E685" t="s">
        <v>42</v>
      </c>
      <c r="F685">
        <v>11153.9</v>
      </c>
      <c r="G685">
        <v>0</v>
      </c>
      <c r="H685">
        <v>600</v>
      </c>
      <c r="I685">
        <v>600</v>
      </c>
      <c r="J685">
        <v>600</v>
      </c>
      <c r="K685">
        <v>0</v>
      </c>
      <c r="L685">
        <v>0</v>
      </c>
      <c r="M685">
        <v>0</v>
      </c>
      <c r="N685">
        <v>11153.9</v>
      </c>
      <c r="O685">
        <v>10029.549999999999</v>
      </c>
      <c r="P685" s="9">
        <v>46106.614583333336</v>
      </c>
    </row>
    <row r="686" spans="1:16" hidden="1" x14ac:dyDescent="0.25">
      <c r="A686" t="s">
        <v>8</v>
      </c>
      <c r="B686" s="4">
        <v>46168</v>
      </c>
      <c r="C686" t="s">
        <v>724</v>
      </c>
      <c r="D686">
        <v>65900</v>
      </c>
      <c r="E686" t="s">
        <v>40</v>
      </c>
      <c r="F686">
        <v>4.05</v>
      </c>
      <c r="G686">
        <v>420</v>
      </c>
      <c r="H686">
        <v>1350</v>
      </c>
      <c r="I686">
        <v>1410</v>
      </c>
      <c r="J686">
        <v>1320</v>
      </c>
      <c r="K686">
        <v>5.3</v>
      </c>
      <c r="L686">
        <v>5.3</v>
      </c>
      <c r="M686">
        <v>4.05</v>
      </c>
      <c r="N686">
        <v>5.0999999999999996</v>
      </c>
      <c r="O686">
        <v>2.65</v>
      </c>
      <c r="P686" s="9">
        <v>46147.627615740741</v>
      </c>
    </row>
    <row r="687" spans="1:16" hidden="1" x14ac:dyDescent="0.25">
      <c r="A687" t="s">
        <v>8</v>
      </c>
      <c r="B687" s="4">
        <v>46168</v>
      </c>
      <c r="C687" t="s">
        <v>725</v>
      </c>
      <c r="D687">
        <v>65900</v>
      </c>
      <c r="E687" t="s">
        <v>42</v>
      </c>
      <c r="F687">
        <v>11256</v>
      </c>
      <c r="G687">
        <v>0</v>
      </c>
      <c r="H687">
        <v>600</v>
      </c>
      <c r="I687">
        <v>600</v>
      </c>
      <c r="J687">
        <v>600</v>
      </c>
      <c r="K687">
        <v>0</v>
      </c>
      <c r="L687">
        <v>0</v>
      </c>
      <c r="M687">
        <v>0</v>
      </c>
      <c r="N687">
        <v>11256</v>
      </c>
      <c r="O687">
        <v>9987.6</v>
      </c>
      <c r="P687" s="9">
        <v>46106.614583333336</v>
      </c>
    </row>
    <row r="688" spans="1:16" hidden="1" x14ac:dyDescent="0.25">
      <c r="A688" t="s">
        <v>8</v>
      </c>
      <c r="B688" s="4">
        <v>46168</v>
      </c>
      <c r="C688" t="s">
        <v>726</v>
      </c>
      <c r="D688">
        <v>66000</v>
      </c>
      <c r="E688" t="s">
        <v>40</v>
      </c>
      <c r="F688">
        <v>3.35</v>
      </c>
      <c r="G688">
        <v>20130</v>
      </c>
      <c r="H688">
        <v>72600</v>
      </c>
      <c r="I688">
        <v>78000</v>
      </c>
      <c r="J688">
        <v>72600</v>
      </c>
      <c r="K688">
        <v>4.7</v>
      </c>
      <c r="L688">
        <v>4.7</v>
      </c>
      <c r="M688">
        <v>3.35</v>
      </c>
      <c r="N688">
        <v>4.5</v>
      </c>
      <c r="O688">
        <v>3.35</v>
      </c>
      <c r="P688" s="9">
        <v>46147.644479166665</v>
      </c>
    </row>
    <row r="689" spans="1:16" hidden="1" x14ac:dyDescent="0.25">
      <c r="A689" t="s">
        <v>8</v>
      </c>
      <c r="B689" s="4">
        <v>46168</v>
      </c>
      <c r="C689" t="s">
        <v>727</v>
      </c>
      <c r="D689">
        <v>66000</v>
      </c>
      <c r="E689" t="s">
        <v>42</v>
      </c>
      <c r="F689">
        <v>11050</v>
      </c>
      <c r="G689">
        <v>30</v>
      </c>
      <c r="H689">
        <v>24870</v>
      </c>
      <c r="I689">
        <v>24870</v>
      </c>
      <c r="J689">
        <v>24870</v>
      </c>
      <c r="K689">
        <v>11050</v>
      </c>
      <c r="L689">
        <v>11050</v>
      </c>
      <c r="M689">
        <v>11050</v>
      </c>
      <c r="N689">
        <v>10708.7</v>
      </c>
      <c r="O689">
        <v>11058.3</v>
      </c>
      <c r="P689" s="9">
        <v>46147.6405787037</v>
      </c>
    </row>
    <row r="690" spans="1:16" hidden="1" x14ac:dyDescent="0.25">
      <c r="A690" t="s">
        <v>8</v>
      </c>
      <c r="B690" s="4">
        <v>46168</v>
      </c>
      <c r="C690" t="s">
        <v>728</v>
      </c>
      <c r="D690">
        <v>66100</v>
      </c>
      <c r="E690" t="s">
        <v>40</v>
      </c>
      <c r="F690">
        <v>4.5</v>
      </c>
      <c r="G690">
        <v>0</v>
      </c>
      <c r="H690">
        <v>270</v>
      </c>
      <c r="I690">
        <v>270</v>
      </c>
      <c r="J690">
        <v>270</v>
      </c>
      <c r="K690">
        <v>0</v>
      </c>
      <c r="L690">
        <v>0</v>
      </c>
      <c r="M690">
        <v>0</v>
      </c>
      <c r="N690">
        <v>4.5</v>
      </c>
      <c r="O690">
        <v>1.5</v>
      </c>
      <c r="P690" s="9">
        <v>46146.572245370371</v>
      </c>
    </row>
    <row r="691" spans="1:16" hidden="1" x14ac:dyDescent="0.25">
      <c r="A691" t="s">
        <v>8</v>
      </c>
      <c r="B691" s="4">
        <v>46168</v>
      </c>
      <c r="C691" t="s">
        <v>729</v>
      </c>
      <c r="D691">
        <v>66100</v>
      </c>
      <c r="E691" t="s">
        <v>42</v>
      </c>
      <c r="F691">
        <v>8550</v>
      </c>
      <c r="G691">
        <v>0</v>
      </c>
      <c r="H691">
        <v>360</v>
      </c>
      <c r="I691">
        <v>360</v>
      </c>
      <c r="J691">
        <v>360</v>
      </c>
      <c r="K691">
        <v>0</v>
      </c>
      <c r="L691">
        <v>0</v>
      </c>
      <c r="M691">
        <v>0</v>
      </c>
      <c r="N691">
        <v>8550</v>
      </c>
      <c r="O691">
        <v>10100.049999999999</v>
      </c>
      <c r="P691" s="9">
        <v>46135.433182870373</v>
      </c>
    </row>
    <row r="692" spans="1:16" hidden="1" x14ac:dyDescent="0.25">
      <c r="A692" t="s">
        <v>8</v>
      </c>
      <c r="B692" s="4">
        <v>46168</v>
      </c>
      <c r="C692" t="s">
        <v>730</v>
      </c>
      <c r="D692">
        <v>66200</v>
      </c>
      <c r="E692" t="s">
        <v>40</v>
      </c>
      <c r="F692">
        <v>3.95</v>
      </c>
      <c r="G692">
        <v>300</v>
      </c>
      <c r="H692">
        <v>990</v>
      </c>
      <c r="I692">
        <v>1110</v>
      </c>
      <c r="J692">
        <v>990</v>
      </c>
      <c r="K692">
        <v>3.2</v>
      </c>
      <c r="L692">
        <v>4.4000000000000004</v>
      </c>
      <c r="M692">
        <v>3.2</v>
      </c>
      <c r="N692">
        <v>4.4000000000000004</v>
      </c>
      <c r="O692">
        <v>1.5</v>
      </c>
      <c r="P692" s="9">
        <v>46147.439409722225</v>
      </c>
    </row>
    <row r="693" spans="1:16" hidden="1" x14ac:dyDescent="0.25">
      <c r="A693" t="s">
        <v>8</v>
      </c>
      <c r="B693" s="4">
        <v>46168</v>
      </c>
      <c r="C693" t="s">
        <v>731</v>
      </c>
      <c r="D693">
        <v>66200</v>
      </c>
      <c r="E693" t="s">
        <v>42</v>
      </c>
      <c r="F693">
        <v>10450.450000000001</v>
      </c>
      <c r="G693">
        <v>0</v>
      </c>
      <c r="H693">
        <v>600</v>
      </c>
      <c r="I693">
        <v>600</v>
      </c>
      <c r="J693">
        <v>600</v>
      </c>
      <c r="K693">
        <v>0</v>
      </c>
      <c r="L693">
        <v>0</v>
      </c>
      <c r="M693">
        <v>0</v>
      </c>
      <c r="N693">
        <v>10450.450000000001</v>
      </c>
      <c r="O693">
        <v>10245.299999999999</v>
      </c>
      <c r="P693" s="9">
        <v>46122.394097222219</v>
      </c>
    </row>
    <row r="694" spans="1:16" hidden="1" x14ac:dyDescent="0.25">
      <c r="A694" t="s">
        <v>8</v>
      </c>
      <c r="B694" s="4">
        <v>46168</v>
      </c>
      <c r="C694" t="s">
        <v>732</v>
      </c>
      <c r="D694">
        <v>66500</v>
      </c>
      <c r="E694" t="s">
        <v>40</v>
      </c>
      <c r="F694">
        <v>3.35</v>
      </c>
      <c r="G694">
        <v>3870</v>
      </c>
      <c r="H694">
        <v>7110</v>
      </c>
      <c r="I694">
        <v>7110</v>
      </c>
      <c r="J694">
        <v>5790</v>
      </c>
      <c r="K694">
        <v>4.5</v>
      </c>
      <c r="L694">
        <v>4.8499999999999996</v>
      </c>
      <c r="M694">
        <v>3.35</v>
      </c>
      <c r="N694">
        <v>4.3</v>
      </c>
      <c r="O694">
        <v>3.35</v>
      </c>
      <c r="P694" s="9">
        <v>46147.643657407411</v>
      </c>
    </row>
    <row r="695" spans="1:16" hidden="1" x14ac:dyDescent="0.25">
      <c r="A695" t="s">
        <v>8</v>
      </c>
      <c r="B695" s="4">
        <v>46168</v>
      </c>
      <c r="C695" t="s">
        <v>733</v>
      </c>
      <c r="D695">
        <v>66500</v>
      </c>
      <c r="E695" t="s">
        <v>42</v>
      </c>
      <c r="F695">
        <v>9643</v>
      </c>
      <c r="G695">
        <v>0</v>
      </c>
      <c r="H695">
        <v>1200</v>
      </c>
      <c r="I695">
        <v>1200</v>
      </c>
      <c r="J695">
        <v>1200</v>
      </c>
      <c r="K695">
        <v>0</v>
      </c>
      <c r="L695">
        <v>0</v>
      </c>
      <c r="M695">
        <v>0</v>
      </c>
      <c r="N695">
        <v>9643</v>
      </c>
      <c r="O695">
        <v>10567.4</v>
      </c>
      <c r="P695" s="9">
        <v>46135.574583333335</v>
      </c>
    </row>
    <row r="696" spans="1:16" hidden="1" x14ac:dyDescent="0.25">
      <c r="A696" t="s">
        <v>8</v>
      </c>
      <c r="B696" s="4">
        <v>46168</v>
      </c>
      <c r="C696" t="s">
        <v>734</v>
      </c>
      <c r="D696">
        <v>67000</v>
      </c>
      <c r="E696" t="s">
        <v>40</v>
      </c>
      <c r="F696">
        <v>2.85</v>
      </c>
      <c r="G696">
        <v>5670</v>
      </c>
      <c r="H696">
        <v>8070</v>
      </c>
      <c r="I696">
        <v>8340</v>
      </c>
      <c r="J696">
        <v>8070</v>
      </c>
      <c r="K696">
        <v>4</v>
      </c>
      <c r="L696">
        <v>4.75</v>
      </c>
      <c r="M696">
        <v>2.85</v>
      </c>
      <c r="N696">
        <v>3.95</v>
      </c>
      <c r="O696">
        <v>2.9</v>
      </c>
      <c r="P696" s="9">
        <v>46147.642708333333</v>
      </c>
    </row>
    <row r="697" spans="1:16" hidden="1" x14ac:dyDescent="0.25">
      <c r="A697" t="s">
        <v>8</v>
      </c>
      <c r="B697" s="4">
        <v>46168</v>
      </c>
      <c r="C697" t="s">
        <v>735</v>
      </c>
      <c r="D697">
        <v>67000</v>
      </c>
      <c r="E697" t="s">
        <v>42</v>
      </c>
      <c r="F697">
        <v>5284.5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5284.5</v>
      </c>
      <c r="O697">
        <v>11174.85</v>
      </c>
      <c r="P697" s="9">
        <v>25569.229166666668</v>
      </c>
    </row>
    <row r="698" spans="1:16" hidden="1" x14ac:dyDescent="0.25">
      <c r="A698" t="s">
        <v>8</v>
      </c>
      <c r="B698" s="4">
        <v>46168</v>
      </c>
      <c r="C698" t="s">
        <v>736</v>
      </c>
      <c r="D698">
        <v>67500</v>
      </c>
      <c r="E698" t="s">
        <v>40</v>
      </c>
      <c r="F698">
        <v>2.75</v>
      </c>
      <c r="G698">
        <v>14850</v>
      </c>
      <c r="H698">
        <v>8760</v>
      </c>
      <c r="I698">
        <v>8940</v>
      </c>
      <c r="J698">
        <v>8730</v>
      </c>
      <c r="K698">
        <v>3.55</v>
      </c>
      <c r="L698">
        <v>3.9</v>
      </c>
      <c r="M698">
        <v>2.75</v>
      </c>
      <c r="N698">
        <v>3.7</v>
      </c>
      <c r="O698">
        <v>2.8</v>
      </c>
      <c r="P698" s="9">
        <v>46147.644571759258</v>
      </c>
    </row>
    <row r="699" spans="1:16" hidden="1" x14ac:dyDescent="0.25">
      <c r="A699" t="s">
        <v>8</v>
      </c>
      <c r="B699" s="4">
        <v>46168</v>
      </c>
      <c r="C699" t="s">
        <v>737</v>
      </c>
      <c r="D699">
        <v>67500</v>
      </c>
      <c r="E699" t="s">
        <v>42</v>
      </c>
      <c r="F699">
        <v>9388</v>
      </c>
      <c r="G699">
        <v>0</v>
      </c>
      <c r="H699">
        <v>570</v>
      </c>
      <c r="I699">
        <v>570</v>
      </c>
      <c r="J699">
        <v>570</v>
      </c>
      <c r="K699">
        <v>0</v>
      </c>
      <c r="L699">
        <v>0</v>
      </c>
      <c r="M699">
        <v>0</v>
      </c>
      <c r="N699">
        <v>9388</v>
      </c>
      <c r="O699">
        <v>11705.45</v>
      </c>
      <c r="P699" s="9">
        <v>46134.472268518519</v>
      </c>
    </row>
    <row r="700" spans="1:16" hidden="1" x14ac:dyDescent="0.25">
      <c r="A700" t="s">
        <v>8</v>
      </c>
      <c r="B700" s="4">
        <v>46168</v>
      </c>
      <c r="C700" t="s">
        <v>738</v>
      </c>
      <c r="D700">
        <v>68000</v>
      </c>
      <c r="E700" t="s">
        <v>40</v>
      </c>
      <c r="F700">
        <v>2.6</v>
      </c>
      <c r="G700">
        <v>23550</v>
      </c>
      <c r="H700">
        <v>19320</v>
      </c>
      <c r="I700">
        <v>19320</v>
      </c>
      <c r="J700">
        <v>11310</v>
      </c>
      <c r="K700">
        <v>4</v>
      </c>
      <c r="L700">
        <v>4.2</v>
      </c>
      <c r="M700">
        <v>2.5499999999999998</v>
      </c>
      <c r="N700">
        <v>3.8</v>
      </c>
      <c r="O700">
        <v>2.65</v>
      </c>
      <c r="P700" s="9">
        <v>46147.644583333335</v>
      </c>
    </row>
    <row r="701" spans="1:16" hidden="1" x14ac:dyDescent="0.25">
      <c r="A701" t="s">
        <v>8</v>
      </c>
      <c r="B701" s="4">
        <v>46168</v>
      </c>
      <c r="C701" t="s">
        <v>739</v>
      </c>
      <c r="D701">
        <v>68000</v>
      </c>
      <c r="E701" t="s">
        <v>42</v>
      </c>
      <c r="F701">
        <v>12789.75</v>
      </c>
      <c r="G701">
        <v>0</v>
      </c>
      <c r="H701">
        <v>1830</v>
      </c>
      <c r="I701">
        <v>1830</v>
      </c>
      <c r="J701">
        <v>1830</v>
      </c>
      <c r="K701">
        <v>0</v>
      </c>
      <c r="L701">
        <v>0</v>
      </c>
      <c r="M701">
        <v>0</v>
      </c>
      <c r="N701">
        <v>12789.75</v>
      </c>
      <c r="O701">
        <v>12061.35</v>
      </c>
      <c r="P701" s="9">
        <v>46146.61619212963</v>
      </c>
    </row>
    <row r="702" spans="1:16" hidden="1" x14ac:dyDescent="0.25">
      <c r="A702" t="s">
        <v>8</v>
      </c>
      <c r="B702" s="4">
        <v>46168</v>
      </c>
      <c r="C702" t="s">
        <v>740</v>
      </c>
      <c r="D702">
        <v>68500</v>
      </c>
      <c r="E702" t="s">
        <v>40</v>
      </c>
      <c r="F702">
        <v>2.6</v>
      </c>
      <c r="G702">
        <v>23160</v>
      </c>
      <c r="H702">
        <v>17430</v>
      </c>
      <c r="I702">
        <v>17430</v>
      </c>
      <c r="J702">
        <v>13590</v>
      </c>
      <c r="K702">
        <v>3.9</v>
      </c>
      <c r="L702">
        <v>5.8</v>
      </c>
      <c r="M702">
        <v>2.6</v>
      </c>
      <c r="N702">
        <v>3.7</v>
      </c>
      <c r="O702">
        <v>2.6</v>
      </c>
      <c r="P702" s="9">
        <v>46147.645277777781</v>
      </c>
    </row>
    <row r="703" spans="1:16" hidden="1" x14ac:dyDescent="0.25">
      <c r="A703" t="s">
        <v>8</v>
      </c>
      <c r="B703" s="4">
        <v>46168</v>
      </c>
      <c r="C703" t="s">
        <v>741</v>
      </c>
      <c r="D703">
        <v>68500</v>
      </c>
      <c r="E703" t="s">
        <v>42</v>
      </c>
      <c r="F703">
        <v>10900</v>
      </c>
      <c r="G703">
        <v>0</v>
      </c>
      <c r="H703">
        <v>150</v>
      </c>
      <c r="I703">
        <v>150</v>
      </c>
      <c r="J703">
        <v>150</v>
      </c>
      <c r="K703">
        <v>0</v>
      </c>
      <c r="L703">
        <v>0</v>
      </c>
      <c r="M703">
        <v>0</v>
      </c>
      <c r="N703">
        <v>10900</v>
      </c>
      <c r="O703">
        <v>12406.25</v>
      </c>
      <c r="P703" s="9">
        <v>46134.437743055554</v>
      </c>
    </row>
    <row r="704" spans="1:16" hidden="1" x14ac:dyDescent="0.25">
      <c r="A704" t="s">
        <v>9</v>
      </c>
      <c r="B704" s="4">
        <v>46149</v>
      </c>
      <c r="C704" t="s">
        <v>742</v>
      </c>
      <c r="F704">
        <v>77017.789999999994</v>
      </c>
      <c r="K704">
        <v>77103.72</v>
      </c>
      <c r="L704">
        <v>77151.33</v>
      </c>
      <c r="M704">
        <v>76515.03</v>
      </c>
      <c r="N704">
        <v>77269.399999999994</v>
      </c>
    </row>
    <row r="705" spans="1:16" hidden="1" x14ac:dyDescent="0.25">
      <c r="A705" t="s">
        <v>9</v>
      </c>
      <c r="B705" s="4">
        <v>46149</v>
      </c>
      <c r="C705" t="s">
        <v>743</v>
      </c>
      <c r="D705">
        <v>64900</v>
      </c>
      <c r="E705" t="s">
        <v>40</v>
      </c>
      <c r="F705">
        <v>12398.75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12398.75</v>
      </c>
      <c r="O705">
        <v>0</v>
      </c>
      <c r="P705" s="9">
        <v>25569.229166666668</v>
      </c>
    </row>
    <row r="706" spans="1:16" hidden="1" x14ac:dyDescent="0.25">
      <c r="A706" t="s">
        <v>9</v>
      </c>
      <c r="B706" s="4">
        <v>46149</v>
      </c>
      <c r="C706" t="s">
        <v>744</v>
      </c>
      <c r="D706">
        <v>64900</v>
      </c>
      <c r="E706" t="s">
        <v>42</v>
      </c>
      <c r="F706">
        <v>0.45</v>
      </c>
      <c r="G706">
        <v>22040</v>
      </c>
      <c r="H706">
        <v>12020</v>
      </c>
      <c r="I706">
        <v>15020</v>
      </c>
      <c r="J706">
        <v>12020</v>
      </c>
      <c r="K706">
        <v>1.65</v>
      </c>
      <c r="L706">
        <v>2.4</v>
      </c>
      <c r="M706">
        <v>0.45</v>
      </c>
      <c r="N706">
        <v>2.25</v>
      </c>
      <c r="O706">
        <v>0</v>
      </c>
      <c r="P706" s="9">
        <v>46147.645590277774</v>
      </c>
    </row>
    <row r="707" spans="1:16" hidden="1" x14ac:dyDescent="0.25">
      <c r="A707" t="s">
        <v>9</v>
      </c>
      <c r="B707" s="4">
        <v>46149</v>
      </c>
      <c r="C707" t="s">
        <v>745</v>
      </c>
      <c r="D707">
        <v>65000</v>
      </c>
      <c r="E707" t="s">
        <v>40</v>
      </c>
      <c r="F707">
        <v>12198</v>
      </c>
      <c r="G707">
        <v>20</v>
      </c>
      <c r="H707">
        <v>20</v>
      </c>
      <c r="I707">
        <v>20</v>
      </c>
      <c r="J707">
        <v>20</v>
      </c>
      <c r="K707">
        <v>12198</v>
      </c>
      <c r="L707">
        <v>12198</v>
      </c>
      <c r="M707">
        <v>12198</v>
      </c>
      <c r="N707">
        <v>12298.8</v>
      </c>
      <c r="O707">
        <v>0</v>
      </c>
      <c r="P707" s="9">
        <v>46147.440011574072</v>
      </c>
    </row>
    <row r="708" spans="1:16" hidden="1" x14ac:dyDescent="0.25">
      <c r="A708" t="s">
        <v>9</v>
      </c>
      <c r="B708" s="4">
        <v>46149</v>
      </c>
      <c r="C708" t="s">
        <v>746</v>
      </c>
      <c r="D708">
        <v>65000</v>
      </c>
      <c r="E708" t="s">
        <v>42</v>
      </c>
      <c r="F708">
        <v>0.5</v>
      </c>
      <c r="G708">
        <v>70380</v>
      </c>
      <c r="H708">
        <v>33560</v>
      </c>
      <c r="I708">
        <v>33560</v>
      </c>
      <c r="J708">
        <v>27920</v>
      </c>
      <c r="K708">
        <v>1.95</v>
      </c>
      <c r="L708">
        <v>2.2999999999999998</v>
      </c>
      <c r="M708">
        <v>0.5</v>
      </c>
      <c r="N708">
        <v>2.1</v>
      </c>
      <c r="O708">
        <v>0</v>
      </c>
      <c r="P708" s="9">
        <v>46147.645740740743</v>
      </c>
    </row>
    <row r="709" spans="1:16" hidden="1" x14ac:dyDescent="0.25">
      <c r="A709" t="s">
        <v>9</v>
      </c>
      <c r="B709" s="4">
        <v>46149</v>
      </c>
      <c r="C709" t="s">
        <v>747</v>
      </c>
      <c r="D709">
        <v>65100</v>
      </c>
      <c r="E709" t="s">
        <v>40</v>
      </c>
      <c r="F709">
        <v>12198.8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12198.8</v>
      </c>
      <c r="O709">
        <v>0</v>
      </c>
      <c r="P709" s="9">
        <v>25569.229166666668</v>
      </c>
    </row>
    <row r="710" spans="1:16" hidden="1" x14ac:dyDescent="0.25">
      <c r="A710" t="s">
        <v>9</v>
      </c>
      <c r="B710" s="4">
        <v>46149</v>
      </c>
      <c r="C710" t="s">
        <v>748</v>
      </c>
      <c r="D710">
        <v>65100</v>
      </c>
      <c r="E710" t="s">
        <v>42</v>
      </c>
      <c r="F710">
        <v>0.5</v>
      </c>
      <c r="G710">
        <v>39980</v>
      </c>
      <c r="H710">
        <v>12500</v>
      </c>
      <c r="I710">
        <v>19040</v>
      </c>
      <c r="J710">
        <v>9000</v>
      </c>
      <c r="K710">
        <v>2</v>
      </c>
      <c r="L710">
        <v>2.6</v>
      </c>
      <c r="M710">
        <v>0.45</v>
      </c>
      <c r="N710">
        <v>2.0499999999999998</v>
      </c>
      <c r="O710">
        <v>0</v>
      </c>
      <c r="P710" s="9">
        <v>46147.645486111112</v>
      </c>
    </row>
    <row r="711" spans="1:16" hidden="1" x14ac:dyDescent="0.25">
      <c r="A711" t="s">
        <v>9</v>
      </c>
      <c r="B711" s="4">
        <v>46149</v>
      </c>
      <c r="C711" t="s">
        <v>749</v>
      </c>
      <c r="D711">
        <v>65200</v>
      </c>
      <c r="E711" t="s">
        <v>40</v>
      </c>
      <c r="F711">
        <v>12098.85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12098.85</v>
      </c>
      <c r="O711">
        <v>0</v>
      </c>
      <c r="P711" s="9">
        <v>25569.229166666668</v>
      </c>
    </row>
    <row r="712" spans="1:16" hidden="1" x14ac:dyDescent="0.25">
      <c r="A712" t="s">
        <v>9</v>
      </c>
      <c r="B712" s="4">
        <v>46149</v>
      </c>
      <c r="C712" t="s">
        <v>750</v>
      </c>
      <c r="D712">
        <v>65200</v>
      </c>
      <c r="E712" t="s">
        <v>42</v>
      </c>
      <c r="F712">
        <v>0.4</v>
      </c>
      <c r="G712">
        <v>4640</v>
      </c>
      <c r="H712">
        <v>880</v>
      </c>
      <c r="I712">
        <v>1460</v>
      </c>
      <c r="J712">
        <v>760</v>
      </c>
      <c r="K712">
        <v>2.95</v>
      </c>
      <c r="L712">
        <v>2.95</v>
      </c>
      <c r="M712">
        <v>0.4</v>
      </c>
      <c r="N712">
        <v>2</v>
      </c>
      <c r="O712">
        <v>0</v>
      </c>
      <c r="P712" s="9">
        <v>46147.645300925928</v>
      </c>
    </row>
    <row r="713" spans="1:16" hidden="1" x14ac:dyDescent="0.25">
      <c r="A713" t="s">
        <v>9</v>
      </c>
      <c r="B713" s="4">
        <v>46149</v>
      </c>
      <c r="C713" t="s">
        <v>751</v>
      </c>
      <c r="D713">
        <v>65300</v>
      </c>
      <c r="E713" t="s">
        <v>40</v>
      </c>
      <c r="F713">
        <v>11998.9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11998.9</v>
      </c>
      <c r="O713">
        <v>0</v>
      </c>
      <c r="P713" s="9">
        <v>25569.229166666668</v>
      </c>
    </row>
    <row r="714" spans="1:16" hidden="1" x14ac:dyDescent="0.25">
      <c r="A714" t="s">
        <v>9</v>
      </c>
      <c r="B714" s="4">
        <v>46149</v>
      </c>
      <c r="C714" t="s">
        <v>752</v>
      </c>
      <c r="D714">
        <v>65300</v>
      </c>
      <c r="E714" t="s">
        <v>42</v>
      </c>
      <c r="F714">
        <v>0.4</v>
      </c>
      <c r="G714">
        <v>23300</v>
      </c>
      <c r="H714">
        <v>1800</v>
      </c>
      <c r="I714">
        <v>9480</v>
      </c>
      <c r="J714">
        <v>1500</v>
      </c>
      <c r="K714">
        <v>2.2999999999999998</v>
      </c>
      <c r="L714">
        <v>2.85</v>
      </c>
      <c r="M714">
        <v>0.3</v>
      </c>
      <c r="N714">
        <v>1.75</v>
      </c>
      <c r="O714">
        <v>0</v>
      </c>
      <c r="P714" s="9">
        <v>46147.645520833335</v>
      </c>
    </row>
    <row r="715" spans="1:16" hidden="1" x14ac:dyDescent="0.25">
      <c r="A715" t="s">
        <v>9</v>
      </c>
      <c r="B715" s="4">
        <v>46149</v>
      </c>
      <c r="C715" t="s">
        <v>753</v>
      </c>
      <c r="D715">
        <v>65400</v>
      </c>
      <c r="E715" t="s">
        <v>40</v>
      </c>
      <c r="F715">
        <v>11898.95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11898.95</v>
      </c>
      <c r="O715">
        <v>0</v>
      </c>
      <c r="P715" s="9">
        <v>25569.229166666668</v>
      </c>
    </row>
    <row r="716" spans="1:16" hidden="1" x14ac:dyDescent="0.25">
      <c r="A716" t="s">
        <v>9</v>
      </c>
      <c r="B716" s="4">
        <v>46149</v>
      </c>
      <c r="C716" t="s">
        <v>754</v>
      </c>
      <c r="D716">
        <v>65400</v>
      </c>
      <c r="E716" t="s">
        <v>42</v>
      </c>
      <c r="F716">
        <v>0.4</v>
      </c>
      <c r="G716">
        <v>3300</v>
      </c>
      <c r="H716">
        <v>1060</v>
      </c>
      <c r="I716">
        <v>1560</v>
      </c>
      <c r="J716">
        <v>600</v>
      </c>
      <c r="K716">
        <v>2.65</v>
      </c>
      <c r="L716">
        <v>3.4</v>
      </c>
      <c r="M716">
        <v>0.4</v>
      </c>
      <c r="N716">
        <v>2.2000000000000002</v>
      </c>
      <c r="O716">
        <v>0</v>
      </c>
      <c r="P716" s="9">
        <v>46147.643726851849</v>
      </c>
    </row>
    <row r="717" spans="1:16" hidden="1" x14ac:dyDescent="0.25">
      <c r="A717" t="s">
        <v>9</v>
      </c>
      <c r="B717" s="4">
        <v>46149</v>
      </c>
      <c r="C717" t="s">
        <v>755</v>
      </c>
      <c r="D717">
        <v>65500</v>
      </c>
      <c r="E717" t="s">
        <v>40</v>
      </c>
      <c r="F717">
        <v>11799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11799</v>
      </c>
      <c r="O717">
        <v>0</v>
      </c>
      <c r="P717" s="9">
        <v>25569.229166666668</v>
      </c>
    </row>
    <row r="718" spans="1:16" hidden="1" x14ac:dyDescent="0.25">
      <c r="A718" t="s">
        <v>9</v>
      </c>
      <c r="B718" s="4">
        <v>46149</v>
      </c>
      <c r="C718" t="s">
        <v>756</v>
      </c>
      <c r="D718">
        <v>65500</v>
      </c>
      <c r="E718" t="s">
        <v>42</v>
      </c>
      <c r="F718">
        <v>0.4</v>
      </c>
      <c r="G718">
        <v>3080</v>
      </c>
      <c r="H718">
        <v>800</v>
      </c>
      <c r="I718">
        <v>1080</v>
      </c>
      <c r="J718">
        <v>340</v>
      </c>
      <c r="K718">
        <v>2.7</v>
      </c>
      <c r="L718">
        <v>3.25</v>
      </c>
      <c r="M718">
        <v>0.4</v>
      </c>
      <c r="N718">
        <v>2.0499999999999998</v>
      </c>
      <c r="O718">
        <v>0</v>
      </c>
      <c r="P718" s="9">
        <v>46147.643530092595</v>
      </c>
    </row>
    <row r="719" spans="1:16" hidden="1" x14ac:dyDescent="0.25">
      <c r="A719" t="s">
        <v>9</v>
      </c>
      <c r="B719" s="4">
        <v>46149</v>
      </c>
      <c r="C719" t="s">
        <v>757</v>
      </c>
      <c r="D719">
        <v>65600</v>
      </c>
      <c r="E719" t="s">
        <v>40</v>
      </c>
      <c r="F719">
        <v>11699.05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11699.05</v>
      </c>
      <c r="O719">
        <v>0</v>
      </c>
      <c r="P719" s="9">
        <v>25569.229166666668</v>
      </c>
    </row>
    <row r="720" spans="1:16" hidden="1" x14ac:dyDescent="0.25">
      <c r="A720" t="s">
        <v>9</v>
      </c>
      <c r="B720" s="4">
        <v>46149</v>
      </c>
      <c r="C720" t="s">
        <v>758</v>
      </c>
      <c r="D720">
        <v>65600</v>
      </c>
      <c r="E720" t="s">
        <v>42</v>
      </c>
      <c r="F720">
        <v>0.5</v>
      </c>
      <c r="G720">
        <v>3960</v>
      </c>
      <c r="H720">
        <v>1440</v>
      </c>
      <c r="I720">
        <v>1840</v>
      </c>
      <c r="J720">
        <v>1260</v>
      </c>
      <c r="K720">
        <v>2.7</v>
      </c>
      <c r="L720">
        <v>3.5</v>
      </c>
      <c r="M720">
        <v>0.4</v>
      </c>
      <c r="N720">
        <v>2.1</v>
      </c>
      <c r="O720">
        <v>0</v>
      </c>
      <c r="P720" s="9">
        <v>46147.642430555556</v>
      </c>
    </row>
    <row r="721" spans="1:16" hidden="1" x14ac:dyDescent="0.25">
      <c r="A721" t="s">
        <v>9</v>
      </c>
      <c r="B721" s="4">
        <v>46149</v>
      </c>
      <c r="C721" t="s">
        <v>759</v>
      </c>
      <c r="D721">
        <v>65700</v>
      </c>
      <c r="E721" t="s">
        <v>40</v>
      </c>
      <c r="F721">
        <v>11599.1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11599.1</v>
      </c>
      <c r="O721">
        <v>0</v>
      </c>
      <c r="P721" s="9">
        <v>25569.229166666668</v>
      </c>
    </row>
    <row r="722" spans="1:16" hidden="1" x14ac:dyDescent="0.25">
      <c r="A722" t="s">
        <v>9</v>
      </c>
      <c r="B722" s="4">
        <v>46149</v>
      </c>
      <c r="C722" t="s">
        <v>760</v>
      </c>
      <c r="D722">
        <v>65700</v>
      </c>
      <c r="E722" t="s">
        <v>42</v>
      </c>
      <c r="F722">
        <v>0.4</v>
      </c>
      <c r="G722">
        <v>2760</v>
      </c>
      <c r="H722">
        <v>1240</v>
      </c>
      <c r="I722">
        <v>1980</v>
      </c>
      <c r="J722">
        <v>1100</v>
      </c>
      <c r="K722">
        <v>2.95</v>
      </c>
      <c r="L722">
        <v>3.6</v>
      </c>
      <c r="M722">
        <v>0.4</v>
      </c>
      <c r="N722">
        <v>2.2999999999999998</v>
      </c>
      <c r="O722">
        <v>0</v>
      </c>
      <c r="P722" s="9">
        <v>46147.644317129627</v>
      </c>
    </row>
    <row r="723" spans="1:16" hidden="1" x14ac:dyDescent="0.25">
      <c r="A723" t="s">
        <v>9</v>
      </c>
      <c r="B723" s="4">
        <v>46149</v>
      </c>
      <c r="C723" t="s">
        <v>761</v>
      </c>
      <c r="D723">
        <v>65800</v>
      </c>
      <c r="E723" t="s">
        <v>40</v>
      </c>
      <c r="F723">
        <v>11499.15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11499.15</v>
      </c>
      <c r="O723">
        <v>0</v>
      </c>
      <c r="P723" s="9">
        <v>25569.229166666668</v>
      </c>
    </row>
    <row r="724" spans="1:16" hidden="1" x14ac:dyDescent="0.25">
      <c r="A724" t="s">
        <v>9</v>
      </c>
      <c r="B724" s="4">
        <v>46149</v>
      </c>
      <c r="C724" t="s">
        <v>762</v>
      </c>
      <c r="D724">
        <v>65800</v>
      </c>
      <c r="E724" t="s">
        <v>42</v>
      </c>
      <c r="F724">
        <v>0.4</v>
      </c>
      <c r="G724">
        <v>3740</v>
      </c>
      <c r="H724">
        <v>360</v>
      </c>
      <c r="I724">
        <v>1420</v>
      </c>
      <c r="J724">
        <v>360</v>
      </c>
      <c r="K724">
        <v>2.5</v>
      </c>
      <c r="L724">
        <v>2.85</v>
      </c>
      <c r="M724">
        <v>0.4</v>
      </c>
      <c r="N724">
        <v>2.1</v>
      </c>
      <c r="O724">
        <v>0</v>
      </c>
      <c r="P724" s="9">
        <v>46147.645381944443</v>
      </c>
    </row>
    <row r="725" spans="1:16" hidden="1" x14ac:dyDescent="0.25">
      <c r="A725" t="s">
        <v>9</v>
      </c>
      <c r="B725" s="4">
        <v>46149</v>
      </c>
      <c r="C725" t="s">
        <v>763</v>
      </c>
      <c r="D725">
        <v>65900</v>
      </c>
      <c r="E725" t="s">
        <v>40</v>
      </c>
      <c r="F725">
        <v>11399.2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11399.2</v>
      </c>
      <c r="O725">
        <v>0</v>
      </c>
      <c r="P725" s="9">
        <v>25569.229166666668</v>
      </c>
    </row>
    <row r="726" spans="1:16" hidden="1" x14ac:dyDescent="0.25">
      <c r="A726" t="s">
        <v>9</v>
      </c>
      <c r="B726" s="4">
        <v>46149</v>
      </c>
      <c r="C726" t="s">
        <v>764</v>
      </c>
      <c r="D726">
        <v>65900</v>
      </c>
      <c r="E726" t="s">
        <v>42</v>
      </c>
      <c r="F726">
        <v>0.35</v>
      </c>
      <c r="G726">
        <v>45260</v>
      </c>
      <c r="H726">
        <v>6720</v>
      </c>
      <c r="I726">
        <v>12960</v>
      </c>
      <c r="J726">
        <v>1160</v>
      </c>
      <c r="K726">
        <v>2.8</v>
      </c>
      <c r="L726">
        <v>4.05</v>
      </c>
      <c r="M726">
        <v>0.25</v>
      </c>
      <c r="N726">
        <v>2.4500000000000002</v>
      </c>
      <c r="O726">
        <v>0</v>
      </c>
      <c r="P726" s="9">
        <v>46147.645486111112</v>
      </c>
    </row>
    <row r="727" spans="1:16" hidden="1" x14ac:dyDescent="0.25">
      <c r="A727" t="s">
        <v>9</v>
      </c>
      <c r="B727" s="4">
        <v>46149</v>
      </c>
      <c r="C727" t="s">
        <v>765</v>
      </c>
      <c r="D727">
        <v>66000</v>
      </c>
      <c r="E727" t="s">
        <v>40</v>
      </c>
      <c r="F727">
        <v>11299.25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11299.25</v>
      </c>
      <c r="O727">
        <v>0</v>
      </c>
      <c r="P727" s="9">
        <v>25569.229166666668</v>
      </c>
    </row>
    <row r="728" spans="1:16" hidden="1" x14ac:dyDescent="0.25">
      <c r="A728" t="s">
        <v>9</v>
      </c>
      <c r="B728" s="4">
        <v>46149</v>
      </c>
      <c r="C728" t="s">
        <v>766</v>
      </c>
      <c r="D728">
        <v>66000</v>
      </c>
      <c r="E728" t="s">
        <v>42</v>
      </c>
      <c r="F728">
        <v>1</v>
      </c>
      <c r="G728">
        <v>7380</v>
      </c>
      <c r="H728">
        <v>2400</v>
      </c>
      <c r="I728">
        <v>3980</v>
      </c>
      <c r="J728">
        <v>2360</v>
      </c>
      <c r="K728">
        <v>2.0499999999999998</v>
      </c>
      <c r="L728">
        <v>2.0499999999999998</v>
      </c>
      <c r="M728">
        <v>0.35</v>
      </c>
      <c r="N728">
        <v>2.15</v>
      </c>
      <c r="O728">
        <v>0</v>
      </c>
      <c r="P728" s="9">
        <v>46147.645439814813</v>
      </c>
    </row>
    <row r="729" spans="1:16" hidden="1" x14ac:dyDescent="0.25">
      <c r="A729" t="s">
        <v>9</v>
      </c>
      <c r="B729" s="4">
        <v>46149</v>
      </c>
      <c r="C729" t="s">
        <v>767</v>
      </c>
      <c r="D729">
        <v>66100</v>
      </c>
      <c r="E729" t="s">
        <v>40</v>
      </c>
      <c r="F729">
        <v>11199.25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11199.25</v>
      </c>
      <c r="O729">
        <v>0</v>
      </c>
      <c r="P729" s="9">
        <v>25569.229166666668</v>
      </c>
    </row>
    <row r="730" spans="1:16" hidden="1" x14ac:dyDescent="0.25">
      <c r="A730" t="s">
        <v>9</v>
      </c>
      <c r="B730" s="4">
        <v>46149</v>
      </c>
      <c r="C730" t="s">
        <v>768</v>
      </c>
      <c r="D730">
        <v>66100</v>
      </c>
      <c r="E730" t="s">
        <v>42</v>
      </c>
      <c r="F730">
        <v>0.4</v>
      </c>
      <c r="G730">
        <v>7580</v>
      </c>
      <c r="H730">
        <v>1520</v>
      </c>
      <c r="I730">
        <v>2640</v>
      </c>
      <c r="J730">
        <v>680</v>
      </c>
      <c r="K730">
        <v>3.1</v>
      </c>
      <c r="L730">
        <v>3.1</v>
      </c>
      <c r="M730">
        <v>0.35</v>
      </c>
      <c r="N730">
        <v>2.0499999999999998</v>
      </c>
      <c r="O730">
        <v>0</v>
      </c>
      <c r="P730" s="9">
        <v>46147.644444444442</v>
      </c>
    </row>
    <row r="731" spans="1:16" hidden="1" x14ac:dyDescent="0.25">
      <c r="A731" t="s">
        <v>9</v>
      </c>
      <c r="B731" s="4">
        <v>46149</v>
      </c>
      <c r="C731" t="s">
        <v>769</v>
      </c>
      <c r="D731">
        <v>66200</v>
      </c>
      <c r="E731" t="s">
        <v>40</v>
      </c>
      <c r="F731">
        <v>11099.3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11099.3</v>
      </c>
      <c r="O731">
        <v>0</v>
      </c>
      <c r="P731" s="9">
        <v>25569.229166666668</v>
      </c>
    </row>
    <row r="732" spans="1:16" hidden="1" x14ac:dyDescent="0.25">
      <c r="A732" t="s">
        <v>9</v>
      </c>
      <c r="B732" s="4">
        <v>46149</v>
      </c>
      <c r="C732" t="s">
        <v>770</v>
      </c>
      <c r="D732">
        <v>66200</v>
      </c>
      <c r="E732" t="s">
        <v>42</v>
      </c>
      <c r="F732">
        <v>0.45</v>
      </c>
      <c r="G732">
        <v>6080</v>
      </c>
      <c r="H732">
        <v>1480</v>
      </c>
      <c r="I732">
        <v>3040</v>
      </c>
      <c r="J732">
        <v>1480</v>
      </c>
      <c r="K732">
        <v>2.65</v>
      </c>
      <c r="L732">
        <v>3.8</v>
      </c>
      <c r="M732">
        <v>0.4</v>
      </c>
      <c r="N732">
        <v>1.8</v>
      </c>
      <c r="O732">
        <v>0</v>
      </c>
      <c r="P732" s="9">
        <v>46147.645381944443</v>
      </c>
    </row>
    <row r="733" spans="1:16" hidden="1" x14ac:dyDescent="0.25">
      <c r="A733" t="s">
        <v>9</v>
      </c>
      <c r="B733" s="4">
        <v>46149</v>
      </c>
      <c r="C733" t="s">
        <v>771</v>
      </c>
      <c r="D733">
        <v>66300</v>
      </c>
      <c r="E733" t="s">
        <v>40</v>
      </c>
      <c r="F733">
        <v>10999.35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10999.35</v>
      </c>
      <c r="O733">
        <v>0</v>
      </c>
      <c r="P733" s="9">
        <v>25569.229166666668</v>
      </c>
    </row>
    <row r="734" spans="1:16" hidden="1" x14ac:dyDescent="0.25">
      <c r="A734" t="s">
        <v>9</v>
      </c>
      <c r="B734" s="4">
        <v>46149</v>
      </c>
      <c r="C734" t="s">
        <v>772</v>
      </c>
      <c r="D734">
        <v>66300</v>
      </c>
      <c r="E734" t="s">
        <v>42</v>
      </c>
      <c r="F734">
        <v>0.4</v>
      </c>
      <c r="G734">
        <v>11960</v>
      </c>
      <c r="H734">
        <v>1380</v>
      </c>
      <c r="I734">
        <v>3240</v>
      </c>
      <c r="J734">
        <v>560</v>
      </c>
      <c r="K734">
        <v>2.9</v>
      </c>
      <c r="L734">
        <v>6.25</v>
      </c>
      <c r="M734">
        <v>0.4</v>
      </c>
      <c r="N734">
        <v>1.75</v>
      </c>
      <c r="O734">
        <v>0</v>
      </c>
      <c r="P734" s="9">
        <v>46147.645115740743</v>
      </c>
    </row>
    <row r="735" spans="1:16" hidden="1" x14ac:dyDescent="0.25">
      <c r="A735" t="s">
        <v>9</v>
      </c>
      <c r="B735" s="4">
        <v>46149</v>
      </c>
      <c r="C735" t="s">
        <v>773</v>
      </c>
      <c r="D735">
        <v>66400</v>
      </c>
      <c r="E735" t="s">
        <v>40</v>
      </c>
      <c r="F735">
        <v>10899.4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10899.4</v>
      </c>
      <c r="O735">
        <v>0</v>
      </c>
      <c r="P735" s="9">
        <v>25569.229166666668</v>
      </c>
    </row>
    <row r="736" spans="1:16" hidden="1" x14ac:dyDescent="0.25">
      <c r="A736" t="s">
        <v>9</v>
      </c>
      <c r="B736" s="4">
        <v>46149</v>
      </c>
      <c r="C736" t="s">
        <v>774</v>
      </c>
      <c r="D736">
        <v>66400</v>
      </c>
      <c r="E736" t="s">
        <v>42</v>
      </c>
      <c r="F736">
        <v>0.5</v>
      </c>
      <c r="G736">
        <v>10560</v>
      </c>
      <c r="H736">
        <v>860</v>
      </c>
      <c r="I736">
        <v>2380</v>
      </c>
      <c r="J736">
        <v>200</v>
      </c>
      <c r="K736">
        <v>2.75</v>
      </c>
      <c r="L736">
        <v>3.95</v>
      </c>
      <c r="M736">
        <v>0.35</v>
      </c>
      <c r="N736">
        <v>1.8</v>
      </c>
      <c r="O736">
        <v>0</v>
      </c>
      <c r="P736" s="9">
        <v>46147.645243055558</v>
      </c>
    </row>
    <row r="737" spans="1:16" hidden="1" x14ac:dyDescent="0.25">
      <c r="A737" t="s">
        <v>9</v>
      </c>
      <c r="B737" s="4">
        <v>46149</v>
      </c>
      <c r="C737" t="s">
        <v>775</v>
      </c>
      <c r="D737">
        <v>66500</v>
      </c>
      <c r="E737" t="s">
        <v>40</v>
      </c>
      <c r="F737">
        <v>10799.45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10799.45</v>
      </c>
      <c r="O737">
        <v>0</v>
      </c>
      <c r="P737" s="9">
        <v>25569.229166666668</v>
      </c>
    </row>
    <row r="738" spans="1:16" hidden="1" x14ac:dyDescent="0.25">
      <c r="A738" t="s">
        <v>9</v>
      </c>
      <c r="B738" s="4">
        <v>46149</v>
      </c>
      <c r="C738" t="s">
        <v>776</v>
      </c>
      <c r="D738">
        <v>66500</v>
      </c>
      <c r="E738" t="s">
        <v>42</v>
      </c>
      <c r="F738">
        <v>0.55000000000000004</v>
      </c>
      <c r="G738">
        <v>3400</v>
      </c>
      <c r="H738">
        <v>860</v>
      </c>
      <c r="I738">
        <v>1000</v>
      </c>
      <c r="J738">
        <v>440</v>
      </c>
      <c r="K738">
        <v>3.1</v>
      </c>
      <c r="L738">
        <v>3.7</v>
      </c>
      <c r="M738">
        <v>0.3</v>
      </c>
      <c r="N738">
        <v>2.35</v>
      </c>
      <c r="O738">
        <v>0</v>
      </c>
      <c r="P738" s="9">
        <v>46147.645439814813</v>
      </c>
    </row>
    <row r="739" spans="1:16" hidden="1" x14ac:dyDescent="0.25">
      <c r="A739" t="s">
        <v>9</v>
      </c>
      <c r="B739" s="4">
        <v>46149</v>
      </c>
      <c r="C739" t="s">
        <v>777</v>
      </c>
      <c r="D739">
        <v>66600</v>
      </c>
      <c r="E739" t="s">
        <v>40</v>
      </c>
      <c r="F739">
        <v>10699.5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10699.5</v>
      </c>
      <c r="O739">
        <v>0</v>
      </c>
      <c r="P739" s="9">
        <v>25569.229166666668</v>
      </c>
    </row>
    <row r="740" spans="1:16" hidden="1" x14ac:dyDescent="0.25">
      <c r="A740" t="s">
        <v>9</v>
      </c>
      <c r="B740" s="4">
        <v>46149</v>
      </c>
      <c r="C740" t="s">
        <v>778</v>
      </c>
      <c r="D740">
        <v>66600</v>
      </c>
      <c r="E740" t="s">
        <v>42</v>
      </c>
      <c r="F740">
        <v>0.75</v>
      </c>
      <c r="G740">
        <v>460</v>
      </c>
      <c r="H740">
        <v>360</v>
      </c>
      <c r="I740">
        <v>580</v>
      </c>
      <c r="J740">
        <v>360</v>
      </c>
      <c r="K740">
        <v>1.05</v>
      </c>
      <c r="L740">
        <v>1.45</v>
      </c>
      <c r="M740">
        <v>0.75</v>
      </c>
      <c r="N740">
        <v>2.95</v>
      </c>
      <c r="O740">
        <v>0</v>
      </c>
      <c r="P740" s="9">
        <v>46147.634814814817</v>
      </c>
    </row>
    <row r="741" spans="1:16" hidden="1" x14ac:dyDescent="0.25">
      <c r="A741" t="s">
        <v>9</v>
      </c>
      <c r="B741" s="4">
        <v>46149</v>
      </c>
      <c r="C741" t="s">
        <v>779</v>
      </c>
      <c r="D741">
        <v>66700</v>
      </c>
      <c r="E741" t="s">
        <v>40</v>
      </c>
      <c r="F741">
        <v>10599.55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10599.55</v>
      </c>
      <c r="O741">
        <v>0</v>
      </c>
      <c r="P741" s="9">
        <v>25569.229166666668</v>
      </c>
    </row>
    <row r="742" spans="1:16" hidden="1" x14ac:dyDescent="0.25">
      <c r="A742" t="s">
        <v>9</v>
      </c>
      <c r="B742" s="4">
        <v>46149</v>
      </c>
      <c r="C742" t="s">
        <v>780</v>
      </c>
      <c r="D742">
        <v>66700</v>
      </c>
      <c r="E742" t="s">
        <v>42</v>
      </c>
      <c r="F742">
        <v>0.4</v>
      </c>
      <c r="G742">
        <v>4660</v>
      </c>
      <c r="H742">
        <v>1080</v>
      </c>
      <c r="I742">
        <v>2200</v>
      </c>
      <c r="J742">
        <v>1080</v>
      </c>
      <c r="K742">
        <v>2.85</v>
      </c>
      <c r="L742">
        <v>3.85</v>
      </c>
      <c r="M742">
        <v>0.4</v>
      </c>
      <c r="N742">
        <v>2.2999999999999998</v>
      </c>
      <c r="O742">
        <v>0</v>
      </c>
      <c r="P742" s="9">
        <v>46147.645185185182</v>
      </c>
    </row>
    <row r="743" spans="1:16" hidden="1" x14ac:dyDescent="0.25">
      <c r="A743" t="s">
        <v>9</v>
      </c>
      <c r="B743" s="4">
        <v>46149</v>
      </c>
      <c r="C743" t="s">
        <v>781</v>
      </c>
      <c r="D743">
        <v>66800</v>
      </c>
      <c r="E743" t="s">
        <v>40</v>
      </c>
      <c r="F743">
        <v>10499.6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10499.6</v>
      </c>
      <c r="O743">
        <v>0</v>
      </c>
      <c r="P743" s="9">
        <v>25569.229166666668</v>
      </c>
    </row>
    <row r="744" spans="1:16" hidden="1" x14ac:dyDescent="0.25">
      <c r="A744" t="s">
        <v>9</v>
      </c>
      <c r="B744" s="4">
        <v>46149</v>
      </c>
      <c r="C744" t="s">
        <v>782</v>
      </c>
      <c r="D744">
        <v>66800</v>
      </c>
      <c r="E744" t="s">
        <v>42</v>
      </c>
      <c r="F744">
        <v>0.4</v>
      </c>
      <c r="G744">
        <v>8400</v>
      </c>
      <c r="H744">
        <v>980</v>
      </c>
      <c r="I744">
        <v>2680</v>
      </c>
      <c r="J744">
        <v>500</v>
      </c>
      <c r="K744">
        <v>2.95</v>
      </c>
      <c r="L744">
        <v>3.9</v>
      </c>
      <c r="M744">
        <v>0.4</v>
      </c>
      <c r="N744">
        <v>2</v>
      </c>
      <c r="O744">
        <v>0</v>
      </c>
      <c r="P744" s="9">
        <v>46147.644699074073</v>
      </c>
    </row>
    <row r="745" spans="1:16" hidden="1" x14ac:dyDescent="0.25">
      <c r="A745" t="s">
        <v>9</v>
      </c>
      <c r="B745" s="4">
        <v>46149</v>
      </c>
      <c r="C745" t="s">
        <v>783</v>
      </c>
      <c r="D745">
        <v>66900</v>
      </c>
      <c r="E745" t="s">
        <v>40</v>
      </c>
      <c r="F745">
        <v>10399.65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10399.65</v>
      </c>
      <c r="O745">
        <v>0</v>
      </c>
      <c r="P745" s="9">
        <v>25569.229166666668</v>
      </c>
    </row>
    <row r="746" spans="1:16" hidden="1" x14ac:dyDescent="0.25">
      <c r="A746" t="s">
        <v>9</v>
      </c>
      <c r="B746" s="4">
        <v>46149</v>
      </c>
      <c r="C746" t="s">
        <v>784</v>
      </c>
      <c r="D746">
        <v>66900</v>
      </c>
      <c r="E746" t="s">
        <v>42</v>
      </c>
      <c r="F746">
        <v>0.4</v>
      </c>
      <c r="G746">
        <v>28020</v>
      </c>
      <c r="H746">
        <v>860</v>
      </c>
      <c r="I746">
        <v>5380</v>
      </c>
      <c r="J746">
        <v>340</v>
      </c>
      <c r="K746">
        <v>3.35</v>
      </c>
      <c r="L746">
        <v>4.0999999999999996</v>
      </c>
      <c r="M746">
        <v>0.3</v>
      </c>
      <c r="N746">
        <v>2.2000000000000002</v>
      </c>
      <c r="O746">
        <v>0</v>
      </c>
      <c r="P746" s="9">
        <v>46147.645590277774</v>
      </c>
    </row>
    <row r="747" spans="1:16" hidden="1" x14ac:dyDescent="0.25">
      <c r="A747" t="s">
        <v>9</v>
      </c>
      <c r="B747" s="4">
        <v>46149</v>
      </c>
      <c r="C747" t="s">
        <v>785</v>
      </c>
      <c r="D747">
        <v>67000</v>
      </c>
      <c r="E747" t="s">
        <v>40</v>
      </c>
      <c r="F747">
        <v>10299.700000000001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10299.700000000001</v>
      </c>
      <c r="O747">
        <v>0</v>
      </c>
      <c r="P747" s="9">
        <v>25569.229166666668</v>
      </c>
    </row>
    <row r="748" spans="1:16" hidden="1" x14ac:dyDescent="0.25">
      <c r="A748" t="s">
        <v>9</v>
      </c>
      <c r="B748" s="4">
        <v>46149</v>
      </c>
      <c r="C748" t="s">
        <v>786</v>
      </c>
      <c r="D748">
        <v>67000</v>
      </c>
      <c r="E748" t="s">
        <v>42</v>
      </c>
      <c r="F748">
        <v>0.5</v>
      </c>
      <c r="G748">
        <v>15720</v>
      </c>
      <c r="H748">
        <v>4180</v>
      </c>
      <c r="I748">
        <v>5700</v>
      </c>
      <c r="J748">
        <v>4180</v>
      </c>
      <c r="K748">
        <v>3</v>
      </c>
      <c r="L748">
        <v>3</v>
      </c>
      <c r="M748">
        <v>0.45</v>
      </c>
      <c r="N748">
        <v>2.35</v>
      </c>
      <c r="O748">
        <v>0</v>
      </c>
      <c r="P748" s="9">
        <v>46147.645451388889</v>
      </c>
    </row>
    <row r="749" spans="1:16" hidden="1" x14ac:dyDescent="0.25">
      <c r="A749" t="s">
        <v>9</v>
      </c>
      <c r="B749" s="4">
        <v>46149</v>
      </c>
      <c r="C749" t="s">
        <v>787</v>
      </c>
      <c r="D749">
        <v>67100</v>
      </c>
      <c r="E749" t="s">
        <v>40</v>
      </c>
      <c r="F749">
        <v>10199.75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10199.75</v>
      </c>
      <c r="O749">
        <v>0</v>
      </c>
      <c r="P749" s="9">
        <v>25569.229166666668</v>
      </c>
    </row>
    <row r="750" spans="1:16" hidden="1" x14ac:dyDescent="0.25">
      <c r="A750" t="s">
        <v>9</v>
      </c>
      <c r="B750" s="4">
        <v>46149</v>
      </c>
      <c r="C750" t="s">
        <v>788</v>
      </c>
      <c r="D750">
        <v>67100</v>
      </c>
      <c r="E750" t="s">
        <v>42</v>
      </c>
      <c r="F750">
        <v>0.65</v>
      </c>
      <c r="G750">
        <v>760</v>
      </c>
      <c r="H750">
        <v>300</v>
      </c>
      <c r="I750">
        <v>340</v>
      </c>
      <c r="J750">
        <v>200</v>
      </c>
      <c r="K750">
        <v>2.95</v>
      </c>
      <c r="L750">
        <v>2.95</v>
      </c>
      <c r="M750">
        <v>0.35</v>
      </c>
      <c r="N750">
        <v>2.1</v>
      </c>
      <c r="O750">
        <v>0</v>
      </c>
      <c r="P750" s="9">
        <v>46147.645810185182</v>
      </c>
    </row>
    <row r="751" spans="1:16" hidden="1" x14ac:dyDescent="0.25">
      <c r="A751" t="s">
        <v>9</v>
      </c>
      <c r="B751" s="4">
        <v>46149</v>
      </c>
      <c r="C751" t="s">
        <v>789</v>
      </c>
      <c r="D751">
        <v>67200</v>
      </c>
      <c r="E751" t="s">
        <v>40</v>
      </c>
      <c r="F751">
        <v>10099.75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10099.75</v>
      </c>
      <c r="O751">
        <v>0</v>
      </c>
      <c r="P751" s="9">
        <v>25569.229166666668</v>
      </c>
    </row>
    <row r="752" spans="1:16" hidden="1" x14ac:dyDescent="0.25">
      <c r="A752" t="s">
        <v>9</v>
      </c>
      <c r="B752" s="4">
        <v>46149</v>
      </c>
      <c r="C752" t="s">
        <v>790</v>
      </c>
      <c r="D752">
        <v>67200</v>
      </c>
      <c r="E752" t="s">
        <v>42</v>
      </c>
      <c r="F752">
        <v>0.4</v>
      </c>
      <c r="G752">
        <v>7620</v>
      </c>
      <c r="H752">
        <v>2020</v>
      </c>
      <c r="I752">
        <v>3260</v>
      </c>
      <c r="J752">
        <v>1400</v>
      </c>
      <c r="K752">
        <v>2.85</v>
      </c>
      <c r="L752">
        <v>3.75</v>
      </c>
      <c r="M752">
        <v>0.4</v>
      </c>
      <c r="N752">
        <v>2.0499999999999998</v>
      </c>
      <c r="O752">
        <v>0</v>
      </c>
      <c r="P752" s="9">
        <v>46147.644583333335</v>
      </c>
    </row>
    <row r="753" spans="1:16" hidden="1" x14ac:dyDescent="0.25">
      <c r="A753" t="s">
        <v>9</v>
      </c>
      <c r="B753" s="4">
        <v>46149</v>
      </c>
      <c r="C753" t="s">
        <v>791</v>
      </c>
      <c r="D753">
        <v>67300</v>
      </c>
      <c r="E753" t="s">
        <v>40</v>
      </c>
      <c r="F753">
        <v>9999.7999999999993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9999.7999999999993</v>
      </c>
      <c r="O753">
        <v>0</v>
      </c>
      <c r="P753" s="9">
        <v>25569.229166666668</v>
      </c>
    </row>
    <row r="754" spans="1:16" hidden="1" x14ac:dyDescent="0.25">
      <c r="A754" t="s">
        <v>9</v>
      </c>
      <c r="B754" s="4">
        <v>46149</v>
      </c>
      <c r="C754" t="s">
        <v>792</v>
      </c>
      <c r="D754">
        <v>67300</v>
      </c>
      <c r="E754" t="s">
        <v>42</v>
      </c>
      <c r="F754">
        <v>0.4</v>
      </c>
      <c r="G754">
        <v>2440</v>
      </c>
      <c r="H754">
        <v>700</v>
      </c>
      <c r="I754">
        <v>1380</v>
      </c>
      <c r="J754">
        <v>700</v>
      </c>
      <c r="K754">
        <v>2.9</v>
      </c>
      <c r="L754">
        <v>3.05</v>
      </c>
      <c r="M754">
        <v>0.35</v>
      </c>
      <c r="N754">
        <v>1.75</v>
      </c>
      <c r="O754">
        <v>0</v>
      </c>
      <c r="P754" s="9">
        <v>46147.643067129633</v>
      </c>
    </row>
    <row r="755" spans="1:16" hidden="1" x14ac:dyDescent="0.25">
      <c r="A755" t="s">
        <v>9</v>
      </c>
      <c r="B755" s="4">
        <v>46149</v>
      </c>
      <c r="C755" t="s">
        <v>793</v>
      </c>
      <c r="D755">
        <v>67400</v>
      </c>
      <c r="E755" t="s">
        <v>40</v>
      </c>
      <c r="F755">
        <v>9899.85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9899.85</v>
      </c>
      <c r="O755">
        <v>0</v>
      </c>
      <c r="P755" s="9">
        <v>25569.229166666668</v>
      </c>
    </row>
    <row r="756" spans="1:16" hidden="1" x14ac:dyDescent="0.25">
      <c r="A756" t="s">
        <v>9</v>
      </c>
      <c r="B756" s="4">
        <v>46149</v>
      </c>
      <c r="C756" t="s">
        <v>794</v>
      </c>
      <c r="D756">
        <v>67400</v>
      </c>
      <c r="E756" t="s">
        <v>42</v>
      </c>
      <c r="F756">
        <v>0.45</v>
      </c>
      <c r="G756">
        <v>2980</v>
      </c>
      <c r="H756">
        <v>360</v>
      </c>
      <c r="I756">
        <v>1360</v>
      </c>
      <c r="J756">
        <v>120</v>
      </c>
      <c r="K756">
        <v>3</v>
      </c>
      <c r="L756">
        <v>3.35</v>
      </c>
      <c r="M756">
        <v>0.4</v>
      </c>
      <c r="N756">
        <v>1.75</v>
      </c>
      <c r="O756">
        <v>0</v>
      </c>
      <c r="P756" s="9">
        <v>46147.643194444441</v>
      </c>
    </row>
    <row r="757" spans="1:16" hidden="1" x14ac:dyDescent="0.25">
      <c r="A757" t="s">
        <v>9</v>
      </c>
      <c r="B757" s="4">
        <v>46149</v>
      </c>
      <c r="C757" t="s">
        <v>795</v>
      </c>
      <c r="D757">
        <v>67500</v>
      </c>
      <c r="E757" t="s">
        <v>40</v>
      </c>
      <c r="F757">
        <v>9799.9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9799.9</v>
      </c>
      <c r="O757">
        <v>0</v>
      </c>
      <c r="P757" s="9">
        <v>25569.229166666668</v>
      </c>
    </row>
    <row r="758" spans="1:16" hidden="1" x14ac:dyDescent="0.25">
      <c r="A758" t="s">
        <v>9</v>
      </c>
      <c r="B758" s="4">
        <v>46149</v>
      </c>
      <c r="C758" t="s">
        <v>796</v>
      </c>
      <c r="D758">
        <v>67500</v>
      </c>
      <c r="E758" t="s">
        <v>42</v>
      </c>
      <c r="F758">
        <v>0.85</v>
      </c>
      <c r="G758">
        <v>8420</v>
      </c>
      <c r="H758">
        <v>3220</v>
      </c>
      <c r="I758">
        <v>3660</v>
      </c>
      <c r="J758">
        <v>400</v>
      </c>
      <c r="K758">
        <v>2.9</v>
      </c>
      <c r="L758">
        <v>5</v>
      </c>
      <c r="M758">
        <v>0.4</v>
      </c>
      <c r="N758">
        <v>2.6</v>
      </c>
      <c r="O758">
        <v>0</v>
      </c>
      <c r="P758" s="9">
        <v>46147.644467592596</v>
      </c>
    </row>
    <row r="759" spans="1:16" hidden="1" x14ac:dyDescent="0.25">
      <c r="A759" t="s">
        <v>9</v>
      </c>
      <c r="B759" s="4">
        <v>46149</v>
      </c>
      <c r="C759" t="s">
        <v>797</v>
      </c>
      <c r="D759">
        <v>67600</v>
      </c>
      <c r="E759" t="s">
        <v>40</v>
      </c>
      <c r="F759">
        <v>9699.9500000000007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9699.9500000000007</v>
      </c>
      <c r="O759">
        <v>0</v>
      </c>
      <c r="P759" s="9">
        <v>25569.229166666668</v>
      </c>
    </row>
    <row r="760" spans="1:16" hidden="1" x14ac:dyDescent="0.25">
      <c r="A760" t="s">
        <v>9</v>
      </c>
      <c r="B760" s="4">
        <v>46149</v>
      </c>
      <c r="C760" t="s">
        <v>798</v>
      </c>
      <c r="D760">
        <v>67600</v>
      </c>
      <c r="E760" t="s">
        <v>42</v>
      </c>
      <c r="F760">
        <v>0.55000000000000004</v>
      </c>
      <c r="G760">
        <v>16500</v>
      </c>
      <c r="H760">
        <v>560</v>
      </c>
      <c r="I760">
        <v>1940</v>
      </c>
      <c r="J760">
        <v>120</v>
      </c>
      <c r="K760">
        <v>3.6</v>
      </c>
      <c r="L760">
        <v>3.6</v>
      </c>
      <c r="M760">
        <v>0.35</v>
      </c>
      <c r="N760">
        <v>2.5</v>
      </c>
      <c r="O760">
        <v>0</v>
      </c>
      <c r="P760" s="9">
        <v>46147.645358796297</v>
      </c>
    </row>
    <row r="761" spans="1:16" hidden="1" x14ac:dyDescent="0.25">
      <c r="A761" t="s">
        <v>9</v>
      </c>
      <c r="B761" s="4">
        <v>46149</v>
      </c>
      <c r="C761" t="s">
        <v>799</v>
      </c>
      <c r="D761">
        <v>67700</v>
      </c>
      <c r="E761" t="s">
        <v>40</v>
      </c>
      <c r="F761">
        <v>9600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9600</v>
      </c>
      <c r="O761">
        <v>0</v>
      </c>
      <c r="P761" s="9">
        <v>25569.229166666668</v>
      </c>
    </row>
    <row r="762" spans="1:16" hidden="1" x14ac:dyDescent="0.25">
      <c r="A762" t="s">
        <v>9</v>
      </c>
      <c r="B762" s="4">
        <v>46149</v>
      </c>
      <c r="C762" t="s">
        <v>800</v>
      </c>
      <c r="D762">
        <v>67700</v>
      </c>
      <c r="E762" t="s">
        <v>42</v>
      </c>
      <c r="F762">
        <v>0.4</v>
      </c>
      <c r="G762">
        <v>2220</v>
      </c>
      <c r="H762">
        <v>300</v>
      </c>
      <c r="I762">
        <v>720</v>
      </c>
      <c r="J762">
        <v>300</v>
      </c>
      <c r="K762">
        <v>2.95</v>
      </c>
      <c r="L762">
        <v>3.6</v>
      </c>
      <c r="M762">
        <v>0.35</v>
      </c>
      <c r="N762">
        <v>2.4500000000000002</v>
      </c>
      <c r="O762">
        <v>0</v>
      </c>
      <c r="P762" s="9">
        <v>46147.642962962964</v>
      </c>
    </row>
    <row r="763" spans="1:16" hidden="1" x14ac:dyDescent="0.25">
      <c r="A763" t="s">
        <v>9</v>
      </c>
      <c r="B763" s="4">
        <v>46149</v>
      </c>
      <c r="C763" t="s">
        <v>801</v>
      </c>
      <c r="D763">
        <v>67800</v>
      </c>
      <c r="E763" t="s">
        <v>40</v>
      </c>
      <c r="F763">
        <v>9500.0499999999993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9500.0499999999993</v>
      </c>
      <c r="O763">
        <v>0</v>
      </c>
      <c r="P763" s="9">
        <v>25569.229166666668</v>
      </c>
    </row>
    <row r="764" spans="1:16" hidden="1" x14ac:dyDescent="0.25">
      <c r="A764" t="s">
        <v>9</v>
      </c>
      <c r="B764" s="4">
        <v>46149</v>
      </c>
      <c r="C764" t="s">
        <v>802</v>
      </c>
      <c r="D764">
        <v>67800</v>
      </c>
      <c r="E764" t="s">
        <v>42</v>
      </c>
      <c r="F764">
        <v>0.5</v>
      </c>
      <c r="G764">
        <v>4500</v>
      </c>
      <c r="H764">
        <v>420</v>
      </c>
      <c r="I764">
        <v>900</v>
      </c>
      <c r="J764">
        <v>120</v>
      </c>
      <c r="K764">
        <v>3.1</v>
      </c>
      <c r="L764">
        <v>3.45</v>
      </c>
      <c r="M764">
        <v>0.35</v>
      </c>
      <c r="N764">
        <v>2.25</v>
      </c>
      <c r="O764">
        <v>0</v>
      </c>
      <c r="P764" s="9">
        <v>46147.645057870373</v>
      </c>
    </row>
    <row r="765" spans="1:16" hidden="1" x14ac:dyDescent="0.25">
      <c r="A765" t="s">
        <v>9</v>
      </c>
      <c r="B765" s="4">
        <v>46149</v>
      </c>
      <c r="C765" t="s">
        <v>803</v>
      </c>
      <c r="D765">
        <v>67900</v>
      </c>
      <c r="E765" t="s">
        <v>40</v>
      </c>
      <c r="F765">
        <v>9400.1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9400.1</v>
      </c>
      <c r="O765">
        <v>0</v>
      </c>
      <c r="P765" s="9">
        <v>25569.229166666668</v>
      </c>
    </row>
    <row r="766" spans="1:16" hidden="1" x14ac:dyDescent="0.25">
      <c r="A766" t="s">
        <v>9</v>
      </c>
      <c r="B766" s="4">
        <v>46149</v>
      </c>
      <c r="C766" t="s">
        <v>804</v>
      </c>
      <c r="D766">
        <v>67900</v>
      </c>
      <c r="E766" t="s">
        <v>42</v>
      </c>
      <c r="F766">
        <v>0.4</v>
      </c>
      <c r="G766">
        <v>13020</v>
      </c>
      <c r="H766">
        <v>740</v>
      </c>
      <c r="I766">
        <v>2260</v>
      </c>
      <c r="J766">
        <v>180</v>
      </c>
      <c r="K766">
        <v>3.25</v>
      </c>
      <c r="L766">
        <v>3.4</v>
      </c>
      <c r="M766">
        <v>0.4</v>
      </c>
      <c r="N766">
        <v>2.4</v>
      </c>
      <c r="O766">
        <v>0</v>
      </c>
      <c r="P766" s="9">
        <v>46147.644976851851</v>
      </c>
    </row>
    <row r="767" spans="1:16" hidden="1" x14ac:dyDescent="0.25">
      <c r="A767" t="s">
        <v>9</v>
      </c>
      <c r="B767" s="4">
        <v>46149</v>
      </c>
      <c r="C767" t="s">
        <v>805</v>
      </c>
      <c r="D767">
        <v>68000</v>
      </c>
      <c r="E767" t="s">
        <v>40</v>
      </c>
      <c r="F767">
        <v>8664.9500000000007</v>
      </c>
      <c r="G767">
        <v>60</v>
      </c>
      <c r="H767">
        <v>20</v>
      </c>
      <c r="I767">
        <v>40</v>
      </c>
      <c r="J767">
        <v>20</v>
      </c>
      <c r="K767">
        <v>9300.15</v>
      </c>
      <c r="L767">
        <v>9300.15</v>
      </c>
      <c r="M767">
        <v>8664.7999999999993</v>
      </c>
      <c r="N767">
        <v>9300.15</v>
      </c>
      <c r="O767">
        <v>0</v>
      </c>
      <c r="P767" s="9">
        <v>46147.50986111111</v>
      </c>
    </row>
    <row r="768" spans="1:16" hidden="1" x14ac:dyDescent="0.25">
      <c r="A768" t="s">
        <v>9</v>
      </c>
      <c r="B768" s="4">
        <v>46149</v>
      </c>
      <c r="C768" t="s">
        <v>806</v>
      </c>
      <c r="D768">
        <v>68000</v>
      </c>
      <c r="E768" t="s">
        <v>42</v>
      </c>
      <c r="F768">
        <v>0.8</v>
      </c>
      <c r="G768">
        <v>222120</v>
      </c>
      <c r="H768">
        <v>79820</v>
      </c>
      <c r="I768">
        <v>98340</v>
      </c>
      <c r="J768">
        <v>79820</v>
      </c>
      <c r="K768">
        <v>2.7</v>
      </c>
      <c r="L768">
        <v>3.8</v>
      </c>
      <c r="M768">
        <v>0.75</v>
      </c>
      <c r="N768">
        <v>2.7</v>
      </c>
      <c r="O768">
        <v>0</v>
      </c>
      <c r="P768" s="9">
        <v>46147.645752314813</v>
      </c>
    </row>
    <row r="769" spans="1:16" hidden="1" x14ac:dyDescent="0.25">
      <c r="A769" t="s">
        <v>9</v>
      </c>
      <c r="B769" s="4">
        <v>46149</v>
      </c>
      <c r="C769" t="s">
        <v>807</v>
      </c>
      <c r="D769">
        <v>68100</v>
      </c>
      <c r="E769" t="s">
        <v>40</v>
      </c>
      <c r="F769">
        <v>9200.2000000000007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9200.2000000000007</v>
      </c>
      <c r="O769">
        <v>0</v>
      </c>
      <c r="P769" s="9">
        <v>25569.229166666668</v>
      </c>
    </row>
    <row r="770" spans="1:16" hidden="1" x14ac:dyDescent="0.25">
      <c r="A770" t="s">
        <v>9</v>
      </c>
      <c r="B770" s="4">
        <v>46149</v>
      </c>
      <c r="C770" t="s">
        <v>808</v>
      </c>
      <c r="D770">
        <v>68100</v>
      </c>
      <c r="E770" t="s">
        <v>42</v>
      </c>
      <c r="F770">
        <v>0.45</v>
      </c>
      <c r="G770">
        <v>2520</v>
      </c>
      <c r="H770">
        <v>180</v>
      </c>
      <c r="I770">
        <v>860</v>
      </c>
      <c r="J770">
        <v>180</v>
      </c>
      <c r="K770">
        <v>3.6</v>
      </c>
      <c r="L770">
        <v>3.75</v>
      </c>
      <c r="M770">
        <v>0.45</v>
      </c>
      <c r="N770">
        <v>2.5499999999999998</v>
      </c>
      <c r="O770">
        <v>0</v>
      </c>
      <c r="P770" s="9">
        <v>46147.643379629626</v>
      </c>
    </row>
    <row r="771" spans="1:16" hidden="1" x14ac:dyDescent="0.25">
      <c r="A771" t="s">
        <v>9</v>
      </c>
      <c r="B771" s="4">
        <v>46149</v>
      </c>
      <c r="C771" t="s">
        <v>809</v>
      </c>
      <c r="D771">
        <v>68200</v>
      </c>
      <c r="E771" t="s">
        <v>40</v>
      </c>
      <c r="F771">
        <v>9100.2000000000007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9100.2000000000007</v>
      </c>
      <c r="O771">
        <v>0</v>
      </c>
      <c r="P771" s="9">
        <v>25569.229166666668</v>
      </c>
    </row>
    <row r="772" spans="1:16" hidden="1" x14ac:dyDescent="0.25">
      <c r="A772" t="s">
        <v>9</v>
      </c>
      <c r="B772" s="4">
        <v>46149</v>
      </c>
      <c r="C772" t="s">
        <v>810</v>
      </c>
      <c r="D772">
        <v>68200</v>
      </c>
      <c r="E772" t="s">
        <v>42</v>
      </c>
      <c r="F772">
        <v>0.6</v>
      </c>
      <c r="G772">
        <v>5300</v>
      </c>
      <c r="H772">
        <v>360</v>
      </c>
      <c r="I772">
        <v>920</v>
      </c>
      <c r="J772">
        <v>360</v>
      </c>
      <c r="K772">
        <v>3.7</v>
      </c>
      <c r="L772">
        <v>3.8</v>
      </c>
      <c r="M772">
        <v>0.4</v>
      </c>
      <c r="N772">
        <v>2.95</v>
      </c>
      <c r="O772">
        <v>0</v>
      </c>
      <c r="P772" s="9">
        <v>46147.645370370374</v>
      </c>
    </row>
    <row r="773" spans="1:16" hidden="1" x14ac:dyDescent="0.25">
      <c r="A773" t="s">
        <v>9</v>
      </c>
      <c r="B773" s="4">
        <v>46149</v>
      </c>
      <c r="C773" t="s">
        <v>811</v>
      </c>
      <c r="D773">
        <v>68300</v>
      </c>
      <c r="E773" t="s">
        <v>40</v>
      </c>
      <c r="F773">
        <v>9000.25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9000.25</v>
      </c>
      <c r="O773">
        <v>0</v>
      </c>
      <c r="P773" s="9">
        <v>25569.229166666668</v>
      </c>
    </row>
    <row r="774" spans="1:16" hidden="1" x14ac:dyDescent="0.25">
      <c r="A774" t="s">
        <v>9</v>
      </c>
      <c r="B774" s="4">
        <v>46149</v>
      </c>
      <c r="C774" t="s">
        <v>812</v>
      </c>
      <c r="D774">
        <v>68300</v>
      </c>
      <c r="E774" t="s">
        <v>42</v>
      </c>
      <c r="F774">
        <v>0.55000000000000004</v>
      </c>
      <c r="G774">
        <v>1820</v>
      </c>
      <c r="H774">
        <v>100</v>
      </c>
      <c r="I774">
        <v>720</v>
      </c>
      <c r="J774">
        <v>100</v>
      </c>
      <c r="K774">
        <v>3.5</v>
      </c>
      <c r="L774">
        <v>3.85</v>
      </c>
      <c r="M774">
        <v>0.55000000000000004</v>
      </c>
      <c r="N774">
        <v>2.4500000000000002</v>
      </c>
      <c r="O774">
        <v>0</v>
      </c>
      <c r="P774" s="9">
        <v>46147.64340277778</v>
      </c>
    </row>
    <row r="775" spans="1:16" hidden="1" x14ac:dyDescent="0.25">
      <c r="A775" t="s">
        <v>9</v>
      </c>
      <c r="B775" s="4">
        <v>46149</v>
      </c>
      <c r="C775" t="s">
        <v>813</v>
      </c>
      <c r="D775">
        <v>68400</v>
      </c>
      <c r="E775" t="s">
        <v>40</v>
      </c>
      <c r="F775">
        <v>8900.2999999999993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8900.2999999999993</v>
      </c>
      <c r="O775">
        <v>0</v>
      </c>
      <c r="P775" s="9">
        <v>25569.229166666668</v>
      </c>
    </row>
    <row r="776" spans="1:16" hidden="1" x14ac:dyDescent="0.25">
      <c r="A776" t="s">
        <v>9</v>
      </c>
      <c r="B776" s="4">
        <v>46149</v>
      </c>
      <c r="C776" t="s">
        <v>814</v>
      </c>
      <c r="D776">
        <v>68400</v>
      </c>
      <c r="E776" t="s">
        <v>42</v>
      </c>
      <c r="F776">
        <v>0.5</v>
      </c>
      <c r="G776">
        <v>10380</v>
      </c>
      <c r="H776">
        <v>880</v>
      </c>
      <c r="I776">
        <v>1980</v>
      </c>
      <c r="J776">
        <v>460</v>
      </c>
      <c r="K776">
        <v>3.5</v>
      </c>
      <c r="L776">
        <v>3.9</v>
      </c>
      <c r="M776">
        <v>0.5</v>
      </c>
      <c r="N776">
        <v>2.75</v>
      </c>
      <c r="O776">
        <v>0</v>
      </c>
      <c r="P776" s="9">
        <v>46147.645185185182</v>
      </c>
    </row>
    <row r="777" spans="1:16" hidden="1" x14ac:dyDescent="0.25">
      <c r="A777" t="s">
        <v>9</v>
      </c>
      <c r="B777" s="4">
        <v>46149</v>
      </c>
      <c r="C777" t="s">
        <v>815</v>
      </c>
      <c r="D777">
        <v>68500</v>
      </c>
      <c r="E777" t="s">
        <v>40</v>
      </c>
      <c r="F777">
        <v>8800.35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8800.35</v>
      </c>
      <c r="O777">
        <v>0</v>
      </c>
      <c r="P777" s="9">
        <v>25569.229166666668</v>
      </c>
    </row>
    <row r="778" spans="1:16" hidden="1" x14ac:dyDescent="0.25">
      <c r="A778" t="s">
        <v>9</v>
      </c>
      <c r="B778" s="4">
        <v>46149</v>
      </c>
      <c r="C778" t="s">
        <v>816</v>
      </c>
      <c r="D778">
        <v>68500</v>
      </c>
      <c r="E778" t="s">
        <v>42</v>
      </c>
      <c r="F778">
        <v>0.5</v>
      </c>
      <c r="G778">
        <v>11200</v>
      </c>
      <c r="H778">
        <v>2260</v>
      </c>
      <c r="I778">
        <v>2300</v>
      </c>
      <c r="J778">
        <v>1640</v>
      </c>
      <c r="K778">
        <v>2.75</v>
      </c>
      <c r="L778">
        <v>3.1</v>
      </c>
      <c r="M778">
        <v>0.45</v>
      </c>
      <c r="N778">
        <v>2.9</v>
      </c>
      <c r="O778">
        <v>0</v>
      </c>
      <c r="P778" s="9">
        <v>46147.645185185182</v>
      </c>
    </row>
    <row r="779" spans="1:16" hidden="1" x14ac:dyDescent="0.25">
      <c r="A779" t="s">
        <v>9</v>
      </c>
      <c r="B779" s="4">
        <v>46149</v>
      </c>
      <c r="C779" t="s">
        <v>817</v>
      </c>
      <c r="D779">
        <v>68600</v>
      </c>
      <c r="E779" t="s">
        <v>40</v>
      </c>
      <c r="F779">
        <v>8700.4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8700.4</v>
      </c>
      <c r="O779">
        <v>0</v>
      </c>
      <c r="P779" s="9">
        <v>25569.229166666668</v>
      </c>
    </row>
    <row r="780" spans="1:16" hidden="1" x14ac:dyDescent="0.25">
      <c r="A780" t="s">
        <v>9</v>
      </c>
      <c r="B780" s="4">
        <v>46149</v>
      </c>
      <c r="C780" t="s">
        <v>818</v>
      </c>
      <c r="D780">
        <v>68600</v>
      </c>
      <c r="E780" t="s">
        <v>42</v>
      </c>
      <c r="F780">
        <v>0.5</v>
      </c>
      <c r="G780">
        <v>8780</v>
      </c>
      <c r="H780">
        <v>540</v>
      </c>
      <c r="I780">
        <v>2420</v>
      </c>
      <c r="J780">
        <v>540</v>
      </c>
      <c r="K780">
        <v>3.3</v>
      </c>
      <c r="L780">
        <v>3.3</v>
      </c>
      <c r="M780">
        <v>0.5</v>
      </c>
      <c r="N780">
        <v>3.2</v>
      </c>
      <c r="O780">
        <v>0</v>
      </c>
      <c r="P780" s="9">
        <v>46147.644444444442</v>
      </c>
    </row>
    <row r="781" spans="1:16" hidden="1" x14ac:dyDescent="0.25">
      <c r="A781" t="s">
        <v>9</v>
      </c>
      <c r="B781" s="4">
        <v>46149</v>
      </c>
      <c r="C781" t="s">
        <v>819</v>
      </c>
      <c r="D781">
        <v>68700</v>
      </c>
      <c r="E781" t="s">
        <v>40</v>
      </c>
      <c r="F781">
        <v>8600.4500000000007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8600.4500000000007</v>
      </c>
      <c r="O781">
        <v>0</v>
      </c>
      <c r="P781" s="9">
        <v>25569.229166666668</v>
      </c>
    </row>
    <row r="782" spans="1:16" hidden="1" x14ac:dyDescent="0.25">
      <c r="A782" t="s">
        <v>9</v>
      </c>
      <c r="B782" s="4">
        <v>46149</v>
      </c>
      <c r="C782" t="s">
        <v>820</v>
      </c>
      <c r="D782">
        <v>68700</v>
      </c>
      <c r="E782" t="s">
        <v>42</v>
      </c>
      <c r="F782">
        <v>0.4</v>
      </c>
      <c r="G782">
        <v>8380</v>
      </c>
      <c r="H782">
        <v>360</v>
      </c>
      <c r="I782">
        <v>2460</v>
      </c>
      <c r="J782">
        <v>360</v>
      </c>
      <c r="K782">
        <v>3.7</v>
      </c>
      <c r="L782">
        <v>3.7</v>
      </c>
      <c r="M782">
        <v>0.4</v>
      </c>
      <c r="N782">
        <v>3.25</v>
      </c>
      <c r="O782">
        <v>0</v>
      </c>
      <c r="P782" s="9">
        <v>46147.644444444442</v>
      </c>
    </row>
    <row r="783" spans="1:16" hidden="1" x14ac:dyDescent="0.25">
      <c r="A783" t="s">
        <v>9</v>
      </c>
      <c r="B783" s="4">
        <v>46149</v>
      </c>
      <c r="C783" t="s">
        <v>821</v>
      </c>
      <c r="D783">
        <v>68800</v>
      </c>
      <c r="E783" t="s">
        <v>40</v>
      </c>
      <c r="F783">
        <v>8500.5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8500.5</v>
      </c>
      <c r="O783">
        <v>0</v>
      </c>
      <c r="P783" s="9">
        <v>25569.229166666668</v>
      </c>
    </row>
    <row r="784" spans="1:16" hidden="1" x14ac:dyDescent="0.25">
      <c r="A784" t="s">
        <v>9</v>
      </c>
      <c r="B784" s="4">
        <v>46149</v>
      </c>
      <c r="C784" t="s">
        <v>822</v>
      </c>
      <c r="D784">
        <v>68800</v>
      </c>
      <c r="E784" t="s">
        <v>42</v>
      </c>
      <c r="F784">
        <v>1</v>
      </c>
      <c r="G784">
        <v>11320</v>
      </c>
      <c r="H784">
        <v>660</v>
      </c>
      <c r="I784">
        <v>1480</v>
      </c>
      <c r="J784">
        <v>560</v>
      </c>
      <c r="K784">
        <v>3.8</v>
      </c>
      <c r="L784">
        <v>3.85</v>
      </c>
      <c r="M784">
        <v>0.45</v>
      </c>
      <c r="N784">
        <v>2.8</v>
      </c>
      <c r="O784">
        <v>0</v>
      </c>
      <c r="P784" s="9">
        <v>46147.645486111112</v>
      </c>
    </row>
    <row r="785" spans="1:16" hidden="1" x14ac:dyDescent="0.25">
      <c r="A785" t="s">
        <v>9</v>
      </c>
      <c r="B785" s="4">
        <v>46149</v>
      </c>
      <c r="C785" t="s">
        <v>823</v>
      </c>
      <c r="D785">
        <v>68900</v>
      </c>
      <c r="E785" t="s">
        <v>40</v>
      </c>
      <c r="F785">
        <v>8400.5499999999993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8400.5499999999993</v>
      </c>
      <c r="O785">
        <v>0</v>
      </c>
      <c r="P785" s="9">
        <v>25569.229166666668</v>
      </c>
    </row>
    <row r="786" spans="1:16" hidden="1" x14ac:dyDescent="0.25">
      <c r="A786" t="s">
        <v>9</v>
      </c>
      <c r="B786" s="4">
        <v>46149</v>
      </c>
      <c r="C786" t="s">
        <v>824</v>
      </c>
      <c r="D786">
        <v>68900</v>
      </c>
      <c r="E786" t="s">
        <v>42</v>
      </c>
      <c r="F786">
        <v>0.45</v>
      </c>
      <c r="G786">
        <v>7040</v>
      </c>
      <c r="H786">
        <v>540</v>
      </c>
      <c r="I786">
        <v>1280</v>
      </c>
      <c r="J786">
        <v>480</v>
      </c>
      <c r="K786">
        <v>3.8</v>
      </c>
      <c r="L786">
        <v>3.8</v>
      </c>
      <c r="M786">
        <v>0.45</v>
      </c>
      <c r="N786">
        <v>2.85</v>
      </c>
      <c r="O786">
        <v>0</v>
      </c>
      <c r="P786" s="9">
        <v>46147.645590277774</v>
      </c>
    </row>
    <row r="787" spans="1:16" hidden="1" x14ac:dyDescent="0.25">
      <c r="A787" t="s">
        <v>9</v>
      </c>
      <c r="B787" s="4">
        <v>46149</v>
      </c>
      <c r="C787" t="s">
        <v>825</v>
      </c>
      <c r="D787">
        <v>69000</v>
      </c>
      <c r="E787" t="s">
        <v>40</v>
      </c>
      <c r="F787">
        <v>8300.6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8300.6</v>
      </c>
      <c r="O787">
        <v>0</v>
      </c>
      <c r="P787" s="9">
        <v>25569.229166666668</v>
      </c>
    </row>
    <row r="788" spans="1:16" hidden="1" x14ac:dyDescent="0.25">
      <c r="A788" t="s">
        <v>9</v>
      </c>
      <c r="B788" s="4">
        <v>46149</v>
      </c>
      <c r="C788" t="s">
        <v>826</v>
      </c>
      <c r="D788">
        <v>69000</v>
      </c>
      <c r="E788" t="s">
        <v>42</v>
      </c>
      <c r="F788">
        <v>0.5</v>
      </c>
      <c r="G788">
        <v>218160</v>
      </c>
      <c r="H788">
        <v>121080</v>
      </c>
      <c r="I788">
        <v>129680</v>
      </c>
      <c r="J788">
        <v>114480</v>
      </c>
      <c r="K788">
        <v>3.1</v>
      </c>
      <c r="L788">
        <v>4.25</v>
      </c>
      <c r="M788">
        <v>0.35</v>
      </c>
      <c r="N788">
        <v>3.2</v>
      </c>
      <c r="O788">
        <v>0</v>
      </c>
      <c r="P788" s="9">
        <v>46147.645775462966</v>
      </c>
    </row>
    <row r="789" spans="1:16" hidden="1" x14ac:dyDescent="0.25">
      <c r="A789" t="s">
        <v>9</v>
      </c>
      <c r="B789" s="4">
        <v>46149</v>
      </c>
      <c r="C789" t="s">
        <v>827</v>
      </c>
      <c r="D789">
        <v>69100</v>
      </c>
      <c r="E789" t="s">
        <v>40</v>
      </c>
      <c r="F789">
        <v>8200.65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8200.65</v>
      </c>
      <c r="O789">
        <v>0</v>
      </c>
      <c r="P789" s="9">
        <v>25569.229166666668</v>
      </c>
    </row>
    <row r="790" spans="1:16" hidden="1" x14ac:dyDescent="0.25">
      <c r="A790" t="s">
        <v>9</v>
      </c>
      <c r="B790" s="4">
        <v>46149</v>
      </c>
      <c r="C790" t="s">
        <v>828</v>
      </c>
      <c r="D790">
        <v>69100</v>
      </c>
      <c r="E790" t="s">
        <v>42</v>
      </c>
      <c r="F790">
        <v>1</v>
      </c>
      <c r="G790">
        <v>6980</v>
      </c>
      <c r="H790">
        <v>1480</v>
      </c>
      <c r="I790">
        <v>2180</v>
      </c>
      <c r="J790">
        <v>1460</v>
      </c>
      <c r="K790">
        <v>3.45</v>
      </c>
      <c r="L790">
        <v>3.5</v>
      </c>
      <c r="M790">
        <v>0.5</v>
      </c>
      <c r="N790">
        <v>3.25</v>
      </c>
      <c r="O790">
        <v>0</v>
      </c>
      <c r="P790" s="9">
        <v>46147.645486111112</v>
      </c>
    </row>
    <row r="791" spans="1:16" hidden="1" x14ac:dyDescent="0.25">
      <c r="A791" t="s">
        <v>9</v>
      </c>
      <c r="B791" s="4">
        <v>46149</v>
      </c>
      <c r="C791" t="s">
        <v>829</v>
      </c>
      <c r="D791">
        <v>69200</v>
      </c>
      <c r="E791" t="s">
        <v>40</v>
      </c>
      <c r="F791">
        <v>8100.65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8100.65</v>
      </c>
      <c r="O791">
        <v>0</v>
      </c>
      <c r="P791" s="9">
        <v>25569.229166666668</v>
      </c>
    </row>
    <row r="792" spans="1:16" hidden="1" x14ac:dyDescent="0.25">
      <c r="A792" t="s">
        <v>9</v>
      </c>
      <c r="B792" s="4">
        <v>46149</v>
      </c>
      <c r="C792" t="s">
        <v>830</v>
      </c>
      <c r="D792">
        <v>69200</v>
      </c>
      <c r="E792" t="s">
        <v>42</v>
      </c>
      <c r="F792">
        <v>0.6</v>
      </c>
      <c r="G792">
        <v>19280</v>
      </c>
      <c r="H792">
        <v>2460</v>
      </c>
      <c r="I792">
        <v>2980</v>
      </c>
      <c r="J792">
        <v>1360</v>
      </c>
      <c r="K792">
        <v>3.55</v>
      </c>
      <c r="L792">
        <v>3.7</v>
      </c>
      <c r="M792">
        <v>0.45</v>
      </c>
      <c r="N792">
        <v>3.3</v>
      </c>
      <c r="O792">
        <v>0</v>
      </c>
      <c r="P792" s="9">
        <v>46147.645624999997</v>
      </c>
    </row>
    <row r="793" spans="1:16" hidden="1" x14ac:dyDescent="0.25">
      <c r="A793" t="s">
        <v>9</v>
      </c>
      <c r="B793" s="4">
        <v>46149</v>
      </c>
      <c r="C793" t="s">
        <v>831</v>
      </c>
      <c r="D793">
        <v>69300</v>
      </c>
      <c r="E793" t="s">
        <v>40</v>
      </c>
      <c r="F793">
        <v>8000.7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8000.7</v>
      </c>
      <c r="O793">
        <v>0</v>
      </c>
      <c r="P793" s="9">
        <v>25569.229166666668</v>
      </c>
    </row>
    <row r="794" spans="1:16" hidden="1" x14ac:dyDescent="0.25">
      <c r="A794" t="s">
        <v>9</v>
      </c>
      <c r="B794" s="4">
        <v>46149</v>
      </c>
      <c r="C794" t="s">
        <v>832</v>
      </c>
      <c r="D794">
        <v>69300</v>
      </c>
      <c r="E794" t="s">
        <v>42</v>
      </c>
      <c r="F794">
        <v>1.3</v>
      </c>
      <c r="G794">
        <v>6880</v>
      </c>
      <c r="H794">
        <v>1720</v>
      </c>
      <c r="I794">
        <v>1780</v>
      </c>
      <c r="J794">
        <v>740</v>
      </c>
      <c r="K794">
        <v>3.55</v>
      </c>
      <c r="L794">
        <v>3.6</v>
      </c>
      <c r="M794">
        <v>0.8</v>
      </c>
      <c r="N794">
        <v>2.85</v>
      </c>
      <c r="O794">
        <v>0</v>
      </c>
      <c r="P794" s="9">
        <v>46147.644444444442</v>
      </c>
    </row>
    <row r="795" spans="1:16" hidden="1" x14ac:dyDescent="0.25">
      <c r="A795" t="s">
        <v>9</v>
      </c>
      <c r="B795" s="4">
        <v>46149</v>
      </c>
      <c r="C795" t="s">
        <v>833</v>
      </c>
      <c r="D795">
        <v>69400</v>
      </c>
      <c r="E795" t="s">
        <v>40</v>
      </c>
      <c r="F795">
        <v>7900.75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7900.75</v>
      </c>
      <c r="O795">
        <v>0</v>
      </c>
      <c r="P795" s="9">
        <v>25569.229166666668</v>
      </c>
    </row>
    <row r="796" spans="1:16" hidden="1" x14ac:dyDescent="0.25">
      <c r="A796" t="s">
        <v>9</v>
      </c>
      <c r="B796" s="4">
        <v>46149</v>
      </c>
      <c r="C796" t="s">
        <v>834</v>
      </c>
      <c r="D796">
        <v>69400</v>
      </c>
      <c r="E796" t="s">
        <v>42</v>
      </c>
      <c r="F796">
        <v>0.75</v>
      </c>
      <c r="G796">
        <v>21740</v>
      </c>
      <c r="H796">
        <v>1000</v>
      </c>
      <c r="I796">
        <v>2860</v>
      </c>
      <c r="J796">
        <v>1000</v>
      </c>
      <c r="K796">
        <v>3.7</v>
      </c>
      <c r="L796">
        <v>3.7</v>
      </c>
      <c r="M796">
        <v>0.55000000000000004</v>
      </c>
      <c r="N796">
        <v>3.25</v>
      </c>
      <c r="O796">
        <v>0</v>
      </c>
      <c r="P796" s="9">
        <v>46147.645509259259</v>
      </c>
    </row>
    <row r="797" spans="1:16" hidden="1" x14ac:dyDescent="0.25">
      <c r="A797" t="s">
        <v>9</v>
      </c>
      <c r="B797" s="4">
        <v>46149</v>
      </c>
      <c r="C797" t="s">
        <v>835</v>
      </c>
      <c r="D797">
        <v>69500</v>
      </c>
      <c r="E797" t="s">
        <v>40</v>
      </c>
      <c r="F797">
        <v>7800.8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7800.8</v>
      </c>
      <c r="O797">
        <v>0</v>
      </c>
      <c r="P797" s="9">
        <v>25569.229166666668</v>
      </c>
    </row>
    <row r="798" spans="1:16" hidden="1" x14ac:dyDescent="0.25">
      <c r="A798" t="s">
        <v>9</v>
      </c>
      <c r="B798" s="4">
        <v>46149</v>
      </c>
      <c r="C798" t="s">
        <v>836</v>
      </c>
      <c r="D798">
        <v>69500</v>
      </c>
      <c r="E798" t="s">
        <v>42</v>
      </c>
      <c r="F798">
        <v>0.9</v>
      </c>
      <c r="G798">
        <v>107380</v>
      </c>
      <c r="H798">
        <v>14320</v>
      </c>
      <c r="I798">
        <v>23040</v>
      </c>
      <c r="J798">
        <v>11160</v>
      </c>
      <c r="K798">
        <v>2.95</v>
      </c>
      <c r="L798">
        <v>3.7</v>
      </c>
      <c r="M798">
        <v>0.55000000000000004</v>
      </c>
      <c r="N798">
        <v>3.25</v>
      </c>
      <c r="O798">
        <v>0</v>
      </c>
      <c r="P798" s="9">
        <v>46147.64576388889</v>
      </c>
    </row>
    <row r="799" spans="1:16" hidden="1" x14ac:dyDescent="0.25">
      <c r="A799" t="s">
        <v>9</v>
      </c>
      <c r="B799" s="4">
        <v>46149</v>
      </c>
      <c r="C799" t="s">
        <v>837</v>
      </c>
      <c r="D799">
        <v>69600</v>
      </c>
      <c r="E799" t="s">
        <v>40</v>
      </c>
      <c r="F799">
        <v>7700.85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7700.85</v>
      </c>
      <c r="O799">
        <v>0</v>
      </c>
      <c r="P799" s="9">
        <v>25569.229166666668</v>
      </c>
    </row>
    <row r="800" spans="1:16" hidden="1" x14ac:dyDescent="0.25">
      <c r="A800" t="s">
        <v>9</v>
      </c>
      <c r="B800" s="4">
        <v>46149</v>
      </c>
      <c r="C800" t="s">
        <v>838</v>
      </c>
      <c r="D800">
        <v>69600</v>
      </c>
      <c r="E800" t="s">
        <v>42</v>
      </c>
      <c r="F800">
        <v>1.2</v>
      </c>
      <c r="G800">
        <v>322040</v>
      </c>
      <c r="H800">
        <v>19640</v>
      </c>
      <c r="I800">
        <v>66120</v>
      </c>
      <c r="J800">
        <v>14580</v>
      </c>
      <c r="K800">
        <v>3.35</v>
      </c>
      <c r="L800">
        <v>3.5</v>
      </c>
      <c r="M800">
        <v>0.6</v>
      </c>
      <c r="N800">
        <v>3.35</v>
      </c>
      <c r="O800">
        <v>0</v>
      </c>
      <c r="P800" s="9">
        <v>46147.645752314813</v>
      </c>
    </row>
    <row r="801" spans="1:16" hidden="1" x14ac:dyDescent="0.25">
      <c r="A801" t="s">
        <v>9</v>
      </c>
      <c r="B801" s="4">
        <v>46149</v>
      </c>
      <c r="C801" t="s">
        <v>839</v>
      </c>
      <c r="D801">
        <v>69700</v>
      </c>
      <c r="E801" t="s">
        <v>40</v>
      </c>
      <c r="F801">
        <v>7600.9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7600.9</v>
      </c>
      <c r="O801">
        <v>0</v>
      </c>
      <c r="P801" s="9">
        <v>25569.229166666668</v>
      </c>
    </row>
    <row r="802" spans="1:16" hidden="1" x14ac:dyDescent="0.25">
      <c r="A802" t="s">
        <v>9</v>
      </c>
      <c r="B802" s="4">
        <v>46149</v>
      </c>
      <c r="C802" t="s">
        <v>840</v>
      </c>
      <c r="D802">
        <v>69700</v>
      </c>
      <c r="E802" t="s">
        <v>42</v>
      </c>
      <c r="F802">
        <v>0.55000000000000004</v>
      </c>
      <c r="G802">
        <v>47560</v>
      </c>
      <c r="H802">
        <v>7040</v>
      </c>
      <c r="I802">
        <v>10080</v>
      </c>
      <c r="J802">
        <v>5400</v>
      </c>
      <c r="K802">
        <v>3.35</v>
      </c>
      <c r="L802">
        <v>3.45</v>
      </c>
      <c r="M802">
        <v>0.45</v>
      </c>
      <c r="N802">
        <v>3.35</v>
      </c>
      <c r="O802">
        <v>0</v>
      </c>
      <c r="P802" s="9">
        <v>46147.645752314813</v>
      </c>
    </row>
    <row r="803" spans="1:16" hidden="1" x14ac:dyDescent="0.25">
      <c r="A803" t="s">
        <v>9</v>
      </c>
      <c r="B803" s="4">
        <v>46149</v>
      </c>
      <c r="C803" t="s">
        <v>841</v>
      </c>
      <c r="D803">
        <v>69800</v>
      </c>
      <c r="E803" t="s">
        <v>40</v>
      </c>
      <c r="F803">
        <v>7500.95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7500.95</v>
      </c>
      <c r="O803">
        <v>0</v>
      </c>
      <c r="P803" s="9">
        <v>25569.229166666668</v>
      </c>
    </row>
    <row r="804" spans="1:16" hidden="1" x14ac:dyDescent="0.25">
      <c r="A804" t="s">
        <v>9</v>
      </c>
      <c r="B804" s="4">
        <v>46149</v>
      </c>
      <c r="C804" t="s">
        <v>842</v>
      </c>
      <c r="D804">
        <v>69800</v>
      </c>
      <c r="E804" t="s">
        <v>42</v>
      </c>
      <c r="F804">
        <v>1.1000000000000001</v>
      </c>
      <c r="G804">
        <v>50960</v>
      </c>
      <c r="H804">
        <v>3160</v>
      </c>
      <c r="I804">
        <v>10980</v>
      </c>
      <c r="J804">
        <v>1580</v>
      </c>
      <c r="K804">
        <v>3.75</v>
      </c>
      <c r="L804">
        <v>3.75</v>
      </c>
      <c r="M804">
        <v>0.6</v>
      </c>
      <c r="N804">
        <v>3</v>
      </c>
      <c r="O804">
        <v>0</v>
      </c>
      <c r="P804" s="9">
        <v>46147.645567129628</v>
      </c>
    </row>
    <row r="805" spans="1:16" hidden="1" x14ac:dyDescent="0.25">
      <c r="A805" t="s">
        <v>9</v>
      </c>
      <c r="B805" s="4">
        <v>46149</v>
      </c>
      <c r="C805" t="s">
        <v>843</v>
      </c>
      <c r="D805">
        <v>69900</v>
      </c>
      <c r="E805" t="s">
        <v>40</v>
      </c>
      <c r="F805">
        <v>7401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7401</v>
      </c>
      <c r="O805">
        <v>0</v>
      </c>
      <c r="P805" s="9">
        <v>25569.229166666668</v>
      </c>
    </row>
    <row r="806" spans="1:16" hidden="1" x14ac:dyDescent="0.25">
      <c r="A806" t="s">
        <v>9</v>
      </c>
      <c r="B806" s="4">
        <v>46149</v>
      </c>
      <c r="C806" t="s">
        <v>844</v>
      </c>
      <c r="D806">
        <v>69900</v>
      </c>
      <c r="E806" t="s">
        <v>42</v>
      </c>
      <c r="F806">
        <v>0.7</v>
      </c>
      <c r="G806">
        <v>16160</v>
      </c>
      <c r="H806">
        <v>2940</v>
      </c>
      <c r="I806">
        <v>5280</v>
      </c>
      <c r="J806">
        <v>1500</v>
      </c>
      <c r="K806">
        <v>3.2</v>
      </c>
      <c r="L806">
        <v>3.4</v>
      </c>
      <c r="M806">
        <v>0.3</v>
      </c>
      <c r="N806">
        <v>3.55</v>
      </c>
      <c r="O806">
        <v>0</v>
      </c>
      <c r="P806" s="9">
        <v>46147.645532407405</v>
      </c>
    </row>
    <row r="807" spans="1:16" hidden="1" x14ac:dyDescent="0.25">
      <c r="A807" t="s">
        <v>9</v>
      </c>
      <c r="B807" s="4">
        <v>46149</v>
      </c>
      <c r="C807" t="s">
        <v>845</v>
      </c>
      <c r="D807">
        <v>70000</v>
      </c>
      <c r="E807" t="s">
        <v>40</v>
      </c>
      <c r="F807">
        <v>7301.05</v>
      </c>
      <c r="G807">
        <v>20</v>
      </c>
      <c r="H807">
        <v>200</v>
      </c>
      <c r="I807">
        <v>200</v>
      </c>
      <c r="J807">
        <v>200</v>
      </c>
      <c r="K807">
        <v>7301.05</v>
      </c>
      <c r="L807">
        <v>7301.05</v>
      </c>
      <c r="M807">
        <v>7301.05</v>
      </c>
      <c r="N807">
        <v>7301.05</v>
      </c>
      <c r="O807">
        <v>0</v>
      </c>
      <c r="P807" s="9">
        <v>46147.643587962964</v>
      </c>
    </row>
    <row r="808" spans="1:16" hidden="1" x14ac:dyDescent="0.25">
      <c r="A808" t="s">
        <v>9</v>
      </c>
      <c r="B808" s="4">
        <v>46149</v>
      </c>
      <c r="C808" t="s">
        <v>846</v>
      </c>
      <c r="D808">
        <v>70000</v>
      </c>
      <c r="E808" t="s">
        <v>42</v>
      </c>
      <c r="F808">
        <v>0.85</v>
      </c>
      <c r="G808">
        <v>840200</v>
      </c>
      <c r="H808">
        <v>223680</v>
      </c>
      <c r="I808">
        <v>276660</v>
      </c>
      <c r="J808">
        <v>219400</v>
      </c>
      <c r="K808">
        <v>3.45</v>
      </c>
      <c r="L808">
        <v>3.95</v>
      </c>
      <c r="M808">
        <v>0.75</v>
      </c>
      <c r="N808">
        <v>3.45</v>
      </c>
      <c r="O808">
        <v>0</v>
      </c>
      <c r="P808" s="9">
        <v>46147.64576388889</v>
      </c>
    </row>
    <row r="809" spans="1:16" hidden="1" x14ac:dyDescent="0.25">
      <c r="A809" t="s">
        <v>9</v>
      </c>
      <c r="B809" s="4">
        <v>46149</v>
      </c>
      <c r="C809" t="s">
        <v>847</v>
      </c>
      <c r="D809">
        <v>70100</v>
      </c>
      <c r="E809" t="s">
        <v>40</v>
      </c>
      <c r="F809">
        <v>7201.1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7201.1</v>
      </c>
      <c r="O809">
        <v>0</v>
      </c>
      <c r="P809" s="9">
        <v>25569.229166666668</v>
      </c>
    </row>
    <row r="810" spans="1:16" hidden="1" x14ac:dyDescent="0.25">
      <c r="A810" t="s">
        <v>9</v>
      </c>
      <c r="B810" s="4">
        <v>46149</v>
      </c>
      <c r="C810" t="s">
        <v>848</v>
      </c>
      <c r="D810">
        <v>70100</v>
      </c>
      <c r="E810" t="s">
        <v>42</v>
      </c>
      <c r="F810">
        <v>0.6</v>
      </c>
      <c r="G810">
        <v>11160</v>
      </c>
      <c r="H810">
        <v>1200</v>
      </c>
      <c r="I810">
        <v>2000</v>
      </c>
      <c r="J810">
        <v>680</v>
      </c>
      <c r="K810">
        <v>3.4</v>
      </c>
      <c r="L810">
        <v>3.75</v>
      </c>
      <c r="M810">
        <v>0.6</v>
      </c>
      <c r="N810">
        <v>3.4</v>
      </c>
      <c r="O810">
        <v>0</v>
      </c>
      <c r="P810" s="9">
        <v>46147.644444444442</v>
      </c>
    </row>
    <row r="811" spans="1:16" hidden="1" x14ac:dyDescent="0.25">
      <c r="A811" t="s">
        <v>9</v>
      </c>
      <c r="B811" s="4">
        <v>46149</v>
      </c>
      <c r="C811" t="s">
        <v>849</v>
      </c>
      <c r="D811">
        <v>70200</v>
      </c>
      <c r="E811" t="s">
        <v>40</v>
      </c>
      <c r="F811">
        <v>7101.15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7101.15</v>
      </c>
      <c r="O811">
        <v>0</v>
      </c>
      <c r="P811" s="9">
        <v>25569.229166666668</v>
      </c>
    </row>
    <row r="812" spans="1:16" hidden="1" x14ac:dyDescent="0.25">
      <c r="A812" t="s">
        <v>9</v>
      </c>
      <c r="B812" s="4">
        <v>46149</v>
      </c>
      <c r="C812" t="s">
        <v>850</v>
      </c>
      <c r="D812">
        <v>70200</v>
      </c>
      <c r="E812" t="s">
        <v>42</v>
      </c>
      <c r="F812">
        <v>1.1000000000000001</v>
      </c>
      <c r="G812">
        <v>8800</v>
      </c>
      <c r="H812">
        <v>1760</v>
      </c>
      <c r="I812">
        <v>2500</v>
      </c>
      <c r="J812">
        <v>1560</v>
      </c>
      <c r="K812">
        <v>2.65</v>
      </c>
      <c r="L812">
        <v>3.45</v>
      </c>
      <c r="M812">
        <v>0.65</v>
      </c>
      <c r="N812">
        <v>3.45</v>
      </c>
      <c r="O812">
        <v>0</v>
      </c>
      <c r="P812" s="9">
        <v>46147.645335648151</v>
      </c>
    </row>
    <row r="813" spans="1:16" hidden="1" x14ac:dyDescent="0.25">
      <c r="A813" t="s">
        <v>9</v>
      </c>
      <c r="B813" s="4">
        <v>46149</v>
      </c>
      <c r="C813" t="s">
        <v>851</v>
      </c>
      <c r="D813">
        <v>70300</v>
      </c>
      <c r="E813" t="s">
        <v>40</v>
      </c>
      <c r="F813">
        <v>7001.15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7001.15</v>
      </c>
      <c r="O813">
        <v>0</v>
      </c>
      <c r="P813" s="9">
        <v>25569.229166666668</v>
      </c>
    </row>
    <row r="814" spans="1:16" hidden="1" x14ac:dyDescent="0.25">
      <c r="A814" t="s">
        <v>9</v>
      </c>
      <c r="B814" s="4">
        <v>46149</v>
      </c>
      <c r="C814" t="s">
        <v>852</v>
      </c>
      <c r="D814">
        <v>70300</v>
      </c>
      <c r="E814" t="s">
        <v>42</v>
      </c>
      <c r="F814">
        <v>0.8</v>
      </c>
      <c r="G814">
        <v>14040</v>
      </c>
      <c r="H814">
        <v>1020</v>
      </c>
      <c r="I814">
        <v>2320</v>
      </c>
      <c r="J814">
        <v>1020</v>
      </c>
      <c r="K814">
        <v>2.2000000000000002</v>
      </c>
      <c r="L814">
        <v>3.5</v>
      </c>
      <c r="M814">
        <v>0.65</v>
      </c>
      <c r="N814">
        <v>3.35</v>
      </c>
      <c r="O814">
        <v>0</v>
      </c>
      <c r="P814" s="9">
        <v>46147.645219907405</v>
      </c>
    </row>
    <row r="815" spans="1:16" hidden="1" x14ac:dyDescent="0.25">
      <c r="A815" t="s">
        <v>9</v>
      </c>
      <c r="B815" s="4">
        <v>46149</v>
      </c>
      <c r="C815" t="s">
        <v>853</v>
      </c>
      <c r="D815">
        <v>70400</v>
      </c>
      <c r="E815" t="s">
        <v>40</v>
      </c>
      <c r="F815">
        <v>6901.2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6901.2</v>
      </c>
      <c r="O815">
        <v>0</v>
      </c>
      <c r="P815" s="9">
        <v>25569.229166666668</v>
      </c>
    </row>
    <row r="816" spans="1:16" hidden="1" x14ac:dyDescent="0.25">
      <c r="A816" t="s">
        <v>9</v>
      </c>
      <c r="B816" s="4">
        <v>46149</v>
      </c>
      <c r="C816" t="s">
        <v>854</v>
      </c>
      <c r="D816">
        <v>70400</v>
      </c>
      <c r="E816" t="s">
        <v>42</v>
      </c>
      <c r="F816">
        <v>1.2</v>
      </c>
      <c r="G816">
        <v>12280</v>
      </c>
      <c r="H816">
        <v>780</v>
      </c>
      <c r="I816">
        <v>2060</v>
      </c>
      <c r="J816">
        <v>780</v>
      </c>
      <c r="K816">
        <v>5.25</v>
      </c>
      <c r="L816">
        <v>5.25</v>
      </c>
      <c r="M816">
        <v>0.75</v>
      </c>
      <c r="N816">
        <v>3.6</v>
      </c>
      <c r="O816">
        <v>0</v>
      </c>
      <c r="P816" s="9">
        <v>46147.645567129628</v>
      </c>
    </row>
    <row r="817" spans="1:16" hidden="1" x14ac:dyDescent="0.25">
      <c r="A817" t="s">
        <v>9</v>
      </c>
      <c r="B817" s="4">
        <v>46149</v>
      </c>
      <c r="C817" t="s">
        <v>855</v>
      </c>
      <c r="D817">
        <v>70500</v>
      </c>
      <c r="E817" t="s">
        <v>40</v>
      </c>
      <c r="F817">
        <v>6801.25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6801.25</v>
      </c>
      <c r="O817">
        <v>0</v>
      </c>
      <c r="P817" s="9">
        <v>25569.229166666668</v>
      </c>
    </row>
    <row r="818" spans="1:16" hidden="1" x14ac:dyDescent="0.25">
      <c r="A818" t="s">
        <v>9</v>
      </c>
      <c r="B818" s="4">
        <v>46149</v>
      </c>
      <c r="C818" t="s">
        <v>856</v>
      </c>
      <c r="D818">
        <v>70500</v>
      </c>
      <c r="E818" t="s">
        <v>42</v>
      </c>
      <c r="F818">
        <v>1.7</v>
      </c>
      <c r="G818">
        <v>747380</v>
      </c>
      <c r="H818">
        <v>80380</v>
      </c>
      <c r="I818">
        <v>160520</v>
      </c>
      <c r="J818">
        <v>80380</v>
      </c>
      <c r="K818">
        <v>3.4</v>
      </c>
      <c r="L818">
        <v>4.8499999999999996</v>
      </c>
      <c r="M818">
        <v>0.75</v>
      </c>
      <c r="N818">
        <v>3.7</v>
      </c>
      <c r="O818">
        <v>0</v>
      </c>
      <c r="P818" s="9">
        <v>46147.64576388889</v>
      </c>
    </row>
    <row r="819" spans="1:16" hidden="1" x14ac:dyDescent="0.25">
      <c r="A819" t="s">
        <v>9</v>
      </c>
      <c r="B819" s="4">
        <v>46149</v>
      </c>
      <c r="C819" t="s">
        <v>857</v>
      </c>
      <c r="D819">
        <v>70600</v>
      </c>
      <c r="E819" t="s">
        <v>40</v>
      </c>
      <c r="F819">
        <v>6701.3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6701.3</v>
      </c>
      <c r="O819">
        <v>0</v>
      </c>
      <c r="P819" s="9">
        <v>25569.229166666668</v>
      </c>
    </row>
    <row r="820" spans="1:16" hidden="1" x14ac:dyDescent="0.25">
      <c r="A820" t="s">
        <v>9</v>
      </c>
      <c r="B820" s="4">
        <v>46149</v>
      </c>
      <c r="C820" t="s">
        <v>858</v>
      </c>
      <c r="D820">
        <v>70600</v>
      </c>
      <c r="E820" t="s">
        <v>42</v>
      </c>
      <c r="F820">
        <v>0.6</v>
      </c>
      <c r="G820">
        <v>12120</v>
      </c>
      <c r="H820">
        <v>1040</v>
      </c>
      <c r="I820">
        <v>2920</v>
      </c>
      <c r="J820">
        <v>1040</v>
      </c>
      <c r="K820">
        <v>4.9000000000000004</v>
      </c>
      <c r="L820">
        <v>4.9000000000000004</v>
      </c>
      <c r="M820">
        <v>0.6</v>
      </c>
      <c r="N820">
        <v>3.65</v>
      </c>
      <c r="O820">
        <v>0</v>
      </c>
      <c r="P820" s="9">
        <v>46147.645775462966</v>
      </c>
    </row>
    <row r="821" spans="1:16" hidden="1" x14ac:dyDescent="0.25">
      <c r="A821" t="s">
        <v>9</v>
      </c>
      <c r="B821" s="4">
        <v>46149</v>
      </c>
      <c r="C821" t="s">
        <v>859</v>
      </c>
      <c r="D821">
        <v>70700</v>
      </c>
      <c r="E821" t="s">
        <v>40</v>
      </c>
      <c r="F821">
        <v>6601.35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6601.35</v>
      </c>
      <c r="O821">
        <v>0</v>
      </c>
      <c r="P821" s="9">
        <v>25569.229166666668</v>
      </c>
    </row>
    <row r="822" spans="1:16" hidden="1" x14ac:dyDescent="0.25">
      <c r="A822" t="s">
        <v>9</v>
      </c>
      <c r="B822" s="4">
        <v>46149</v>
      </c>
      <c r="C822" t="s">
        <v>860</v>
      </c>
      <c r="D822">
        <v>70700</v>
      </c>
      <c r="E822" t="s">
        <v>42</v>
      </c>
      <c r="F822">
        <v>2</v>
      </c>
      <c r="G822">
        <v>11420</v>
      </c>
      <c r="H822">
        <v>3300</v>
      </c>
      <c r="I822">
        <v>3660</v>
      </c>
      <c r="J822">
        <v>2740</v>
      </c>
      <c r="K822">
        <v>2.95</v>
      </c>
      <c r="L822">
        <v>3.25</v>
      </c>
      <c r="M822">
        <v>0.9</v>
      </c>
      <c r="N822">
        <v>3.75</v>
      </c>
      <c r="O822">
        <v>0</v>
      </c>
      <c r="P822" s="9">
        <v>46147.64576388889</v>
      </c>
    </row>
    <row r="823" spans="1:16" hidden="1" x14ac:dyDescent="0.25">
      <c r="A823" t="s">
        <v>9</v>
      </c>
      <c r="B823" s="4">
        <v>46149</v>
      </c>
      <c r="C823" t="s">
        <v>861</v>
      </c>
      <c r="D823">
        <v>70800</v>
      </c>
      <c r="E823" t="s">
        <v>40</v>
      </c>
      <c r="F823">
        <v>6501.4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6501.4</v>
      </c>
      <c r="O823">
        <v>0</v>
      </c>
      <c r="P823" s="9">
        <v>25569.229166666668</v>
      </c>
    </row>
    <row r="824" spans="1:16" hidden="1" x14ac:dyDescent="0.25">
      <c r="A824" t="s">
        <v>9</v>
      </c>
      <c r="B824" s="4">
        <v>46149</v>
      </c>
      <c r="C824" t="s">
        <v>862</v>
      </c>
      <c r="D824">
        <v>70800</v>
      </c>
      <c r="E824" t="s">
        <v>42</v>
      </c>
      <c r="F824">
        <v>0.9</v>
      </c>
      <c r="G824">
        <v>29420</v>
      </c>
      <c r="H824">
        <v>1920</v>
      </c>
      <c r="I824">
        <v>9840</v>
      </c>
      <c r="J824">
        <v>620</v>
      </c>
      <c r="K824">
        <v>3.7</v>
      </c>
      <c r="L824">
        <v>3.7</v>
      </c>
      <c r="M824">
        <v>0.65</v>
      </c>
      <c r="N824">
        <v>3.7</v>
      </c>
      <c r="O824">
        <v>0</v>
      </c>
      <c r="P824" s="9">
        <v>46147.64576388889</v>
      </c>
    </row>
    <row r="825" spans="1:16" hidden="1" x14ac:dyDescent="0.25">
      <c r="A825" t="s">
        <v>9</v>
      </c>
      <c r="B825" s="4">
        <v>46149</v>
      </c>
      <c r="C825" t="s">
        <v>863</v>
      </c>
      <c r="D825">
        <v>70900</v>
      </c>
      <c r="E825" t="s">
        <v>40</v>
      </c>
      <c r="F825">
        <v>6401.45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6401.45</v>
      </c>
      <c r="O825">
        <v>0</v>
      </c>
      <c r="P825" s="9">
        <v>25569.229166666668</v>
      </c>
    </row>
    <row r="826" spans="1:16" hidden="1" x14ac:dyDescent="0.25">
      <c r="A826" t="s">
        <v>9</v>
      </c>
      <c r="B826" s="4">
        <v>46149</v>
      </c>
      <c r="C826" t="s">
        <v>864</v>
      </c>
      <c r="D826">
        <v>70900</v>
      </c>
      <c r="E826" t="s">
        <v>42</v>
      </c>
      <c r="F826">
        <v>1.3</v>
      </c>
      <c r="G826">
        <v>18600</v>
      </c>
      <c r="H826">
        <v>1700</v>
      </c>
      <c r="I826">
        <v>3200</v>
      </c>
      <c r="J826">
        <v>1580</v>
      </c>
      <c r="K826">
        <v>3.55</v>
      </c>
      <c r="L826">
        <v>3.55</v>
      </c>
      <c r="M826">
        <v>0.75</v>
      </c>
      <c r="N826">
        <v>3.65</v>
      </c>
      <c r="O826">
        <v>0</v>
      </c>
      <c r="P826" s="9">
        <v>46147.645567129628</v>
      </c>
    </row>
    <row r="827" spans="1:16" hidden="1" x14ac:dyDescent="0.25">
      <c r="A827" t="s">
        <v>9</v>
      </c>
      <c r="B827" s="4">
        <v>46149</v>
      </c>
      <c r="C827" t="s">
        <v>865</v>
      </c>
      <c r="D827">
        <v>71000</v>
      </c>
      <c r="E827" t="s">
        <v>40</v>
      </c>
      <c r="F827">
        <v>6301.5</v>
      </c>
      <c r="G827">
        <v>0</v>
      </c>
      <c r="H827">
        <v>660</v>
      </c>
      <c r="I827">
        <v>660</v>
      </c>
      <c r="J827">
        <v>660</v>
      </c>
      <c r="K827">
        <v>0</v>
      </c>
      <c r="L827">
        <v>6227.15</v>
      </c>
      <c r="M827">
        <v>5625</v>
      </c>
      <c r="N827">
        <v>6301.5</v>
      </c>
      <c r="O827">
        <v>0</v>
      </c>
      <c r="P827" s="9">
        <v>46142.626875000002</v>
      </c>
    </row>
    <row r="828" spans="1:16" hidden="1" x14ac:dyDescent="0.25">
      <c r="A828" t="s">
        <v>9</v>
      </c>
      <c r="B828" s="4">
        <v>46149</v>
      </c>
      <c r="C828" t="s">
        <v>866</v>
      </c>
      <c r="D828">
        <v>71000</v>
      </c>
      <c r="E828" t="s">
        <v>42</v>
      </c>
      <c r="F828">
        <v>0.9</v>
      </c>
      <c r="G828">
        <v>1476080</v>
      </c>
      <c r="H828">
        <v>236760</v>
      </c>
      <c r="I828">
        <v>382260</v>
      </c>
      <c r="J828">
        <v>236760</v>
      </c>
      <c r="K828">
        <v>3.4</v>
      </c>
      <c r="L828">
        <v>3.6</v>
      </c>
      <c r="M828">
        <v>0.8</v>
      </c>
      <c r="N828">
        <v>3.85</v>
      </c>
      <c r="O828">
        <v>0</v>
      </c>
      <c r="P828" s="9">
        <v>46147.64576388889</v>
      </c>
    </row>
    <row r="829" spans="1:16" hidden="1" x14ac:dyDescent="0.25">
      <c r="A829" t="s">
        <v>9</v>
      </c>
      <c r="B829" s="4">
        <v>46149</v>
      </c>
      <c r="C829" t="s">
        <v>867</v>
      </c>
      <c r="D829">
        <v>71100</v>
      </c>
      <c r="E829" t="s">
        <v>40</v>
      </c>
      <c r="F829">
        <v>6201.55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6201.55</v>
      </c>
      <c r="O829">
        <v>0</v>
      </c>
      <c r="P829" s="9">
        <v>25569.229166666668</v>
      </c>
    </row>
    <row r="830" spans="1:16" hidden="1" x14ac:dyDescent="0.25">
      <c r="A830" t="s">
        <v>9</v>
      </c>
      <c r="B830" s="4">
        <v>46149</v>
      </c>
      <c r="C830" t="s">
        <v>868</v>
      </c>
      <c r="D830">
        <v>71100</v>
      </c>
      <c r="E830" t="s">
        <v>42</v>
      </c>
      <c r="F830">
        <v>1.35</v>
      </c>
      <c r="G830">
        <v>25220</v>
      </c>
      <c r="H830">
        <v>1500</v>
      </c>
      <c r="I830">
        <v>8400</v>
      </c>
      <c r="J830">
        <v>1480</v>
      </c>
      <c r="K830">
        <v>3.6</v>
      </c>
      <c r="L830">
        <v>3.65</v>
      </c>
      <c r="M830">
        <v>0.75</v>
      </c>
      <c r="N830">
        <v>3.7</v>
      </c>
      <c r="O830">
        <v>0</v>
      </c>
      <c r="P830" s="9">
        <v>46147.64565972222</v>
      </c>
    </row>
    <row r="831" spans="1:16" hidden="1" x14ac:dyDescent="0.25">
      <c r="A831" t="s">
        <v>9</v>
      </c>
      <c r="B831" s="4">
        <v>46149</v>
      </c>
      <c r="C831" t="s">
        <v>869</v>
      </c>
      <c r="D831">
        <v>71200</v>
      </c>
      <c r="E831" t="s">
        <v>40</v>
      </c>
      <c r="F831">
        <v>6101.6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6101.6</v>
      </c>
      <c r="O831">
        <v>0</v>
      </c>
      <c r="P831" s="9">
        <v>45289</v>
      </c>
    </row>
    <row r="832" spans="1:16" hidden="1" x14ac:dyDescent="0.25">
      <c r="A832" t="s">
        <v>9</v>
      </c>
      <c r="B832" s="4">
        <v>46149</v>
      </c>
      <c r="C832" t="s">
        <v>870</v>
      </c>
      <c r="D832">
        <v>71200</v>
      </c>
      <c r="E832" t="s">
        <v>42</v>
      </c>
      <c r="F832">
        <v>1.25</v>
      </c>
      <c r="G832">
        <v>21060</v>
      </c>
      <c r="H832">
        <v>3740</v>
      </c>
      <c r="I832">
        <v>5360</v>
      </c>
      <c r="J832">
        <v>2080</v>
      </c>
      <c r="K832">
        <v>3.65</v>
      </c>
      <c r="L832">
        <v>3.65</v>
      </c>
      <c r="M832">
        <v>1.05</v>
      </c>
      <c r="N832">
        <v>3.9</v>
      </c>
      <c r="O832">
        <v>0</v>
      </c>
      <c r="P832" s="9">
        <v>46147.64576388889</v>
      </c>
    </row>
    <row r="833" spans="1:16" hidden="1" x14ac:dyDescent="0.25">
      <c r="A833" t="s">
        <v>9</v>
      </c>
      <c r="B833" s="4">
        <v>46149</v>
      </c>
      <c r="C833" t="s">
        <v>871</v>
      </c>
      <c r="D833">
        <v>71300</v>
      </c>
      <c r="E833" t="s">
        <v>40</v>
      </c>
      <c r="F833">
        <v>6001.65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6001.65</v>
      </c>
      <c r="O833">
        <v>0</v>
      </c>
      <c r="P833" s="9">
        <v>25569.229166666668</v>
      </c>
    </row>
    <row r="834" spans="1:16" hidden="1" x14ac:dyDescent="0.25">
      <c r="A834" t="s">
        <v>9</v>
      </c>
      <c r="B834" s="4">
        <v>46149</v>
      </c>
      <c r="C834" t="s">
        <v>872</v>
      </c>
      <c r="D834">
        <v>71300</v>
      </c>
      <c r="E834" t="s">
        <v>42</v>
      </c>
      <c r="F834">
        <v>1</v>
      </c>
      <c r="G834">
        <v>8740</v>
      </c>
      <c r="H834">
        <v>1160</v>
      </c>
      <c r="I834">
        <v>1500</v>
      </c>
      <c r="J834">
        <v>860</v>
      </c>
      <c r="K834">
        <v>3.5</v>
      </c>
      <c r="L834">
        <v>3.5</v>
      </c>
      <c r="M834">
        <v>0.7</v>
      </c>
      <c r="N834">
        <v>4.0999999999999996</v>
      </c>
      <c r="O834">
        <v>0</v>
      </c>
      <c r="P834" s="9">
        <v>46147.645567129628</v>
      </c>
    </row>
    <row r="835" spans="1:16" hidden="1" x14ac:dyDescent="0.25">
      <c r="A835" t="s">
        <v>9</v>
      </c>
      <c r="B835" s="4">
        <v>46149</v>
      </c>
      <c r="C835" t="s">
        <v>873</v>
      </c>
      <c r="D835">
        <v>71400</v>
      </c>
      <c r="E835" t="s">
        <v>40</v>
      </c>
      <c r="F835">
        <v>5901.7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5901.7</v>
      </c>
      <c r="O835">
        <v>0</v>
      </c>
      <c r="P835" s="9">
        <v>25569.229166666668</v>
      </c>
    </row>
    <row r="836" spans="1:16" hidden="1" x14ac:dyDescent="0.25">
      <c r="A836" t="s">
        <v>9</v>
      </c>
      <c r="B836" s="4">
        <v>46149</v>
      </c>
      <c r="C836" t="s">
        <v>874</v>
      </c>
      <c r="D836">
        <v>71400</v>
      </c>
      <c r="E836" t="s">
        <v>42</v>
      </c>
      <c r="F836">
        <v>1.35</v>
      </c>
      <c r="G836">
        <v>27760</v>
      </c>
      <c r="H836">
        <v>3360</v>
      </c>
      <c r="I836">
        <v>5840</v>
      </c>
      <c r="J836">
        <v>3040</v>
      </c>
      <c r="K836">
        <v>3.7</v>
      </c>
      <c r="L836">
        <v>3.75</v>
      </c>
      <c r="M836">
        <v>0.8</v>
      </c>
      <c r="N836">
        <v>4</v>
      </c>
      <c r="O836">
        <v>0</v>
      </c>
      <c r="P836" s="9">
        <v>46147.645486111112</v>
      </c>
    </row>
    <row r="837" spans="1:16" hidden="1" x14ac:dyDescent="0.25">
      <c r="A837" t="s">
        <v>9</v>
      </c>
      <c r="B837" s="4">
        <v>46149</v>
      </c>
      <c r="C837" t="s">
        <v>875</v>
      </c>
      <c r="D837">
        <v>71500</v>
      </c>
      <c r="E837" t="s">
        <v>40</v>
      </c>
      <c r="F837">
        <v>5801.75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5801.75</v>
      </c>
      <c r="O837">
        <v>0</v>
      </c>
      <c r="P837" s="9">
        <v>25569.229166666668</v>
      </c>
    </row>
    <row r="838" spans="1:16" hidden="1" x14ac:dyDescent="0.25">
      <c r="A838" t="s">
        <v>9</v>
      </c>
      <c r="B838" s="4">
        <v>46149</v>
      </c>
      <c r="C838" t="s">
        <v>876</v>
      </c>
      <c r="D838">
        <v>71500</v>
      </c>
      <c r="E838" t="s">
        <v>42</v>
      </c>
      <c r="F838">
        <v>1.05</v>
      </c>
      <c r="G838">
        <v>544420</v>
      </c>
      <c r="H838">
        <v>55560</v>
      </c>
      <c r="I838">
        <v>66640</v>
      </c>
      <c r="J838">
        <v>39720</v>
      </c>
      <c r="K838">
        <v>3.3</v>
      </c>
      <c r="L838">
        <v>3.55</v>
      </c>
      <c r="M838">
        <v>0.9</v>
      </c>
      <c r="N838">
        <v>3.85</v>
      </c>
      <c r="O838">
        <v>0</v>
      </c>
      <c r="P838" s="9">
        <v>46147.645775462966</v>
      </c>
    </row>
    <row r="839" spans="1:16" hidden="1" x14ac:dyDescent="0.25">
      <c r="A839" t="s">
        <v>9</v>
      </c>
      <c r="B839" s="4">
        <v>46149</v>
      </c>
      <c r="C839" t="s">
        <v>877</v>
      </c>
      <c r="D839">
        <v>71600</v>
      </c>
      <c r="E839" t="s">
        <v>40</v>
      </c>
      <c r="F839">
        <v>5701.8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5701.8</v>
      </c>
      <c r="O839">
        <v>0</v>
      </c>
      <c r="P839" s="9">
        <v>45289</v>
      </c>
    </row>
    <row r="840" spans="1:16" hidden="1" x14ac:dyDescent="0.25">
      <c r="A840" t="s">
        <v>9</v>
      </c>
      <c r="B840" s="4">
        <v>46149</v>
      </c>
      <c r="C840" t="s">
        <v>878</v>
      </c>
      <c r="D840">
        <v>71600</v>
      </c>
      <c r="E840" t="s">
        <v>42</v>
      </c>
      <c r="F840">
        <v>0.8</v>
      </c>
      <c r="G840">
        <v>11480</v>
      </c>
      <c r="H840">
        <v>1940</v>
      </c>
      <c r="I840">
        <v>2680</v>
      </c>
      <c r="J840">
        <v>940</v>
      </c>
      <c r="K840">
        <v>3.6</v>
      </c>
      <c r="L840">
        <v>3.6</v>
      </c>
      <c r="M840">
        <v>0.8</v>
      </c>
      <c r="N840">
        <v>3.7</v>
      </c>
      <c r="O840">
        <v>0</v>
      </c>
      <c r="P840" s="9">
        <v>46147.645486111112</v>
      </c>
    </row>
    <row r="841" spans="1:16" hidden="1" x14ac:dyDescent="0.25">
      <c r="A841" t="s">
        <v>9</v>
      </c>
      <c r="B841" s="4">
        <v>46149</v>
      </c>
      <c r="C841" t="s">
        <v>879</v>
      </c>
      <c r="D841">
        <v>71700</v>
      </c>
      <c r="E841" t="s">
        <v>40</v>
      </c>
      <c r="F841">
        <v>5601.85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5601.85</v>
      </c>
      <c r="O841">
        <v>0</v>
      </c>
      <c r="P841" s="9">
        <v>25569.229166666668</v>
      </c>
    </row>
    <row r="842" spans="1:16" hidden="1" x14ac:dyDescent="0.25">
      <c r="A842" t="s">
        <v>9</v>
      </c>
      <c r="B842" s="4">
        <v>46149</v>
      </c>
      <c r="C842" t="s">
        <v>880</v>
      </c>
      <c r="D842">
        <v>71700</v>
      </c>
      <c r="E842" t="s">
        <v>42</v>
      </c>
      <c r="F842">
        <v>1.55</v>
      </c>
      <c r="G842">
        <v>12780</v>
      </c>
      <c r="H842">
        <v>6480</v>
      </c>
      <c r="I842">
        <v>6880</v>
      </c>
      <c r="J842">
        <v>6040</v>
      </c>
      <c r="K842">
        <v>4</v>
      </c>
      <c r="L842">
        <v>4</v>
      </c>
      <c r="M842">
        <v>0.7</v>
      </c>
      <c r="N842">
        <v>3.75</v>
      </c>
      <c r="O842">
        <v>0</v>
      </c>
      <c r="P842" s="9">
        <v>46147.645567129628</v>
      </c>
    </row>
    <row r="843" spans="1:16" hidden="1" x14ac:dyDescent="0.25">
      <c r="A843" t="s">
        <v>9</v>
      </c>
      <c r="B843" s="4">
        <v>46149</v>
      </c>
      <c r="C843" t="s">
        <v>881</v>
      </c>
      <c r="D843">
        <v>71800</v>
      </c>
      <c r="E843" t="s">
        <v>40</v>
      </c>
      <c r="F843">
        <v>5501.9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5501.9</v>
      </c>
      <c r="O843">
        <v>0</v>
      </c>
      <c r="P843" s="9">
        <v>25569.229166666668</v>
      </c>
    </row>
    <row r="844" spans="1:16" hidden="1" x14ac:dyDescent="0.25">
      <c r="A844" t="s">
        <v>9</v>
      </c>
      <c r="B844" s="4">
        <v>46149</v>
      </c>
      <c r="C844" t="s">
        <v>882</v>
      </c>
      <c r="D844">
        <v>71800</v>
      </c>
      <c r="E844" t="s">
        <v>42</v>
      </c>
      <c r="F844">
        <v>0.9</v>
      </c>
      <c r="G844">
        <v>36920</v>
      </c>
      <c r="H844">
        <v>6720</v>
      </c>
      <c r="I844">
        <v>7700</v>
      </c>
      <c r="J844">
        <v>6020</v>
      </c>
      <c r="K844">
        <v>3.5</v>
      </c>
      <c r="L844">
        <v>3.65</v>
      </c>
      <c r="M844">
        <v>0.75</v>
      </c>
      <c r="N844">
        <v>4.05</v>
      </c>
      <c r="O844">
        <v>0</v>
      </c>
      <c r="P844" s="9">
        <v>46147.645671296297</v>
      </c>
    </row>
    <row r="845" spans="1:16" hidden="1" x14ac:dyDescent="0.25">
      <c r="A845" t="s">
        <v>9</v>
      </c>
      <c r="B845" s="4">
        <v>46149</v>
      </c>
      <c r="C845" t="s">
        <v>883</v>
      </c>
      <c r="D845">
        <v>71900</v>
      </c>
      <c r="E845" t="s">
        <v>40</v>
      </c>
      <c r="F845">
        <v>5401.95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5401.95</v>
      </c>
      <c r="O845">
        <v>0</v>
      </c>
      <c r="P845" s="9">
        <v>25569.229166666668</v>
      </c>
    </row>
    <row r="846" spans="1:16" hidden="1" x14ac:dyDescent="0.25">
      <c r="A846" t="s">
        <v>9</v>
      </c>
      <c r="B846" s="4">
        <v>46149</v>
      </c>
      <c r="C846" t="s">
        <v>884</v>
      </c>
      <c r="D846">
        <v>71900</v>
      </c>
      <c r="E846" t="s">
        <v>42</v>
      </c>
      <c r="F846">
        <v>1.9</v>
      </c>
      <c r="G846">
        <v>122180</v>
      </c>
      <c r="H846">
        <v>6040</v>
      </c>
      <c r="I846">
        <v>25540</v>
      </c>
      <c r="J846">
        <v>3280</v>
      </c>
      <c r="K846">
        <v>3.55</v>
      </c>
      <c r="L846">
        <v>3.8</v>
      </c>
      <c r="M846">
        <v>0.75</v>
      </c>
      <c r="N846">
        <v>3.85</v>
      </c>
      <c r="O846">
        <v>0</v>
      </c>
      <c r="P846" s="9">
        <v>46147.645752314813</v>
      </c>
    </row>
    <row r="847" spans="1:16" hidden="1" x14ac:dyDescent="0.25">
      <c r="A847" t="s">
        <v>9</v>
      </c>
      <c r="B847" s="4">
        <v>46149</v>
      </c>
      <c r="C847" t="s">
        <v>885</v>
      </c>
      <c r="D847">
        <v>72000</v>
      </c>
      <c r="E847" t="s">
        <v>40</v>
      </c>
      <c r="F847">
        <v>5302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5302</v>
      </c>
      <c r="O847">
        <v>0</v>
      </c>
      <c r="P847" s="9">
        <v>25569.229166666668</v>
      </c>
    </row>
    <row r="848" spans="1:16" hidden="1" x14ac:dyDescent="0.25">
      <c r="A848" t="s">
        <v>9</v>
      </c>
      <c r="B848" s="4">
        <v>46149</v>
      </c>
      <c r="C848" t="s">
        <v>886</v>
      </c>
      <c r="D848">
        <v>72000</v>
      </c>
      <c r="E848" t="s">
        <v>42</v>
      </c>
      <c r="F848">
        <v>1.45</v>
      </c>
      <c r="G848">
        <v>2089780</v>
      </c>
      <c r="H848">
        <v>407000</v>
      </c>
      <c r="I848">
        <v>416300</v>
      </c>
      <c r="J848">
        <v>279240</v>
      </c>
      <c r="K848">
        <v>4.1500000000000004</v>
      </c>
      <c r="L848">
        <v>4.1500000000000004</v>
      </c>
      <c r="M848">
        <v>1.1499999999999999</v>
      </c>
      <c r="N848">
        <v>4.1500000000000004</v>
      </c>
      <c r="O848">
        <v>0</v>
      </c>
      <c r="P848" s="9">
        <v>46147.645787037036</v>
      </c>
    </row>
    <row r="849" spans="1:16" hidden="1" x14ac:dyDescent="0.25">
      <c r="A849" t="s">
        <v>9</v>
      </c>
      <c r="B849" s="4">
        <v>46149</v>
      </c>
      <c r="C849" t="s">
        <v>887</v>
      </c>
      <c r="D849">
        <v>72100</v>
      </c>
      <c r="E849" t="s">
        <v>40</v>
      </c>
      <c r="F849">
        <v>5202.05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5202.05</v>
      </c>
      <c r="O849">
        <v>0</v>
      </c>
      <c r="P849" s="9">
        <v>25569.229166666668</v>
      </c>
    </row>
    <row r="850" spans="1:16" hidden="1" x14ac:dyDescent="0.25">
      <c r="A850" t="s">
        <v>9</v>
      </c>
      <c r="B850" s="4">
        <v>46149</v>
      </c>
      <c r="C850" t="s">
        <v>888</v>
      </c>
      <c r="D850">
        <v>72100</v>
      </c>
      <c r="E850" t="s">
        <v>42</v>
      </c>
      <c r="F850">
        <v>1.4</v>
      </c>
      <c r="G850">
        <v>51140</v>
      </c>
      <c r="H850">
        <v>7400</v>
      </c>
      <c r="I850">
        <v>14520</v>
      </c>
      <c r="J850">
        <v>3580</v>
      </c>
      <c r="K850">
        <v>2.65</v>
      </c>
      <c r="L850">
        <v>3.6</v>
      </c>
      <c r="M850">
        <v>1.2</v>
      </c>
      <c r="N850">
        <v>3.95</v>
      </c>
      <c r="O850">
        <v>0</v>
      </c>
      <c r="P850" s="9">
        <v>46147.645613425928</v>
      </c>
    </row>
    <row r="851" spans="1:16" hidden="1" x14ac:dyDescent="0.25">
      <c r="A851" t="s">
        <v>9</v>
      </c>
      <c r="B851" s="4">
        <v>46149</v>
      </c>
      <c r="C851" t="s">
        <v>889</v>
      </c>
      <c r="D851">
        <v>72200</v>
      </c>
      <c r="E851" t="s">
        <v>40</v>
      </c>
      <c r="F851">
        <v>5102.1499999999996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5102.1499999999996</v>
      </c>
      <c r="O851">
        <v>0</v>
      </c>
      <c r="P851" s="9">
        <v>25569.229166666668</v>
      </c>
    </row>
    <row r="852" spans="1:16" hidden="1" x14ac:dyDescent="0.25">
      <c r="A852" t="s">
        <v>9</v>
      </c>
      <c r="B852" s="4">
        <v>46149</v>
      </c>
      <c r="C852" t="s">
        <v>890</v>
      </c>
      <c r="D852">
        <v>72200</v>
      </c>
      <c r="E852" t="s">
        <v>42</v>
      </c>
      <c r="F852">
        <v>1.5</v>
      </c>
      <c r="G852">
        <v>56320</v>
      </c>
      <c r="H852">
        <v>14420</v>
      </c>
      <c r="I852">
        <v>14920</v>
      </c>
      <c r="J852">
        <v>9340</v>
      </c>
      <c r="K852">
        <v>4</v>
      </c>
      <c r="L852">
        <v>4</v>
      </c>
      <c r="M852">
        <v>1.25</v>
      </c>
      <c r="N852">
        <v>4</v>
      </c>
      <c r="O852">
        <v>0</v>
      </c>
      <c r="P852" s="9">
        <v>46147.645567129628</v>
      </c>
    </row>
    <row r="853" spans="1:16" hidden="1" x14ac:dyDescent="0.25">
      <c r="A853" t="s">
        <v>9</v>
      </c>
      <c r="B853" s="4">
        <v>46149</v>
      </c>
      <c r="C853" t="s">
        <v>891</v>
      </c>
      <c r="D853">
        <v>72300</v>
      </c>
      <c r="E853" t="s">
        <v>40</v>
      </c>
      <c r="F853">
        <v>5002.25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5002.25</v>
      </c>
      <c r="O853">
        <v>0</v>
      </c>
      <c r="P853" s="9">
        <v>25569.229166666668</v>
      </c>
    </row>
    <row r="854" spans="1:16" hidden="1" x14ac:dyDescent="0.25">
      <c r="A854" t="s">
        <v>9</v>
      </c>
      <c r="B854" s="4">
        <v>46149</v>
      </c>
      <c r="C854" t="s">
        <v>892</v>
      </c>
      <c r="D854">
        <v>72300</v>
      </c>
      <c r="E854" t="s">
        <v>42</v>
      </c>
      <c r="F854">
        <v>1.25</v>
      </c>
      <c r="G854">
        <v>328640</v>
      </c>
      <c r="H854">
        <v>89400</v>
      </c>
      <c r="I854">
        <v>97000</v>
      </c>
      <c r="J854">
        <v>88660</v>
      </c>
      <c r="K854">
        <v>3.6</v>
      </c>
      <c r="L854">
        <v>4.55</v>
      </c>
      <c r="M854">
        <v>1.05</v>
      </c>
      <c r="N854">
        <v>4.0999999999999996</v>
      </c>
      <c r="O854">
        <v>0</v>
      </c>
      <c r="P854" s="9">
        <v>46147.645787037036</v>
      </c>
    </row>
    <row r="855" spans="1:16" hidden="1" x14ac:dyDescent="0.25">
      <c r="A855" t="s">
        <v>9</v>
      </c>
      <c r="B855" s="4">
        <v>46149</v>
      </c>
      <c r="C855" t="s">
        <v>893</v>
      </c>
      <c r="D855">
        <v>72400</v>
      </c>
      <c r="E855" t="s">
        <v>40</v>
      </c>
      <c r="F855">
        <v>4902.3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4902.3</v>
      </c>
      <c r="O855">
        <v>0</v>
      </c>
      <c r="P855" s="9">
        <v>25569.229166666668</v>
      </c>
    </row>
    <row r="856" spans="1:16" hidden="1" x14ac:dyDescent="0.25">
      <c r="A856" t="s">
        <v>9</v>
      </c>
      <c r="B856" s="4">
        <v>46149</v>
      </c>
      <c r="C856" t="s">
        <v>894</v>
      </c>
      <c r="D856">
        <v>72400</v>
      </c>
      <c r="E856" t="s">
        <v>42</v>
      </c>
      <c r="F856">
        <v>1.5</v>
      </c>
      <c r="G856">
        <v>121780</v>
      </c>
      <c r="H856">
        <v>17860</v>
      </c>
      <c r="I856">
        <v>26700</v>
      </c>
      <c r="J856">
        <v>12940</v>
      </c>
      <c r="K856">
        <v>4.8</v>
      </c>
      <c r="L856">
        <v>4.8</v>
      </c>
      <c r="M856">
        <v>1.1000000000000001</v>
      </c>
      <c r="N856">
        <v>4.75</v>
      </c>
      <c r="O856">
        <v>0</v>
      </c>
      <c r="P856" s="9">
        <v>46147.645694444444</v>
      </c>
    </row>
    <row r="857" spans="1:16" hidden="1" x14ac:dyDescent="0.25">
      <c r="A857" t="s">
        <v>9</v>
      </c>
      <c r="B857" s="4">
        <v>46149</v>
      </c>
      <c r="C857" t="s">
        <v>895</v>
      </c>
      <c r="D857">
        <v>72500</v>
      </c>
      <c r="E857" t="s">
        <v>40</v>
      </c>
      <c r="F857">
        <v>4802.45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2650</v>
      </c>
      <c r="M857">
        <v>2650</v>
      </c>
      <c r="N857">
        <v>4802.45</v>
      </c>
      <c r="O857">
        <v>0</v>
      </c>
      <c r="P857" s="9">
        <v>46114.562523148146</v>
      </c>
    </row>
    <row r="858" spans="1:16" hidden="1" x14ac:dyDescent="0.25">
      <c r="A858" t="s">
        <v>9</v>
      </c>
      <c r="B858" s="4">
        <v>46149</v>
      </c>
      <c r="C858" t="s">
        <v>896</v>
      </c>
      <c r="D858">
        <v>72500</v>
      </c>
      <c r="E858" t="s">
        <v>42</v>
      </c>
      <c r="F858">
        <v>1.5</v>
      </c>
      <c r="G858">
        <v>1482280</v>
      </c>
      <c r="H858">
        <v>202460</v>
      </c>
      <c r="I858">
        <v>231160</v>
      </c>
      <c r="J858">
        <v>170980</v>
      </c>
      <c r="K858">
        <v>6.65</v>
      </c>
      <c r="L858">
        <v>6.65</v>
      </c>
      <c r="M858">
        <v>1.35</v>
      </c>
      <c r="N858">
        <v>4.9000000000000004</v>
      </c>
      <c r="O858">
        <v>0</v>
      </c>
      <c r="P858" s="9">
        <v>46147.645810185182</v>
      </c>
    </row>
    <row r="859" spans="1:16" hidden="1" x14ac:dyDescent="0.25">
      <c r="A859" t="s">
        <v>9</v>
      </c>
      <c r="B859" s="4">
        <v>46149</v>
      </c>
      <c r="C859" t="s">
        <v>897</v>
      </c>
      <c r="D859">
        <v>72600</v>
      </c>
      <c r="E859" t="s">
        <v>40</v>
      </c>
      <c r="F859">
        <v>4702.55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4702.55</v>
      </c>
      <c r="O859">
        <v>0</v>
      </c>
      <c r="P859" s="9">
        <v>25569.229166666668</v>
      </c>
    </row>
    <row r="860" spans="1:16" hidden="1" x14ac:dyDescent="0.25">
      <c r="A860" t="s">
        <v>9</v>
      </c>
      <c r="B860" s="4">
        <v>46149</v>
      </c>
      <c r="C860" t="s">
        <v>898</v>
      </c>
      <c r="D860">
        <v>72600</v>
      </c>
      <c r="E860" t="s">
        <v>42</v>
      </c>
      <c r="F860">
        <v>1.7</v>
      </c>
      <c r="G860">
        <v>44340</v>
      </c>
      <c r="H860">
        <v>6500</v>
      </c>
      <c r="I860">
        <v>9520</v>
      </c>
      <c r="J860">
        <v>2880</v>
      </c>
      <c r="K860">
        <v>4.75</v>
      </c>
      <c r="L860">
        <v>4.75</v>
      </c>
      <c r="M860">
        <v>1.45</v>
      </c>
      <c r="N860">
        <v>4.75</v>
      </c>
      <c r="O860">
        <v>0</v>
      </c>
      <c r="P860" s="9">
        <v>46147.64565972222</v>
      </c>
    </row>
    <row r="861" spans="1:16" hidden="1" x14ac:dyDescent="0.25">
      <c r="A861" t="s">
        <v>9</v>
      </c>
      <c r="B861" s="4">
        <v>46149</v>
      </c>
      <c r="C861" t="s">
        <v>899</v>
      </c>
      <c r="D861">
        <v>72700</v>
      </c>
      <c r="E861" t="s">
        <v>40</v>
      </c>
      <c r="F861">
        <v>4602.7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4602.7</v>
      </c>
      <c r="O861">
        <v>0</v>
      </c>
      <c r="P861" s="9">
        <v>25569.229166666668</v>
      </c>
    </row>
    <row r="862" spans="1:16" hidden="1" x14ac:dyDescent="0.25">
      <c r="A862" t="s">
        <v>9</v>
      </c>
      <c r="B862" s="4">
        <v>46149</v>
      </c>
      <c r="C862" t="s">
        <v>900</v>
      </c>
      <c r="D862">
        <v>72700</v>
      </c>
      <c r="E862" t="s">
        <v>42</v>
      </c>
      <c r="F862">
        <v>2.1</v>
      </c>
      <c r="G862">
        <v>112320</v>
      </c>
      <c r="H862">
        <v>13800</v>
      </c>
      <c r="I862">
        <v>23240</v>
      </c>
      <c r="J862">
        <v>13620</v>
      </c>
      <c r="K862">
        <v>4.5</v>
      </c>
      <c r="L862">
        <v>4.55</v>
      </c>
      <c r="M862">
        <v>1.5</v>
      </c>
      <c r="N862">
        <v>5.0999999999999996</v>
      </c>
      <c r="O862">
        <v>0</v>
      </c>
      <c r="P862" s="9">
        <v>46147.645752314813</v>
      </c>
    </row>
    <row r="863" spans="1:16" hidden="1" x14ac:dyDescent="0.25">
      <c r="A863" t="s">
        <v>9</v>
      </c>
      <c r="B863" s="4">
        <v>46149</v>
      </c>
      <c r="C863" t="s">
        <v>901</v>
      </c>
      <c r="D863">
        <v>72800</v>
      </c>
      <c r="E863" t="s">
        <v>40</v>
      </c>
      <c r="F863">
        <v>4502.8500000000004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4502.8500000000004</v>
      </c>
      <c r="O863">
        <v>0</v>
      </c>
      <c r="P863" s="9">
        <v>25569.229166666668</v>
      </c>
    </row>
    <row r="864" spans="1:16" hidden="1" x14ac:dyDescent="0.25">
      <c r="A864" t="s">
        <v>9</v>
      </c>
      <c r="B864" s="4">
        <v>46149</v>
      </c>
      <c r="C864" t="s">
        <v>902</v>
      </c>
      <c r="D864">
        <v>72800</v>
      </c>
      <c r="E864" t="s">
        <v>42</v>
      </c>
      <c r="F864">
        <v>1.55</v>
      </c>
      <c r="G864">
        <v>143860</v>
      </c>
      <c r="H864">
        <v>16280</v>
      </c>
      <c r="I864">
        <v>19200</v>
      </c>
      <c r="J864">
        <v>14460</v>
      </c>
      <c r="K864">
        <v>5.55</v>
      </c>
      <c r="L864">
        <v>5.55</v>
      </c>
      <c r="M864">
        <v>1.4</v>
      </c>
      <c r="N864">
        <v>5.6</v>
      </c>
      <c r="O864">
        <v>0</v>
      </c>
      <c r="P864" s="9">
        <v>46147.645752314813</v>
      </c>
    </row>
    <row r="865" spans="1:16" hidden="1" x14ac:dyDescent="0.25">
      <c r="A865" t="s">
        <v>9</v>
      </c>
      <c r="B865" s="4">
        <v>46149</v>
      </c>
      <c r="C865" t="s">
        <v>903</v>
      </c>
      <c r="D865">
        <v>72900</v>
      </c>
      <c r="E865" t="s">
        <v>40</v>
      </c>
      <c r="F865">
        <v>4403.05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4403.05</v>
      </c>
      <c r="O865">
        <v>0</v>
      </c>
      <c r="P865" s="9">
        <v>25569.229166666668</v>
      </c>
    </row>
    <row r="866" spans="1:16" hidden="1" x14ac:dyDescent="0.25">
      <c r="A866" t="s">
        <v>9</v>
      </c>
      <c r="B866" s="4">
        <v>46149</v>
      </c>
      <c r="C866" t="s">
        <v>904</v>
      </c>
      <c r="D866">
        <v>72900</v>
      </c>
      <c r="E866" t="s">
        <v>42</v>
      </c>
      <c r="F866">
        <v>1.95</v>
      </c>
      <c r="G866">
        <v>135780</v>
      </c>
      <c r="H866">
        <v>12500</v>
      </c>
      <c r="I866">
        <v>20220</v>
      </c>
      <c r="J866">
        <v>7140</v>
      </c>
      <c r="K866">
        <v>5.25</v>
      </c>
      <c r="L866">
        <v>5.8</v>
      </c>
      <c r="M866">
        <v>1.4</v>
      </c>
      <c r="N866">
        <v>5.75</v>
      </c>
      <c r="O866">
        <v>0</v>
      </c>
      <c r="P866" s="9">
        <v>46147.645752314813</v>
      </c>
    </row>
    <row r="867" spans="1:16" hidden="1" x14ac:dyDescent="0.25">
      <c r="A867" t="s">
        <v>9</v>
      </c>
      <c r="B867" s="4">
        <v>46149</v>
      </c>
      <c r="C867" t="s">
        <v>905</v>
      </c>
      <c r="D867">
        <v>73000</v>
      </c>
      <c r="E867" t="s">
        <v>40</v>
      </c>
      <c r="F867">
        <v>4075</v>
      </c>
      <c r="G867">
        <v>140</v>
      </c>
      <c r="H867">
        <v>780</v>
      </c>
      <c r="I867">
        <v>800</v>
      </c>
      <c r="J867">
        <v>780</v>
      </c>
      <c r="K867">
        <v>4303.3</v>
      </c>
      <c r="L867">
        <v>4303.3</v>
      </c>
      <c r="M867">
        <v>3687.25</v>
      </c>
      <c r="N867">
        <v>4303.3</v>
      </c>
      <c r="O867">
        <v>0</v>
      </c>
      <c r="P867" s="9">
        <v>46147.596574074072</v>
      </c>
    </row>
    <row r="868" spans="1:16" hidden="1" x14ac:dyDescent="0.25">
      <c r="A868" t="s">
        <v>9</v>
      </c>
      <c r="B868" s="4">
        <v>46149</v>
      </c>
      <c r="C868" t="s">
        <v>906</v>
      </c>
      <c r="D868">
        <v>73000</v>
      </c>
      <c r="E868" t="s">
        <v>42</v>
      </c>
      <c r="F868">
        <v>1.85</v>
      </c>
      <c r="G868">
        <v>3447480</v>
      </c>
      <c r="H868">
        <v>481640</v>
      </c>
      <c r="I868">
        <v>498940</v>
      </c>
      <c r="J868">
        <v>295160</v>
      </c>
      <c r="K868">
        <v>6.2</v>
      </c>
      <c r="L868">
        <v>6.2</v>
      </c>
      <c r="M868">
        <v>1.8</v>
      </c>
      <c r="N868">
        <v>6.2</v>
      </c>
      <c r="O868">
        <v>0</v>
      </c>
      <c r="P868" s="9">
        <v>46147.645821759259</v>
      </c>
    </row>
    <row r="869" spans="1:16" hidden="1" x14ac:dyDescent="0.25">
      <c r="A869" t="s">
        <v>9</v>
      </c>
      <c r="B869" s="4">
        <v>46149</v>
      </c>
      <c r="C869" t="s">
        <v>907</v>
      </c>
      <c r="D869">
        <v>73100</v>
      </c>
      <c r="E869" t="s">
        <v>40</v>
      </c>
      <c r="F869">
        <v>4203.55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4203.55</v>
      </c>
      <c r="O869">
        <v>0</v>
      </c>
      <c r="P869" s="9">
        <v>25569.229166666668</v>
      </c>
    </row>
    <row r="870" spans="1:16" hidden="1" x14ac:dyDescent="0.25">
      <c r="A870" t="s">
        <v>9</v>
      </c>
      <c r="B870" s="4">
        <v>46149</v>
      </c>
      <c r="C870" t="s">
        <v>908</v>
      </c>
      <c r="D870">
        <v>73100</v>
      </c>
      <c r="E870" t="s">
        <v>42</v>
      </c>
      <c r="F870">
        <v>2.25</v>
      </c>
      <c r="G870">
        <v>525140</v>
      </c>
      <c r="H870">
        <v>35540</v>
      </c>
      <c r="I870">
        <v>96140</v>
      </c>
      <c r="J870">
        <v>24120</v>
      </c>
      <c r="K870">
        <v>5.4</v>
      </c>
      <c r="L870">
        <v>5.8</v>
      </c>
      <c r="M870">
        <v>1.8</v>
      </c>
      <c r="N870">
        <v>6.25</v>
      </c>
      <c r="O870">
        <v>0</v>
      </c>
      <c r="P870" s="9">
        <v>46147.645752314813</v>
      </c>
    </row>
    <row r="871" spans="1:16" hidden="1" x14ac:dyDescent="0.25">
      <c r="A871" t="s">
        <v>9</v>
      </c>
      <c r="B871" s="4">
        <v>46149</v>
      </c>
      <c r="C871" t="s">
        <v>909</v>
      </c>
      <c r="D871">
        <v>73200</v>
      </c>
      <c r="E871" t="s">
        <v>40</v>
      </c>
      <c r="F871">
        <v>4103.8999999999996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4103.8999999999996</v>
      </c>
      <c r="O871">
        <v>0</v>
      </c>
      <c r="P871" s="9">
        <v>25569.229166666668</v>
      </c>
    </row>
    <row r="872" spans="1:16" hidden="1" x14ac:dyDescent="0.25">
      <c r="A872" t="s">
        <v>9</v>
      </c>
      <c r="B872" s="4">
        <v>46149</v>
      </c>
      <c r="C872" t="s">
        <v>910</v>
      </c>
      <c r="D872">
        <v>73200</v>
      </c>
      <c r="E872" t="s">
        <v>42</v>
      </c>
      <c r="F872">
        <v>2</v>
      </c>
      <c r="G872">
        <v>232420</v>
      </c>
      <c r="H872">
        <v>39380</v>
      </c>
      <c r="I872">
        <v>39380</v>
      </c>
      <c r="J872">
        <v>24380</v>
      </c>
      <c r="K872">
        <v>3.6</v>
      </c>
      <c r="L872">
        <v>6.1</v>
      </c>
      <c r="M872">
        <v>2</v>
      </c>
      <c r="N872">
        <v>6.5</v>
      </c>
      <c r="O872">
        <v>0</v>
      </c>
      <c r="P872" s="9">
        <v>46147.645752314813</v>
      </c>
    </row>
    <row r="873" spans="1:16" hidden="1" x14ac:dyDescent="0.25">
      <c r="A873" t="s">
        <v>9</v>
      </c>
      <c r="B873" s="4">
        <v>46149</v>
      </c>
      <c r="C873" t="s">
        <v>911</v>
      </c>
      <c r="D873">
        <v>73300</v>
      </c>
      <c r="E873" t="s">
        <v>40</v>
      </c>
      <c r="F873">
        <v>4004.3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4004.3</v>
      </c>
      <c r="O873">
        <v>0</v>
      </c>
      <c r="P873" s="9">
        <v>25569.229166666668</v>
      </c>
    </row>
    <row r="874" spans="1:16" hidden="1" x14ac:dyDescent="0.25">
      <c r="A874" t="s">
        <v>9</v>
      </c>
      <c r="B874" s="4">
        <v>46149</v>
      </c>
      <c r="C874" t="s">
        <v>912</v>
      </c>
      <c r="D874">
        <v>73300</v>
      </c>
      <c r="E874" t="s">
        <v>42</v>
      </c>
      <c r="F874">
        <v>2.35</v>
      </c>
      <c r="G874">
        <v>461480</v>
      </c>
      <c r="H874">
        <v>39220</v>
      </c>
      <c r="I874">
        <v>43240</v>
      </c>
      <c r="J874">
        <v>11700</v>
      </c>
      <c r="K874">
        <v>5.65</v>
      </c>
      <c r="L874">
        <v>7.15</v>
      </c>
      <c r="M874">
        <v>2.15</v>
      </c>
      <c r="N874">
        <v>7.05</v>
      </c>
      <c r="O874">
        <v>0</v>
      </c>
      <c r="P874" s="9">
        <v>46147.645752314813</v>
      </c>
    </row>
    <row r="875" spans="1:16" hidden="1" x14ac:dyDescent="0.25">
      <c r="A875" t="s">
        <v>9</v>
      </c>
      <c r="B875" s="4">
        <v>46149</v>
      </c>
      <c r="C875" t="s">
        <v>913</v>
      </c>
      <c r="D875">
        <v>73400</v>
      </c>
      <c r="E875" t="s">
        <v>40</v>
      </c>
      <c r="F875">
        <v>3904.8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3904.8</v>
      </c>
      <c r="O875">
        <v>0</v>
      </c>
      <c r="P875" s="9">
        <v>25569.229166666668</v>
      </c>
    </row>
    <row r="876" spans="1:16" hidden="1" x14ac:dyDescent="0.25">
      <c r="A876" t="s">
        <v>9</v>
      </c>
      <c r="B876" s="4">
        <v>46149</v>
      </c>
      <c r="C876" t="s">
        <v>914</v>
      </c>
      <c r="D876">
        <v>73400</v>
      </c>
      <c r="E876" t="s">
        <v>42</v>
      </c>
      <c r="F876">
        <v>2.5</v>
      </c>
      <c r="G876">
        <v>974200</v>
      </c>
      <c r="H876">
        <v>82020</v>
      </c>
      <c r="I876">
        <v>122580</v>
      </c>
      <c r="J876">
        <v>27820</v>
      </c>
      <c r="K876">
        <v>2.6</v>
      </c>
      <c r="L876">
        <v>7.5</v>
      </c>
      <c r="M876">
        <v>2.1</v>
      </c>
      <c r="N876">
        <v>7.2</v>
      </c>
      <c r="O876">
        <v>0</v>
      </c>
      <c r="P876" s="9">
        <v>46147.645752314813</v>
      </c>
    </row>
    <row r="877" spans="1:16" hidden="1" x14ac:dyDescent="0.25">
      <c r="A877" t="s">
        <v>9</v>
      </c>
      <c r="B877" s="4">
        <v>46149</v>
      </c>
      <c r="C877" t="s">
        <v>915</v>
      </c>
      <c r="D877">
        <v>73500</v>
      </c>
      <c r="E877" t="s">
        <v>40</v>
      </c>
      <c r="F877">
        <v>3805.35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3800</v>
      </c>
      <c r="M877">
        <v>3800</v>
      </c>
      <c r="N877">
        <v>3805.35</v>
      </c>
      <c r="O877">
        <v>0</v>
      </c>
      <c r="P877" s="9">
        <v>46120.385416666664</v>
      </c>
    </row>
    <row r="878" spans="1:16" hidden="1" x14ac:dyDescent="0.25">
      <c r="A878" t="s">
        <v>9</v>
      </c>
      <c r="B878" s="4">
        <v>46149</v>
      </c>
      <c r="C878" t="s">
        <v>916</v>
      </c>
      <c r="D878">
        <v>73500</v>
      </c>
      <c r="E878" t="s">
        <v>42</v>
      </c>
      <c r="F878">
        <v>2.6</v>
      </c>
      <c r="G878">
        <v>4794440</v>
      </c>
      <c r="H878">
        <v>637460</v>
      </c>
      <c r="I878">
        <v>645760</v>
      </c>
      <c r="J878">
        <v>232900</v>
      </c>
      <c r="K878">
        <v>8.6999999999999993</v>
      </c>
      <c r="L878">
        <v>8.85</v>
      </c>
      <c r="M878">
        <v>2.4</v>
      </c>
      <c r="N878">
        <v>8.6999999999999993</v>
      </c>
      <c r="O878">
        <v>0</v>
      </c>
      <c r="P878" s="9">
        <v>46147.645821759259</v>
      </c>
    </row>
    <row r="879" spans="1:16" hidden="1" x14ac:dyDescent="0.25">
      <c r="A879" t="s">
        <v>9</v>
      </c>
      <c r="B879" s="4">
        <v>46149</v>
      </c>
      <c r="C879" t="s">
        <v>917</v>
      </c>
      <c r="D879">
        <v>73600</v>
      </c>
      <c r="E879" t="s">
        <v>40</v>
      </c>
      <c r="F879">
        <v>3706.05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3706.05</v>
      </c>
      <c r="O879">
        <v>0</v>
      </c>
      <c r="P879" s="9">
        <v>25569.229166666668</v>
      </c>
    </row>
    <row r="880" spans="1:16" hidden="1" x14ac:dyDescent="0.25">
      <c r="A880" t="s">
        <v>9</v>
      </c>
      <c r="B880" s="4">
        <v>46149</v>
      </c>
      <c r="C880" t="s">
        <v>918</v>
      </c>
      <c r="D880">
        <v>73600</v>
      </c>
      <c r="E880" t="s">
        <v>42</v>
      </c>
      <c r="F880">
        <v>2.7</v>
      </c>
      <c r="G880">
        <v>821420</v>
      </c>
      <c r="H880">
        <v>135420</v>
      </c>
      <c r="I880">
        <v>135420</v>
      </c>
      <c r="J880">
        <v>16460</v>
      </c>
      <c r="K880">
        <v>9.85</v>
      </c>
      <c r="L880">
        <v>9.85</v>
      </c>
      <c r="M880">
        <v>2.2999999999999998</v>
      </c>
      <c r="N880">
        <v>9.85</v>
      </c>
      <c r="O880">
        <v>0</v>
      </c>
      <c r="P880" s="9">
        <v>46147.645810185182</v>
      </c>
    </row>
    <row r="881" spans="1:16" hidden="1" x14ac:dyDescent="0.25">
      <c r="A881" t="s">
        <v>9</v>
      </c>
      <c r="B881" s="4">
        <v>46149</v>
      </c>
      <c r="C881" t="s">
        <v>919</v>
      </c>
      <c r="D881">
        <v>73700</v>
      </c>
      <c r="E881" t="s">
        <v>40</v>
      </c>
      <c r="F881">
        <v>3606.9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3606.9</v>
      </c>
      <c r="O881">
        <v>0</v>
      </c>
      <c r="P881" s="9">
        <v>25569.229166666668</v>
      </c>
    </row>
    <row r="882" spans="1:16" hidden="1" x14ac:dyDescent="0.25">
      <c r="A882" t="s">
        <v>9</v>
      </c>
      <c r="B882" s="4">
        <v>46149</v>
      </c>
      <c r="C882" t="s">
        <v>920</v>
      </c>
      <c r="D882">
        <v>73700</v>
      </c>
      <c r="E882" t="s">
        <v>42</v>
      </c>
      <c r="F882">
        <v>2.75</v>
      </c>
      <c r="G882">
        <v>993660</v>
      </c>
      <c r="H882">
        <v>91680</v>
      </c>
      <c r="I882">
        <v>97960</v>
      </c>
      <c r="J882">
        <v>42620</v>
      </c>
      <c r="K882">
        <v>10</v>
      </c>
      <c r="L882">
        <v>10</v>
      </c>
      <c r="M882">
        <v>2.5</v>
      </c>
      <c r="N882">
        <v>10.15</v>
      </c>
      <c r="O882">
        <v>0</v>
      </c>
      <c r="P882" s="9">
        <v>46147.645752314813</v>
      </c>
    </row>
    <row r="883" spans="1:16" hidden="1" x14ac:dyDescent="0.25">
      <c r="A883" t="s">
        <v>9</v>
      </c>
      <c r="B883" s="4">
        <v>46149</v>
      </c>
      <c r="C883" t="s">
        <v>921</v>
      </c>
      <c r="D883">
        <v>73800</v>
      </c>
      <c r="E883" t="s">
        <v>40</v>
      </c>
      <c r="F883">
        <v>3507.85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3507.85</v>
      </c>
      <c r="O883">
        <v>0</v>
      </c>
      <c r="P883" s="9">
        <v>25569.229166666668</v>
      </c>
    </row>
    <row r="884" spans="1:16" hidden="1" x14ac:dyDescent="0.25">
      <c r="A884" t="s">
        <v>9</v>
      </c>
      <c r="B884" s="4">
        <v>46149</v>
      </c>
      <c r="C884" t="s">
        <v>922</v>
      </c>
      <c r="D884">
        <v>73800</v>
      </c>
      <c r="E884" t="s">
        <v>42</v>
      </c>
      <c r="F884">
        <v>3.05</v>
      </c>
      <c r="G884">
        <v>889320</v>
      </c>
      <c r="H884">
        <v>102020</v>
      </c>
      <c r="I884">
        <v>102020</v>
      </c>
      <c r="J884">
        <v>32220</v>
      </c>
      <c r="K884">
        <v>10.4</v>
      </c>
      <c r="L884">
        <v>13</v>
      </c>
      <c r="M884">
        <v>2.9</v>
      </c>
      <c r="N884">
        <v>11.9</v>
      </c>
      <c r="O884">
        <v>0</v>
      </c>
      <c r="P884" s="9">
        <v>46147.64576388889</v>
      </c>
    </row>
    <row r="885" spans="1:16" hidden="1" x14ac:dyDescent="0.25">
      <c r="A885" t="s">
        <v>9</v>
      </c>
      <c r="B885" s="4">
        <v>46149</v>
      </c>
      <c r="C885" t="s">
        <v>923</v>
      </c>
      <c r="D885">
        <v>73900</v>
      </c>
      <c r="E885" t="s">
        <v>40</v>
      </c>
      <c r="F885">
        <v>3409.05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3409.05</v>
      </c>
      <c r="O885">
        <v>0</v>
      </c>
      <c r="P885" s="9">
        <v>25569.229166666668</v>
      </c>
    </row>
    <row r="886" spans="1:16" hidden="1" x14ac:dyDescent="0.25">
      <c r="A886" t="s">
        <v>9</v>
      </c>
      <c r="B886" s="4">
        <v>46149</v>
      </c>
      <c r="C886" t="s">
        <v>924</v>
      </c>
      <c r="D886">
        <v>73900</v>
      </c>
      <c r="E886" t="s">
        <v>42</v>
      </c>
      <c r="F886">
        <v>3.35</v>
      </c>
      <c r="G886">
        <v>864920</v>
      </c>
      <c r="H886">
        <v>79700</v>
      </c>
      <c r="I886">
        <v>96420</v>
      </c>
      <c r="J886">
        <v>41360</v>
      </c>
      <c r="K886">
        <v>10</v>
      </c>
      <c r="L886">
        <v>18.75</v>
      </c>
      <c r="M886">
        <v>3.15</v>
      </c>
      <c r="N886">
        <v>13.1</v>
      </c>
      <c r="O886">
        <v>0</v>
      </c>
      <c r="P886" s="9">
        <v>46147.645821759259</v>
      </c>
    </row>
    <row r="887" spans="1:16" hidden="1" x14ac:dyDescent="0.25">
      <c r="A887" t="s">
        <v>9</v>
      </c>
      <c r="B887" s="4">
        <v>46149</v>
      </c>
      <c r="C887" t="s">
        <v>925</v>
      </c>
      <c r="D887">
        <v>74000</v>
      </c>
      <c r="E887" t="s">
        <v>40</v>
      </c>
      <c r="F887">
        <v>3194.5</v>
      </c>
      <c r="G887">
        <v>1860</v>
      </c>
      <c r="H887">
        <v>5060</v>
      </c>
      <c r="I887">
        <v>6100</v>
      </c>
      <c r="J887">
        <v>5060</v>
      </c>
      <c r="K887">
        <v>3200</v>
      </c>
      <c r="L887">
        <v>3200</v>
      </c>
      <c r="M887">
        <v>2735.85</v>
      </c>
      <c r="N887">
        <v>3405.65</v>
      </c>
      <c r="O887">
        <v>0</v>
      </c>
      <c r="P887" s="9">
        <v>46147.644513888888</v>
      </c>
    </row>
    <row r="888" spans="1:16" hidden="1" x14ac:dyDescent="0.25">
      <c r="A888" t="s">
        <v>9</v>
      </c>
      <c r="B888" s="4">
        <v>46149</v>
      </c>
      <c r="C888" t="s">
        <v>926</v>
      </c>
      <c r="D888">
        <v>74000</v>
      </c>
      <c r="E888" t="s">
        <v>42</v>
      </c>
      <c r="F888">
        <v>3.55</v>
      </c>
      <c r="G888">
        <v>9877800</v>
      </c>
      <c r="H888">
        <v>1082580</v>
      </c>
      <c r="I888">
        <v>1159220</v>
      </c>
      <c r="J888">
        <v>712260</v>
      </c>
      <c r="K888">
        <v>12</v>
      </c>
      <c r="L888">
        <v>17.850000000000001</v>
      </c>
      <c r="M888">
        <v>3.5</v>
      </c>
      <c r="N888">
        <v>14.1</v>
      </c>
      <c r="O888">
        <v>0</v>
      </c>
      <c r="P888" s="9">
        <v>46147.645821759259</v>
      </c>
    </row>
    <row r="889" spans="1:16" hidden="1" x14ac:dyDescent="0.25">
      <c r="A889" t="s">
        <v>9</v>
      </c>
      <c r="B889" s="4">
        <v>46149</v>
      </c>
      <c r="C889" t="s">
        <v>927</v>
      </c>
      <c r="D889">
        <v>74100</v>
      </c>
      <c r="E889" t="s">
        <v>40</v>
      </c>
      <c r="F889">
        <v>3212.05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3212.05</v>
      </c>
      <c r="O889">
        <v>0</v>
      </c>
      <c r="P889" s="9">
        <v>25569.229166666668</v>
      </c>
    </row>
    <row r="890" spans="1:16" hidden="1" x14ac:dyDescent="0.25">
      <c r="A890" t="s">
        <v>9</v>
      </c>
      <c r="B890" s="4">
        <v>46149</v>
      </c>
      <c r="C890" t="s">
        <v>928</v>
      </c>
      <c r="D890">
        <v>74100</v>
      </c>
      <c r="E890" t="s">
        <v>42</v>
      </c>
      <c r="F890">
        <v>3.7</v>
      </c>
      <c r="G890">
        <v>1187000</v>
      </c>
      <c r="H890">
        <v>105480</v>
      </c>
      <c r="I890">
        <v>123620</v>
      </c>
      <c r="J890">
        <v>44440</v>
      </c>
      <c r="K890">
        <v>16.8</v>
      </c>
      <c r="L890">
        <v>17.149999999999999</v>
      </c>
      <c r="M890">
        <v>3.7</v>
      </c>
      <c r="N890">
        <v>16</v>
      </c>
      <c r="O890">
        <v>0</v>
      </c>
      <c r="P890" s="9">
        <v>46147.645798611113</v>
      </c>
    </row>
    <row r="891" spans="1:16" hidden="1" x14ac:dyDescent="0.25">
      <c r="A891" t="s">
        <v>9</v>
      </c>
      <c r="B891" s="4">
        <v>46149</v>
      </c>
      <c r="C891" t="s">
        <v>929</v>
      </c>
      <c r="D891">
        <v>74200</v>
      </c>
      <c r="E891" t="s">
        <v>40</v>
      </c>
      <c r="F891">
        <v>3114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3114</v>
      </c>
      <c r="O891">
        <v>0</v>
      </c>
      <c r="P891" s="9">
        <v>25569.229166666668</v>
      </c>
    </row>
    <row r="892" spans="1:16" hidden="1" x14ac:dyDescent="0.25">
      <c r="A892" t="s">
        <v>9</v>
      </c>
      <c r="B892" s="4">
        <v>46149</v>
      </c>
      <c r="C892" t="s">
        <v>930</v>
      </c>
      <c r="D892">
        <v>74200</v>
      </c>
      <c r="E892" t="s">
        <v>42</v>
      </c>
      <c r="F892">
        <v>4.1500000000000004</v>
      </c>
      <c r="G892">
        <v>1647600</v>
      </c>
      <c r="H892">
        <v>171740</v>
      </c>
      <c r="I892">
        <v>180940</v>
      </c>
      <c r="J892">
        <v>88440</v>
      </c>
      <c r="K892">
        <v>18.25</v>
      </c>
      <c r="L892">
        <v>20.100000000000001</v>
      </c>
      <c r="M892">
        <v>3.85</v>
      </c>
      <c r="N892">
        <v>18.2</v>
      </c>
      <c r="O892">
        <v>0</v>
      </c>
      <c r="P892" s="9">
        <v>46147.645775462966</v>
      </c>
    </row>
    <row r="893" spans="1:16" hidden="1" x14ac:dyDescent="0.25">
      <c r="A893" t="s">
        <v>9</v>
      </c>
      <c r="B893" s="4">
        <v>46149</v>
      </c>
      <c r="C893" t="s">
        <v>931</v>
      </c>
      <c r="D893">
        <v>74300</v>
      </c>
      <c r="E893" t="s">
        <v>40</v>
      </c>
      <c r="F893">
        <v>3016.25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3016.25</v>
      </c>
      <c r="O893">
        <v>0</v>
      </c>
      <c r="P893" s="9">
        <v>25569.229166666668</v>
      </c>
    </row>
    <row r="894" spans="1:16" hidden="1" x14ac:dyDescent="0.25">
      <c r="A894" t="s">
        <v>9</v>
      </c>
      <c r="B894" s="4">
        <v>46149</v>
      </c>
      <c r="C894" t="s">
        <v>932</v>
      </c>
      <c r="D894">
        <v>74300</v>
      </c>
      <c r="E894" t="s">
        <v>42</v>
      </c>
      <c r="F894">
        <v>4.7</v>
      </c>
      <c r="G894">
        <v>1410860</v>
      </c>
      <c r="H894">
        <v>135140</v>
      </c>
      <c r="I894">
        <v>141660</v>
      </c>
      <c r="J894">
        <v>52880</v>
      </c>
      <c r="K894">
        <v>20</v>
      </c>
      <c r="L894">
        <v>22.85</v>
      </c>
      <c r="M894">
        <v>4.25</v>
      </c>
      <c r="N894">
        <v>21.5</v>
      </c>
      <c r="O894">
        <v>0</v>
      </c>
      <c r="P894" s="9">
        <v>46147.645821759259</v>
      </c>
    </row>
    <row r="895" spans="1:16" hidden="1" x14ac:dyDescent="0.25">
      <c r="A895" t="s">
        <v>9</v>
      </c>
      <c r="B895" s="4">
        <v>46149</v>
      </c>
      <c r="C895" t="s">
        <v>933</v>
      </c>
      <c r="D895">
        <v>74400</v>
      </c>
      <c r="E895" t="s">
        <v>40</v>
      </c>
      <c r="F895">
        <v>2918.9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2918.9</v>
      </c>
      <c r="O895">
        <v>0</v>
      </c>
      <c r="P895" s="9">
        <v>25569.229166666668</v>
      </c>
    </row>
    <row r="896" spans="1:16" hidden="1" x14ac:dyDescent="0.25">
      <c r="A896" t="s">
        <v>9</v>
      </c>
      <c r="B896" s="4">
        <v>46149</v>
      </c>
      <c r="C896" t="s">
        <v>934</v>
      </c>
      <c r="D896">
        <v>74400</v>
      </c>
      <c r="E896" t="s">
        <v>42</v>
      </c>
      <c r="F896">
        <v>4.75</v>
      </c>
      <c r="G896">
        <v>2207480</v>
      </c>
      <c r="H896">
        <v>160320</v>
      </c>
      <c r="I896">
        <v>163240</v>
      </c>
      <c r="J896">
        <v>68040</v>
      </c>
      <c r="K896">
        <v>25</v>
      </c>
      <c r="L896">
        <v>28.2</v>
      </c>
      <c r="M896">
        <v>4.75</v>
      </c>
      <c r="N896">
        <v>22.85</v>
      </c>
      <c r="O896">
        <v>0</v>
      </c>
      <c r="P896" s="9">
        <v>46147.645821759259</v>
      </c>
    </row>
    <row r="897" spans="1:16" hidden="1" x14ac:dyDescent="0.25">
      <c r="A897" t="s">
        <v>9</v>
      </c>
      <c r="B897" s="4">
        <v>46149</v>
      </c>
      <c r="C897" t="s">
        <v>935</v>
      </c>
      <c r="D897">
        <v>74500</v>
      </c>
      <c r="E897" t="s">
        <v>40</v>
      </c>
      <c r="F897">
        <v>2986</v>
      </c>
      <c r="G897">
        <v>0</v>
      </c>
      <c r="H897">
        <v>240</v>
      </c>
      <c r="I897">
        <v>240</v>
      </c>
      <c r="J897">
        <v>240</v>
      </c>
      <c r="K897">
        <v>0</v>
      </c>
      <c r="L897">
        <v>3527.1</v>
      </c>
      <c r="M897">
        <v>2759.05</v>
      </c>
      <c r="N897">
        <v>2986</v>
      </c>
      <c r="O897">
        <v>0</v>
      </c>
      <c r="P897" s="9">
        <v>46146.640763888892</v>
      </c>
    </row>
    <row r="898" spans="1:16" hidden="1" x14ac:dyDescent="0.25">
      <c r="A898" t="s">
        <v>9</v>
      </c>
      <c r="B898" s="4">
        <v>46149</v>
      </c>
      <c r="C898" t="s">
        <v>936</v>
      </c>
      <c r="D898">
        <v>74500</v>
      </c>
      <c r="E898" t="s">
        <v>42</v>
      </c>
      <c r="F898">
        <v>5.95</v>
      </c>
      <c r="G898">
        <v>10171580</v>
      </c>
      <c r="H898">
        <v>877920</v>
      </c>
      <c r="I898">
        <v>883340</v>
      </c>
      <c r="J898">
        <v>447320</v>
      </c>
      <c r="K898">
        <v>39</v>
      </c>
      <c r="L898">
        <v>39</v>
      </c>
      <c r="M898">
        <v>5.7</v>
      </c>
      <c r="N898">
        <v>26.8</v>
      </c>
      <c r="O898">
        <v>0</v>
      </c>
      <c r="P898" s="9">
        <v>46147.645821759259</v>
      </c>
    </row>
    <row r="899" spans="1:16" hidden="1" x14ac:dyDescent="0.25">
      <c r="A899" t="s">
        <v>9</v>
      </c>
      <c r="B899" s="4">
        <v>46149</v>
      </c>
      <c r="C899" t="s">
        <v>937</v>
      </c>
      <c r="D899">
        <v>74600</v>
      </c>
      <c r="E899" t="s">
        <v>40</v>
      </c>
      <c r="F899">
        <v>2725.55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2725.55</v>
      </c>
      <c r="O899">
        <v>0</v>
      </c>
      <c r="P899" s="9">
        <v>25569.229166666668</v>
      </c>
    </row>
    <row r="900" spans="1:16" hidden="1" x14ac:dyDescent="0.25">
      <c r="A900" t="s">
        <v>9</v>
      </c>
      <c r="B900" s="4">
        <v>46149</v>
      </c>
      <c r="C900" t="s">
        <v>938</v>
      </c>
      <c r="D900">
        <v>74600</v>
      </c>
      <c r="E900" t="s">
        <v>42</v>
      </c>
      <c r="F900">
        <v>6.8</v>
      </c>
      <c r="G900">
        <v>2535780</v>
      </c>
      <c r="H900">
        <v>206080</v>
      </c>
      <c r="I900">
        <v>206080</v>
      </c>
      <c r="J900">
        <v>26260</v>
      </c>
      <c r="K900">
        <v>30.55</v>
      </c>
      <c r="L900">
        <v>40</v>
      </c>
      <c r="M900">
        <v>6.65</v>
      </c>
      <c r="N900">
        <v>30.55</v>
      </c>
      <c r="O900">
        <v>0</v>
      </c>
      <c r="P900" s="9">
        <v>46147.645775462966</v>
      </c>
    </row>
    <row r="901" spans="1:16" hidden="1" x14ac:dyDescent="0.25">
      <c r="A901" t="s">
        <v>9</v>
      </c>
      <c r="B901" s="4">
        <v>46149</v>
      </c>
      <c r="C901" t="s">
        <v>939</v>
      </c>
      <c r="D901">
        <v>74700</v>
      </c>
      <c r="E901" t="s">
        <v>40</v>
      </c>
      <c r="F901">
        <v>2629.65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2629.65</v>
      </c>
      <c r="O901">
        <v>0</v>
      </c>
      <c r="P901" s="9">
        <v>25569.229166666668</v>
      </c>
    </row>
    <row r="902" spans="1:16" hidden="1" x14ac:dyDescent="0.25">
      <c r="A902" t="s">
        <v>9</v>
      </c>
      <c r="B902" s="4">
        <v>46149</v>
      </c>
      <c r="C902" t="s">
        <v>940</v>
      </c>
      <c r="D902">
        <v>74700</v>
      </c>
      <c r="E902" t="s">
        <v>42</v>
      </c>
      <c r="F902">
        <v>7.7</v>
      </c>
      <c r="G902">
        <v>2687180</v>
      </c>
      <c r="H902">
        <v>218820</v>
      </c>
      <c r="I902">
        <v>225160</v>
      </c>
      <c r="J902">
        <v>41420</v>
      </c>
      <c r="K902">
        <v>34.799999999999997</v>
      </c>
      <c r="L902">
        <v>42.05</v>
      </c>
      <c r="M902">
        <v>7.5</v>
      </c>
      <c r="N902">
        <v>34.700000000000003</v>
      </c>
      <c r="O902">
        <v>0</v>
      </c>
      <c r="P902" s="9">
        <v>46147.645821759259</v>
      </c>
    </row>
    <row r="903" spans="1:16" hidden="1" x14ac:dyDescent="0.25">
      <c r="A903" t="s">
        <v>9</v>
      </c>
      <c r="B903" s="4">
        <v>46149</v>
      </c>
      <c r="C903" t="s">
        <v>941</v>
      </c>
      <c r="D903">
        <v>74800</v>
      </c>
      <c r="E903" t="s">
        <v>40</v>
      </c>
      <c r="F903">
        <v>2534.4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2534.4</v>
      </c>
      <c r="O903">
        <v>0</v>
      </c>
      <c r="P903" s="9">
        <v>25569.229166666668</v>
      </c>
    </row>
    <row r="904" spans="1:16" hidden="1" x14ac:dyDescent="0.25">
      <c r="A904" t="s">
        <v>9</v>
      </c>
      <c r="B904" s="4">
        <v>46149</v>
      </c>
      <c r="C904" t="s">
        <v>942</v>
      </c>
      <c r="D904">
        <v>74800</v>
      </c>
      <c r="E904" t="s">
        <v>42</v>
      </c>
      <c r="F904">
        <v>9.35</v>
      </c>
      <c r="G904">
        <v>3783900</v>
      </c>
      <c r="H904">
        <v>358480</v>
      </c>
      <c r="I904">
        <v>359860</v>
      </c>
      <c r="J904">
        <v>115220</v>
      </c>
      <c r="K904">
        <v>40</v>
      </c>
      <c r="L904">
        <v>49.8</v>
      </c>
      <c r="M904">
        <v>9</v>
      </c>
      <c r="N904">
        <v>38.65</v>
      </c>
      <c r="O904">
        <v>0</v>
      </c>
      <c r="P904" s="9">
        <v>46147.645821759259</v>
      </c>
    </row>
    <row r="905" spans="1:16" hidden="1" x14ac:dyDescent="0.25">
      <c r="A905" t="s">
        <v>9</v>
      </c>
      <c r="B905" s="4">
        <v>46149</v>
      </c>
      <c r="C905" t="s">
        <v>943</v>
      </c>
      <c r="D905">
        <v>74900</v>
      </c>
      <c r="E905" t="s">
        <v>40</v>
      </c>
      <c r="F905">
        <v>2439.85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2439.85</v>
      </c>
      <c r="O905">
        <v>0</v>
      </c>
      <c r="P905" s="9">
        <v>25569.229166666668</v>
      </c>
    </row>
    <row r="906" spans="1:16" hidden="1" x14ac:dyDescent="0.25">
      <c r="A906" t="s">
        <v>9</v>
      </c>
      <c r="B906" s="4">
        <v>46149</v>
      </c>
      <c r="C906" t="s">
        <v>944</v>
      </c>
      <c r="D906">
        <v>74900</v>
      </c>
      <c r="E906" t="s">
        <v>42</v>
      </c>
      <c r="F906">
        <v>10.45</v>
      </c>
      <c r="G906">
        <v>2505240</v>
      </c>
      <c r="H906">
        <v>171280</v>
      </c>
      <c r="I906">
        <v>190060</v>
      </c>
      <c r="J906">
        <v>60560</v>
      </c>
      <c r="K906">
        <v>50</v>
      </c>
      <c r="L906">
        <v>55.65</v>
      </c>
      <c r="M906">
        <v>10.4</v>
      </c>
      <c r="N906">
        <v>46.55</v>
      </c>
      <c r="O906">
        <v>0</v>
      </c>
      <c r="P906" s="9">
        <v>46147.645798611113</v>
      </c>
    </row>
    <row r="907" spans="1:16" hidden="1" x14ac:dyDescent="0.25">
      <c r="A907" t="s">
        <v>9</v>
      </c>
      <c r="B907" s="4">
        <v>46149</v>
      </c>
      <c r="C907" t="s">
        <v>945</v>
      </c>
      <c r="D907">
        <v>75000</v>
      </c>
      <c r="E907" t="s">
        <v>40</v>
      </c>
      <c r="F907">
        <v>2217.9</v>
      </c>
      <c r="G907">
        <v>32400</v>
      </c>
      <c r="H907">
        <v>38780</v>
      </c>
      <c r="I907">
        <v>41400</v>
      </c>
      <c r="J907">
        <v>38400</v>
      </c>
      <c r="K907">
        <v>1910</v>
      </c>
      <c r="L907">
        <v>2250.75</v>
      </c>
      <c r="M907">
        <v>1576.25</v>
      </c>
      <c r="N907">
        <v>2512.15</v>
      </c>
      <c r="O907">
        <v>0</v>
      </c>
      <c r="P907" s="9">
        <v>46147.645486111112</v>
      </c>
    </row>
    <row r="908" spans="1:16" hidden="1" x14ac:dyDescent="0.25">
      <c r="A908" t="s">
        <v>9</v>
      </c>
      <c r="B908" s="4">
        <v>46149</v>
      </c>
      <c r="C908" t="s">
        <v>946</v>
      </c>
      <c r="D908">
        <v>75000</v>
      </c>
      <c r="E908" t="s">
        <v>42</v>
      </c>
      <c r="F908">
        <v>12.65</v>
      </c>
      <c r="G908">
        <v>12222240</v>
      </c>
      <c r="H908">
        <v>1187900</v>
      </c>
      <c r="I908">
        <v>1187900</v>
      </c>
      <c r="J908">
        <v>423760</v>
      </c>
      <c r="K908">
        <v>40</v>
      </c>
      <c r="L908">
        <v>64.650000000000006</v>
      </c>
      <c r="M908">
        <v>12.45</v>
      </c>
      <c r="N908">
        <v>49.75</v>
      </c>
      <c r="O908">
        <v>0</v>
      </c>
      <c r="P908" s="9">
        <v>46147.645821759259</v>
      </c>
    </row>
    <row r="909" spans="1:16" hidden="1" x14ac:dyDescent="0.25">
      <c r="A909" t="s">
        <v>9</v>
      </c>
      <c r="B909" s="4">
        <v>46149</v>
      </c>
      <c r="C909" t="s">
        <v>947</v>
      </c>
      <c r="D909">
        <v>75100</v>
      </c>
      <c r="E909" t="s">
        <v>40</v>
      </c>
      <c r="F909">
        <v>2253.15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2253.15</v>
      </c>
      <c r="O909">
        <v>0</v>
      </c>
      <c r="P909" s="9">
        <v>25569.229166666668</v>
      </c>
    </row>
    <row r="910" spans="1:16" hidden="1" x14ac:dyDescent="0.25">
      <c r="A910" t="s">
        <v>9</v>
      </c>
      <c r="B910" s="4">
        <v>46149</v>
      </c>
      <c r="C910" t="s">
        <v>948</v>
      </c>
      <c r="D910">
        <v>75100</v>
      </c>
      <c r="E910" t="s">
        <v>42</v>
      </c>
      <c r="F910">
        <v>15.1</v>
      </c>
      <c r="G910">
        <v>2986980</v>
      </c>
      <c r="H910">
        <v>186500</v>
      </c>
      <c r="I910">
        <v>186500</v>
      </c>
      <c r="J910">
        <v>51680</v>
      </c>
      <c r="K910">
        <v>40</v>
      </c>
      <c r="L910">
        <v>75.55</v>
      </c>
      <c r="M910">
        <v>14.25</v>
      </c>
      <c r="N910">
        <v>55.85</v>
      </c>
      <c r="O910">
        <v>0</v>
      </c>
      <c r="P910" s="9">
        <v>46147.645821759259</v>
      </c>
    </row>
    <row r="911" spans="1:16" hidden="1" x14ac:dyDescent="0.25">
      <c r="A911" t="s">
        <v>9</v>
      </c>
      <c r="B911" s="4">
        <v>46149</v>
      </c>
      <c r="C911" t="s">
        <v>949</v>
      </c>
      <c r="D911">
        <v>75200</v>
      </c>
      <c r="E911" t="s">
        <v>40</v>
      </c>
      <c r="F911">
        <v>2002.5</v>
      </c>
      <c r="G911">
        <v>340</v>
      </c>
      <c r="H911">
        <v>1280</v>
      </c>
      <c r="I911">
        <v>1280</v>
      </c>
      <c r="J911">
        <v>1140</v>
      </c>
      <c r="K911">
        <v>1621.15</v>
      </c>
      <c r="L911">
        <v>2002.5</v>
      </c>
      <c r="M911">
        <v>1425</v>
      </c>
      <c r="N911">
        <v>2161.15</v>
      </c>
      <c r="O911">
        <v>0</v>
      </c>
      <c r="P911" s="9">
        <v>46147.641111111108</v>
      </c>
    </row>
    <row r="912" spans="1:16" hidden="1" x14ac:dyDescent="0.25">
      <c r="A912" t="s">
        <v>9</v>
      </c>
      <c r="B912" s="4">
        <v>46149</v>
      </c>
      <c r="C912" t="s">
        <v>950</v>
      </c>
      <c r="D912">
        <v>75200</v>
      </c>
      <c r="E912" t="s">
        <v>42</v>
      </c>
      <c r="F912">
        <v>17.2</v>
      </c>
      <c r="G912">
        <v>3129860</v>
      </c>
      <c r="H912">
        <v>316820</v>
      </c>
      <c r="I912">
        <v>318120</v>
      </c>
      <c r="J912">
        <v>52000</v>
      </c>
      <c r="K912">
        <v>44</v>
      </c>
      <c r="L912">
        <v>87.85</v>
      </c>
      <c r="M912">
        <v>16.8</v>
      </c>
      <c r="N912">
        <v>61.95</v>
      </c>
      <c r="O912">
        <v>0</v>
      </c>
      <c r="P912" s="9">
        <v>46147.645810185182</v>
      </c>
    </row>
    <row r="913" spans="1:16" hidden="1" x14ac:dyDescent="0.25">
      <c r="A913" t="s">
        <v>9</v>
      </c>
      <c r="B913" s="4">
        <v>46149</v>
      </c>
      <c r="C913" t="s">
        <v>951</v>
      </c>
      <c r="D913">
        <v>75300</v>
      </c>
      <c r="E913" t="s">
        <v>40</v>
      </c>
      <c r="F913">
        <v>1850</v>
      </c>
      <c r="G913">
        <v>1600</v>
      </c>
      <c r="H913">
        <v>500</v>
      </c>
      <c r="I913">
        <v>860</v>
      </c>
      <c r="J913">
        <v>480</v>
      </c>
      <c r="K913">
        <v>1555.4</v>
      </c>
      <c r="L913">
        <v>1850</v>
      </c>
      <c r="M913">
        <v>1400</v>
      </c>
      <c r="N913">
        <v>2242.5</v>
      </c>
      <c r="O913">
        <v>0</v>
      </c>
      <c r="P913" s="9">
        <v>46147.632719907408</v>
      </c>
    </row>
    <row r="914" spans="1:16" hidden="1" x14ac:dyDescent="0.25">
      <c r="A914" t="s">
        <v>9</v>
      </c>
      <c r="B914" s="4">
        <v>46149</v>
      </c>
      <c r="C914" t="s">
        <v>952</v>
      </c>
      <c r="D914">
        <v>75300</v>
      </c>
      <c r="E914" t="s">
        <v>42</v>
      </c>
      <c r="F914">
        <v>20.8</v>
      </c>
      <c r="G914">
        <v>3136460</v>
      </c>
      <c r="H914">
        <v>219780</v>
      </c>
      <c r="I914">
        <v>225800</v>
      </c>
      <c r="J914">
        <v>70340</v>
      </c>
      <c r="K914">
        <v>50.95</v>
      </c>
      <c r="L914">
        <v>102.3</v>
      </c>
      <c r="M914">
        <v>20.3</v>
      </c>
      <c r="N914">
        <v>71.8</v>
      </c>
      <c r="O914">
        <v>0</v>
      </c>
      <c r="P914" s="9">
        <v>46147.645821759259</v>
      </c>
    </row>
    <row r="915" spans="1:16" hidden="1" x14ac:dyDescent="0.25">
      <c r="A915" t="s">
        <v>9</v>
      </c>
      <c r="B915" s="4">
        <v>46149</v>
      </c>
      <c r="C915" t="s">
        <v>953</v>
      </c>
      <c r="D915">
        <v>75400</v>
      </c>
      <c r="E915" t="s">
        <v>40</v>
      </c>
      <c r="F915">
        <v>1750</v>
      </c>
      <c r="G915">
        <v>1380</v>
      </c>
      <c r="H915">
        <v>540</v>
      </c>
      <c r="I915">
        <v>620</v>
      </c>
      <c r="J915">
        <v>20</v>
      </c>
      <c r="K915">
        <v>1464.05</v>
      </c>
      <c r="L915">
        <v>1817.3</v>
      </c>
      <c r="M915">
        <v>1305.45</v>
      </c>
      <c r="N915">
        <v>1980.35</v>
      </c>
      <c r="O915">
        <v>0</v>
      </c>
      <c r="P915" s="9">
        <v>46147.64565972222</v>
      </c>
    </row>
    <row r="916" spans="1:16" hidden="1" x14ac:dyDescent="0.25">
      <c r="A916" t="s">
        <v>9</v>
      </c>
      <c r="B916" s="4">
        <v>46149</v>
      </c>
      <c r="C916" t="s">
        <v>954</v>
      </c>
      <c r="D916">
        <v>75400</v>
      </c>
      <c r="E916" t="s">
        <v>42</v>
      </c>
      <c r="F916">
        <v>24.25</v>
      </c>
      <c r="G916">
        <v>3338240</v>
      </c>
      <c r="H916">
        <v>217600</v>
      </c>
      <c r="I916">
        <v>217600</v>
      </c>
      <c r="J916">
        <v>53440</v>
      </c>
      <c r="K916">
        <v>57</v>
      </c>
      <c r="L916">
        <v>117.65</v>
      </c>
      <c r="M916">
        <v>23.9</v>
      </c>
      <c r="N916">
        <v>81</v>
      </c>
      <c r="O916">
        <v>0</v>
      </c>
      <c r="P916" s="9">
        <v>46147.645810185182</v>
      </c>
    </row>
    <row r="917" spans="1:16" hidden="1" x14ac:dyDescent="0.25">
      <c r="A917" t="s">
        <v>9</v>
      </c>
      <c r="B917" s="4">
        <v>46149</v>
      </c>
      <c r="C917" t="s">
        <v>955</v>
      </c>
      <c r="D917">
        <v>75500</v>
      </c>
      <c r="E917" t="s">
        <v>40</v>
      </c>
      <c r="F917">
        <v>1727.05</v>
      </c>
      <c r="G917">
        <v>41080</v>
      </c>
      <c r="H917">
        <v>7740</v>
      </c>
      <c r="I917">
        <v>10840</v>
      </c>
      <c r="J917">
        <v>6580</v>
      </c>
      <c r="K917">
        <v>1597</v>
      </c>
      <c r="L917">
        <v>1780</v>
      </c>
      <c r="M917">
        <v>1155</v>
      </c>
      <c r="N917">
        <v>2043.9</v>
      </c>
      <c r="O917">
        <v>0</v>
      </c>
      <c r="P917" s="9">
        <v>46147.645694444444</v>
      </c>
    </row>
    <row r="918" spans="1:16" hidden="1" x14ac:dyDescent="0.25">
      <c r="A918" t="s">
        <v>9</v>
      </c>
      <c r="B918" s="4">
        <v>46149</v>
      </c>
      <c r="C918" t="s">
        <v>956</v>
      </c>
      <c r="D918">
        <v>75500</v>
      </c>
      <c r="E918" t="s">
        <v>42</v>
      </c>
      <c r="F918">
        <v>29.3</v>
      </c>
      <c r="G918">
        <v>8958820</v>
      </c>
      <c r="H918">
        <v>749700</v>
      </c>
      <c r="I918">
        <v>749700</v>
      </c>
      <c r="J918">
        <v>324360</v>
      </c>
      <c r="K918">
        <v>91</v>
      </c>
      <c r="L918">
        <v>136</v>
      </c>
      <c r="M918">
        <v>29</v>
      </c>
      <c r="N918">
        <v>90.85</v>
      </c>
      <c r="O918">
        <v>0</v>
      </c>
      <c r="P918" s="9">
        <v>46147.645821759259</v>
      </c>
    </row>
    <row r="919" spans="1:16" hidden="1" x14ac:dyDescent="0.25">
      <c r="A919" t="s">
        <v>9</v>
      </c>
      <c r="B919" s="4">
        <v>46149</v>
      </c>
      <c r="C919" t="s">
        <v>957</v>
      </c>
      <c r="D919">
        <v>75600</v>
      </c>
      <c r="E919" t="s">
        <v>40</v>
      </c>
      <c r="F919">
        <v>1637.1</v>
      </c>
      <c r="G919">
        <v>9480</v>
      </c>
      <c r="H919">
        <v>3540</v>
      </c>
      <c r="I919">
        <v>4400</v>
      </c>
      <c r="J919">
        <v>1100</v>
      </c>
      <c r="K919">
        <v>1572.6</v>
      </c>
      <c r="L919">
        <v>1665</v>
      </c>
      <c r="M919">
        <v>1089.9000000000001</v>
      </c>
      <c r="N919">
        <v>1794.7</v>
      </c>
      <c r="O919">
        <v>0</v>
      </c>
      <c r="P919" s="9">
        <v>46147.645092592589</v>
      </c>
    </row>
    <row r="920" spans="1:16" hidden="1" x14ac:dyDescent="0.25">
      <c r="A920" t="s">
        <v>9</v>
      </c>
      <c r="B920" s="4">
        <v>46149</v>
      </c>
      <c r="C920" t="s">
        <v>958</v>
      </c>
      <c r="D920">
        <v>75600</v>
      </c>
      <c r="E920" t="s">
        <v>42</v>
      </c>
      <c r="F920">
        <v>35.1</v>
      </c>
      <c r="G920">
        <v>3331520</v>
      </c>
      <c r="H920">
        <v>174920</v>
      </c>
      <c r="I920">
        <v>176480</v>
      </c>
      <c r="J920">
        <v>45680</v>
      </c>
      <c r="K920">
        <v>81</v>
      </c>
      <c r="L920">
        <v>157.05000000000001</v>
      </c>
      <c r="M920">
        <v>34.4</v>
      </c>
      <c r="N920">
        <v>103.55</v>
      </c>
      <c r="O920">
        <v>0</v>
      </c>
      <c r="P920" s="9">
        <v>46147.645821759259</v>
      </c>
    </row>
    <row r="921" spans="1:16" hidden="1" x14ac:dyDescent="0.25">
      <c r="A921" t="s">
        <v>9</v>
      </c>
      <c r="B921" s="4">
        <v>46149</v>
      </c>
      <c r="C921" t="s">
        <v>959</v>
      </c>
      <c r="D921">
        <v>75700</v>
      </c>
      <c r="E921" t="s">
        <v>40</v>
      </c>
      <c r="F921">
        <v>1539.6</v>
      </c>
      <c r="G921">
        <v>11540</v>
      </c>
      <c r="H921">
        <v>5700</v>
      </c>
      <c r="I921">
        <v>6940</v>
      </c>
      <c r="J921">
        <v>4300</v>
      </c>
      <c r="K921">
        <v>1401.25</v>
      </c>
      <c r="L921">
        <v>1590</v>
      </c>
      <c r="M921">
        <v>1012.9</v>
      </c>
      <c r="N921">
        <v>1833.95</v>
      </c>
      <c r="O921">
        <v>0</v>
      </c>
      <c r="P921" s="9">
        <v>46147.645752314813</v>
      </c>
    </row>
    <row r="922" spans="1:16" hidden="1" x14ac:dyDescent="0.25">
      <c r="A922" t="s">
        <v>9</v>
      </c>
      <c r="B922" s="4">
        <v>46149</v>
      </c>
      <c r="C922" t="s">
        <v>960</v>
      </c>
      <c r="D922">
        <v>75700</v>
      </c>
      <c r="E922" t="s">
        <v>42</v>
      </c>
      <c r="F922">
        <v>42</v>
      </c>
      <c r="G922">
        <v>3066680</v>
      </c>
      <c r="H922">
        <v>157620</v>
      </c>
      <c r="I922">
        <v>157620</v>
      </c>
      <c r="J922">
        <v>41460</v>
      </c>
      <c r="K922">
        <v>87</v>
      </c>
      <c r="L922">
        <v>180.25</v>
      </c>
      <c r="M922">
        <v>41.25</v>
      </c>
      <c r="N922">
        <v>114.75</v>
      </c>
      <c r="O922">
        <v>0</v>
      </c>
      <c r="P922" s="9">
        <v>46147.645821759259</v>
      </c>
    </row>
    <row r="923" spans="1:16" hidden="1" x14ac:dyDescent="0.25">
      <c r="A923" t="s">
        <v>9</v>
      </c>
      <c r="B923" s="4">
        <v>46149</v>
      </c>
      <c r="C923" t="s">
        <v>961</v>
      </c>
      <c r="D923">
        <v>75800</v>
      </c>
      <c r="E923" t="s">
        <v>40</v>
      </c>
      <c r="F923">
        <v>1448.65</v>
      </c>
      <c r="G923">
        <v>27660</v>
      </c>
      <c r="H923">
        <v>5320</v>
      </c>
      <c r="I923">
        <v>10000</v>
      </c>
      <c r="J923">
        <v>3980</v>
      </c>
      <c r="K923">
        <v>1360</v>
      </c>
      <c r="L923">
        <v>1498.25</v>
      </c>
      <c r="M923">
        <v>924.05</v>
      </c>
      <c r="N923">
        <v>1794.85</v>
      </c>
      <c r="O923">
        <v>0</v>
      </c>
      <c r="P923" s="9">
        <v>46147.645810185182</v>
      </c>
    </row>
    <row r="924" spans="1:16" hidden="1" x14ac:dyDescent="0.25">
      <c r="A924" t="s">
        <v>9</v>
      </c>
      <c r="B924" s="4">
        <v>46149</v>
      </c>
      <c r="C924" t="s">
        <v>962</v>
      </c>
      <c r="D924">
        <v>75800</v>
      </c>
      <c r="E924" t="s">
        <v>42</v>
      </c>
      <c r="F924">
        <v>49.25</v>
      </c>
      <c r="G924">
        <v>4651580</v>
      </c>
      <c r="H924">
        <v>491760</v>
      </c>
      <c r="I924">
        <v>591480</v>
      </c>
      <c r="J924">
        <v>62040</v>
      </c>
      <c r="K924">
        <v>130</v>
      </c>
      <c r="L924">
        <v>205.65</v>
      </c>
      <c r="M924">
        <v>49.15</v>
      </c>
      <c r="N924">
        <v>127.75</v>
      </c>
      <c r="O924">
        <v>0</v>
      </c>
      <c r="P924" s="9">
        <v>46147.645821759259</v>
      </c>
    </row>
    <row r="925" spans="1:16" hidden="1" x14ac:dyDescent="0.25">
      <c r="A925" t="s">
        <v>9</v>
      </c>
      <c r="B925" s="4">
        <v>46149</v>
      </c>
      <c r="C925" t="s">
        <v>963</v>
      </c>
      <c r="D925">
        <v>75900</v>
      </c>
      <c r="E925" t="s">
        <v>40</v>
      </c>
      <c r="F925">
        <v>1362.5</v>
      </c>
      <c r="G925">
        <v>35020</v>
      </c>
      <c r="H925">
        <v>9120</v>
      </c>
      <c r="I925">
        <v>13340</v>
      </c>
      <c r="J925">
        <v>4020</v>
      </c>
      <c r="K925">
        <v>1350</v>
      </c>
      <c r="L925">
        <v>1410</v>
      </c>
      <c r="M925">
        <v>849.7</v>
      </c>
      <c r="N925">
        <v>1697.1</v>
      </c>
      <c r="O925">
        <v>0</v>
      </c>
      <c r="P925" s="9">
        <v>46147.645162037035</v>
      </c>
    </row>
    <row r="926" spans="1:16" hidden="1" x14ac:dyDescent="0.25">
      <c r="A926" t="s">
        <v>9</v>
      </c>
      <c r="B926" s="4">
        <v>46149</v>
      </c>
      <c r="C926" t="s">
        <v>964</v>
      </c>
      <c r="D926">
        <v>75900</v>
      </c>
      <c r="E926" t="s">
        <v>42</v>
      </c>
      <c r="F926">
        <v>58.95</v>
      </c>
      <c r="G926">
        <v>4050140</v>
      </c>
      <c r="H926">
        <v>212640</v>
      </c>
      <c r="I926">
        <v>220880</v>
      </c>
      <c r="J926">
        <v>43820</v>
      </c>
      <c r="K926">
        <v>110</v>
      </c>
      <c r="L926">
        <v>234.1</v>
      </c>
      <c r="M926">
        <v>58.5</v>
      </c>
      <c r="N926">
        <v>145.80000000000001</v>
      </c>
      <c r="O926">
        <v>0</v>
      </c>
      <c r="P926" s="9">
        <v>46147.645821759259</v>
      </c>
    </row>
    <row r="927" spans="1:16" hidden="1" x14ac:dyDescent="0.25">
      <c r="A927" t="s">
        <v>9</v>
      </c>
      <c r="B927" s="4">
        <v>46149</v>
      </c>
      <c r="C927" t="s">
        <v>965</v>
      </c>
      <c r="D927">
        <v>76000</v>
      </c>
      <c r="E927" t="s">
        <v>40</v>
      </c>
      <c r="F927">
        <v>1275.3499999999999</v>
      </c>
      <c r="G927">
        <v>507080</v>
      </c>
      <c r="H927">
        <v>42020</v>
      </c>
      <c r="I927">
        <v>86020</v>
      </c>
      <c r="J927">
        <v>36760</v>
      </c>
      <c r="K927">
        <v>1301.05</v>
      </c>
      <c r="L927">
        <v>1335</v>
      </c>
      <c r="M927">
        <v>783.9</v>
      </c>
      <c r="N927">
        <v>1591.85</v>
      </c>
      <c r="O927">
        <v>0</v>
      </c>
      <c r="P927" s="9">
        <v>46147.645752314813</v>
      </c>
    </row>
    <row r="928" spans="1:16" hidden="1" x14ac:dyDescent="0.25">
      <c r="A928" t="s">
        <v>9</v>
      </c>
      <c r="B928" s="4">
        <v>46149</v>
      </c>
      <c r="C928" t="s">
        <v>966</v>
      </c>
      <c r="D928">
        <v>76000</v>
      </c>
      <c r="E928" t="s">
        <v>42</v>
      </c>
      <c r="F928">
        <v>69.900000000000006</v>
      </c>
      <c r="G928">
        <v>12665760</v>
      </c>
      <c r="H928">
        <v>859680</v>
      </c>
      <c r="I928">
        <v>859680</v>
      </c>
      <c r="J928">
        <v>285760</v>
      </c>
      <c r="K928">
        <v>122.95</v>
      </c>
      <c r="L928">
        <v>265.05</v>
      </c>
      <c r="M928">
        <v>69</v>
      </c>
      <c r="N928">
        <v>162.75</v>
      </c>
      <c r="O928">
        <v>0</v>
      </c>
      <c r="P928" s="9">
        <v>46147.645821759259</v>
      </c>
    </row>
    <row r="929" spans="1:16" hidden="1" x14ac:dyDescent="0.25">
      <c r="A929" t="s">
        <v>9</v>
      </c>
      <c r="B929" s="4">
        <v>46149</v>
      </c>
      <c r="C929" t="s">
        <v>967</v>
      </c>
      <c r="D929">
        <v>76100</v>
      </c>
      <c r="E929" t="s">
        <v>40</v>
      </c>
      <c r="F929">
        <v>1186.5</v>
      </c>
      <c r="G929">
        <v>98320</v>
      </c>
      <c r="H929">
        <v>17620</v>
      </c>
      <c r="I929">
        <v>19020</v>
      </c>
      <c r="J929">
        <v>3080</v>
      </c>
      <c r="K929">
        <v>1391.15</v>
      </c>
      <c r="L929">
        <v>1391.15</v>
      </c>
      <c r="M929">
        <v>716.35</v>
      </c>
      <c r="N929">
        <v>1516.3</v>
      </c>
      <c r="O929">
        <v>0</v>
      </c>
      <c r="P929" s="9">
        <v>46147.645439814813</v>
      </c>
    </row>
    <row r="930" spans="1:16" hidden="1" x14ac:dyDescent="0.25">
      <c r="A930" t="s">
        <v>9</v>
      </c>
      <c r="B930" s="4">
        <v>46149</v>
      </c>
      <c r="C930" t="s">
        <v>968</v>
      </c>
      <c r="D930">
        <v>76100</v>
      </c>
      <c r="E930" t="s">
        <v>42</v>
      </c>
      <c r="F930">
        <v>83.15</v>
      </c>
      <c r="G930">
        <v>4271280</v>
      </c>
      <c r="H930">
        <v>140700</v>
      </c>
      <c r="I930">
        <v>140700</v>
      </c>
      <c r="J930">
        <v>50680</v>
      </c>
      <c r="K930">
        <v>190</v>
      </c>
      <c r="L930">
        <v>299.25</v>
      </c>
      <c r="M930">
        <v>81.75</v>
      </c>
      <c r="N930">
        <v>181.7</v>
      </c>
      <c r="O930">
        <v>0</v>
      </c>
      <c r="P930" s="9">
        <v>46147.645821759259</v>
      </c>
    </row>
    <row r="931" spans="1:16" hidden="1" x14ac:dyDescent="0.25">
      <c r="A931" t="s">
        <v>9</v>
      </c>
      <c r="B931" s="4">
        <v>46149</v>
      </c>
      <c r="C931" t="s">
        <v>969</v>
      </c>
      <c r="D931">
        <v>76200</v>
      </c>
      <c r="E931" t="s">
        <v>40</v>
      </c>
      <c r="F931">
        <v>1101.3499999999999</v>
      </c>
      <c r="G931">
        <v>262380</v>
      </c>
      <c r="H931">
        <v>17940</v>
      </c>
      <c r="I931">
        <v>34680</v>
      </c>
      <c r="J931">
        <v>4680</v>
      </c>
      <c r="K931">
        <v>1211</v>
      </c>
      <c r="L931">
        <v>1211</v>
      </c>
      <c r="M931">
        <v>653.20000000000005</v>
      </c>
      <c r="N931">
        <v>1424.55</v>
      </c>
      <c r="O931">
        <v>0</v>
      </c>
      <c r="P931" s="9">
        <v>46147.645752314813</v>
      </c>
    </row>
    <row r="932" spans="1:16" hidden="1" x14ac:dyDescent="0.25">
      <c r="A932" t="s">
        <v>9</v>
      </c>
      <c r="B932" s="4">
        <v>46149</v>
      </c>
      <c r="C932" t="s">
        <v>970</v>
      </c>
      <c r="D932">
        <v>76200</v>
      </c>
      <c r="E932" t="s">
        <v>42</v>
      </c>
      <c r="F932">
        <v>97.4</v>
      </c>
      <c r="G932">
        <v>5238540</v>
      </c>
      <c r="H932">
        <v>198400</v>
      </c>
      <c r="I932">
        <v>198440</v>
      </c>
      <c r="J932">
        <v>76860</v>
      </c>
      <c r="K932">
        <v>237.95</v>
      </c>
      <c r="L932">
        <v>337</v>
      </c>
      <c r="M932">
        <v>95.5</v>
      </c>
      <c r="N932">
        <v>202.4</v>
      </c>
      <c r="O932">
        <v>0</v>
      </c>
      <c r="P932" s="9">
        <v>46147.645821759259</v>
      </c>
    </row>
    <row r="933" spans="1:16" hidden="1" x14ac:dyDescent="0.25">
      <c r="A933" t="s">
        <v>9</v>
      </c>
      <c r="B933" s="4">
        <v>46149</v>
      </c>
      <c r="C933" t="s">
        <v>971</v>
      </c>
      <c r="D933">
        <v>76300</v>
      </c>
      <c r="E933" t="s">
        <v>40</v>
      </c>
      <c r="F933">
        <v>1013.7</v>
      </c>
      <c r="G933">
        <v>392980</v>
      </c>
      <c r="H933">
        <v>25040</v>
      </c>
      <c r="I933">
        <v>45460</v>
      </c>
      <c r="J933">
        <v>12580</v>
      </c>
      <c r="K933">
        <v>872.6</v>
      </c>
      <c r="L933">
        <v>1089.2</v>
      </c>
      <c r="M933">
        <v>594.20000000000005</v>
      </c>
      <c r="N933">
        <v>1366.25</v>
      </c>
      <c r="O933">
        <v>0</v>
      </c>
      <c r="P933" s="9">
        <v>46147.645752314813</v>
      </c>
    </row>
    <row r="934" spans="1:16" hidden="1" x14ac:dyDescent="0.25">
      <c r="A934" t="s">
        <v>9</v>
      </c>
      <c r="B934" s="4">
        <v>46149</v>
      </c>
      <c r="C934" t="s">
        <v>972</v>
      </c>
      <c r="D934">
        <v>76300</v>
      </c>
      <c r="E934" t="s">
        <v>42</v>
      </c>
      <c r="F934">
        <v>113.55</v>
      </c>
      <c r="G934">
        <v>5568940</v>
      </c>
      <c r="H934">
        <v>204920</v>
      </c>
      <c r="I934">
        <v>204920</v>
      </c>
      <c r="J934">
        <v>65820</v>
      </c>
      <c r="K934">
        <v>225</v>
      </c>
      <c r="L934">
        <v>378.4</v>
      </c>
      <c r="M934">
        <v>111.5</v>
      </c>
      <c r="N934">
        <v>222.95</v>
      </c>
      <c r="O934">
        <v>0</v>
      </c>
      <c r="P934" s="9">
        <v>46147.645821759259</v>
      </c>
    </row>
    <row r="935" spans="1:16" hidden="1" x14ac:dyDescent="0.25">
      <c r="A935" t="s">
        <v>9</v>
      </c>
      <c r="B935" s="4">
        <v>46149</v>
      </c>
      <c r="C935" t="s">
        <v>973</v>
      </c>
      <c r="D935">
        <v>76400</v>
      </c>
      <c r="E935" t="s">
        <v>40</v>
      </c>
      <c r="F935">
        <v>932.95</v>
      </c>
      <c r="G935">
        <v>806400</v>
      </c>
      <c r="H935">
        <v>24240</v>
      </c>
      <c r="I935">
        <v>72300</v>
      </c>
      <c r="J935">
        <v>21520</v>
      </c>
      <c r="K935">
        <v>1098</v>
      </c>
      <c r="L935">
        <v>1098</v>
      </c>
      <c r="M935">
        <v>538.70000000000005</v>
      </c>
      <c r="N935">
        <v>1298.3</v>
      </c>
      <c r="O935">
        <v>0</v>
      </c>
      <c r="P935" s="9">
        <v>46147.645752314813</v>
      </c>
    </row>
    <row r="936" spans="1:16" hidden="1" x14ac:dyDescent="0.25">
      <c r="A936" t="s">
        <v>9</v>
      </c>
      <c r="B936" s="4">
        <v>46149</v>
      </c>
      <c r="C936" t="s">
        <v>974</v>
      </c>
      <c r="D936">
        <v>76400</v>
      </c>
      <c r="E936" t="s">
        <v>42</v>
      </c>
      <c r="F936">
        <v>134</v>
      </c>
      <c r="G936">
        <v>6554460</v>
      </c>
      <c r="H936">
        <v>209100</v>
      </c>
      <c r="I936">
        <v>227020</v>
      </c>
      <c r="J936">
        <v>75520</v>
      </c>
      <c r="K936">
        <v>248.95</v>
      </c>
      <c r="L936">
        <v>421.05</v>
      </c>
      <c r="M936">
        <v>131.44999999999999</v>
      </c>
      <c r="N936">
        <v>248.95</v>
      </c>
      <c r="O936">
        <v>0</v>
      </c>
      <c r="P936" s="9">
        <v>46147.645821759259</v>
      </c>
    </row>
    <row r="937" spans="1:16" hidden="1" x14ac:dyDescent="0.25">
      <c r="A937" t="s">
        <v>9</v>
      </c>
      <c r="B937" s="4">
        <v>46149</v>
      </c>
      <c r="C937" t="s">
        <v>975</v>
      </c>
      <c r="D937">
        <v>76500</v>
      </c>
      <c r="E937" t="s">
        <v>40</v>
      </c>
      <c r="F937">
        <v>857.25</v>
      </c>
      <c r="G937">
        <v>3900740</v>
      </c>
      <c r="H937">
        <v>112500</v>
      </c>
      <c r="I937">
        <v>295100</v>
      </c>
      <c r="J937">
        <v>68340</v>
      </c>
      <c r="K937">
        <v>901.1</v>
      </c>
      <c r="L937">
        <v>935.3</v>
      </c>
      <c r="M937">
        <v>485.15</v>
      </c>
      <c r="N937">
        <v>1212.3</v>
      </c>
      <c r="O937">
        <v>0</v>
      </c>
      <c r="P937" s="9">
        <v>46147.645775462966</v>
      </c>
    </row>
    <row r="938" spans="1:16" hidden="1" x14ac:dyDescent="0.25">
      <c r="A938" t="s">
        <v>9</v>
      </c>
      <c r="B938" s="4">
        <v>46149</v>
      </c>
      <c r="C938" t="s">
        <v>976</v>
      </c>
      <c r="D938">
        <v>76500</v>
      </c>
      <c r="E938" t="s">
        <v>42</v>
      </c>
      <c r="F938">
        <v>155.30000000000001</v>
      </c>
      <c r="G938">
        <v>14761560</v>
      </c>
      <c r="H938">
        <v>580420</v>
      </c>
      <c r="I938">
        <v>636480</v>
      </c>
      <c r="J938">
        <v>304740</v>
      </c>
      <c r="K938">
        <v>300</v>
      </c>
      <c r="L938">
        <v>474.95</v>
      </c>
      <c r="M938">
        <v>154.05000000000001</v>
      </c>
      <c r="N938">
        <v>274.89999999999998</v>
      </c>
      <c r="O938">
        <v>0</v>
      </c>
      <c r="P938" s="9">
        <v>46147.645821759259</v>
      </c>
    </row>
    <row r="939" spans="1:16" hidden="1" x14ac:dyDescent="0.25">
      <c r="A939" t="s">
        <v>9</v>
      </c>
      <c r="B939" s="4">
        <v>46149</v>
      </c>
      <c r="C939" t="s">
        <v>977</v>
      </c>
      <c r="D939">
        <v>76600</v>
      </c>
      <c r="E939" t="s">
        <v>40</v>
      </c>
      <c r="F939">
        <v>778.45</v>
      </c>
      <c r="G939">
        <v>3682540</v>
      </c>
      <c r="H939">
        <v>81860</v>
      </c>
      <c r="I939">
        <v>267040</v>
      </c>
      <c r="J939">
        <v>22400</v>
      </c>
      <c r="K939">
        <v>747.85</v>
      </c>
      <c r="L939">
        <v>861.2</v>
      </c>
      <c r="M939">
        <v>435.75</v>
      </c>
      <c r="N939">
        <v>1135.8499999999999</v>
      </c>
      <c r="O939">
        <v>0</v>
      </c>
      <c r="P939" s="9">
        <v>46147.645787037036</v>
      </c>
    </row>
    <row r="940" spans="1:16" hidden="1" x14ac:dyDescent="0.25">
      <c r="A940" t="s">
        <v>9</v>
      </c>
      <c r="B940" s="4">
        <v>46149</v>
      </c>
      <c r="C940" t="s">
        <v>978</v>
      </c>
      <c r="D940">
        <v>76600</v>
      </c>
      <c r="E940" t="s">
        <v>42</v>
      </c>
      <c r="F940">
        <v>179.4</v>
      </c>
      <c r="G940">
        <v>9562320</v>
      </c>
      <c r="H940">
        <v>225720</v>
      </c>
      <c r="I940">
        <v>314980</v>
      </c>
      <c r="J940">
        <v>47420</v>
      </c>
      <c r="K940">
        <v>377</v>
      </c>
      <c r="L940">
        <v>518.9</v>
      </c>
      <c r="M940">
        <v>177.8</v>
      </c>
      <c r="N940">
        <v>302.05</v>
      </c>
      <c r="O940">
        <v>0</v>
      </c>
      <c r="P940" s="9">
        <v>46147.645821759259</v>
      </c>
    </row>
    <row r="941" spans="1:16" hidden="1" x14ac:dyDescent="0.25">
      <c r="A941" t="s">
        <v>9</v>
      </c>
      <c r="B941" s="4">
        <v>46149</v>
      </c>
      <c r="C941" t="s">
        <v>979</v>
      </c>
      <c r="D941">
        <v>76700</v>
      </c>
      <c r="E941" t="s">
        <v>40</v>
      </c>
      <c r="F941">
        <v>708.7</v>
      </c>
      <c r="G941">
        <v>7215260</v>
      </c>
      <c r="H941">
        <v>147740</v>
      </c>
      <c r="I941">
        <v>503140</v>
      </c>
      <c r="J941">
        <v>25200</v>
      </c>
      <c r="K941">
        <v>750.05</v>
      </c>
      <c r="L941">
        <v>796.2</v>
      </c>
      <c r="M941">
        <v>391.2</v>
      </c>
      <c r="N941">
        <v>1059.3</v>
      </c>
      <c r="O941">
        <v>0</v>
      </c>
      <c r="P941" s="9">
        <v>46147.645821759259</v>
      </c>
    </row>
    <row r="942" spans="1:16" hidden="1" x14ac:dyDescent="0.25">
      <c r="A942" t="s">
        <v>9</v>
      </c>
      <c r="B942" s="4">
        <v>46149</v>
      </c>
      <c r="C942" t="s">
        <v>980</v>
      </c>
      <c r="D942">
        <v>76700</v>
      </c>
      <c r="E942" t="s">
        <v>42</v>
      </c>
      <c r="F942">
        <v>203.7</v>
      </c>
      <c r="G942">
        <v>12156460</v>
      </c>
      <c r="H942">
        <v>325100</v>
      </c>
      <c r="I942">
        <v>414680</v>
      </c>
      <c r="J942">
        <v>64560</v>
      </c>
      <c r="K942">
        <v>400</v>
      </c>
      <c r="L942">
        <v>578.65</v>
      </c>
      <c r="M942">
        <v>203.7</v>
      </c>
      <c r="N942">
        <v>336</v>
      </c>
      <c r="O942">
        <v>0</v>
      </c>
      <c r="P942" s="9">
        <v>46147.645821759259</v>
      </c>
    </row>
    <row r="943" spans="1:16" hidden="1" x14ac:dyDescent="0.25">
      <c r="A943" t="s">
        <v>9</v>
      </c>
      <c r="B943" s="4">
        <v>46149</v>
      </c>
      <c r="C943" t="s">
        <v>981</v>
      </c>
      <c r="D943">
        <v>76800</v>
      </c>
      <c r="E943" t="s">
        <v>40</v>
      </c>
      <c r="F943">
        <v>641.5</v>
      </c>
      <c r="G943">
        <v>8349700</v>
      </c>
      <c r="H943">
        <v>138100</v>
      </c>
      <c r="I943">
        <v>410160</v>
      </c>
      <c r="J943">
        <v>49780</v>
      </c>
      <c r="K943">
        <v>729.9</v>
      </c>
      <c r="L943">
        <v>732.15</v>
      </c>
      <c r="M943">
        <v>349.05</v>
      </c>
      <c r="N943">
        <v>994.25</v>
      </c>
      <c r="O943">
        <v>0</v>
      </c>
      <c r="P943" s="9">
        <v>46147.645821759259</v>
      </c>
    </row>
    <row r="944" spans="1:16" hidden="1" x14ac:dyDescent="0.25">
      <c r="A944" t="s">
        <v>9</v>
      </c>
      <c r="B944" s="4">
        <v>46149</v>
      </c>
      <c r="C944" t="s">
        <v>982</v>
      </c>
      <c r="D944">
        <v>76800</v>
      </c>
      <c r="E944" t="s">
        <v>42</v>
      </c>
      <c r="F944">
        <v>240</v>
      </c>
      <c r="G944">
        <v>13612180</v>
      </c>
      <c r="H944">
        <v>285580</v>
      </c>
      <c r="I944">
        <v>422380</v>
      </c>
      <c r="J944">
        <v>80440</v>
      </c>
      <c r="K944">
        <v>440.15</v>
      </c>
      <c r="L944">
        <v>632</v>
      </c>
      <c r="M944">
        <v>235</v>
      </c>
      <c r="N944">
        <v>366.75</v>
      </c>
      <c r="O944">
        <v>0</v>
      </c>
      <c r="P944" s="9">
        <v>46147.645821759259</v>
      </c>
    </row>
    <row r="945" spans="1:16" hidden="1" x14ac:dyDescent="0.25">
      <c r="A945" t="s">
        <v>9</v>
      </c>
      <c r="B945" s="4">
        <v>46149</v>
      </c>
      <c r="C945" t="s">
        <v>983</v>
      </c>
      <c r="D945">
        <v>76900</v>
      </c>
      <c r="E945" t="s">
        <v>40</v>
      </c>
      <c r="F945">
        <v>572.29999999999995</v>
      </c>
      <c r="G945">
        <v>9686840</v>
      </c>
      <c r="H945">
        <v>181860</v>
      </c>
      <c r="I945">
        <v>389720</v>
      </c>
      <c r="J945">
        <v>38040</v>
      </c>
      <c r="K945">
        <v>622.85</v>
      </c>
      <c r="L945">
        <v>670</v>
      </c>
      <c r="M945">
        <v>310.14999999999998</v>
      </c>
      <c r="N945">
        <v>933.95</v>
      </c>
      <c r="O945">
        <v>0</v>
      </c>
      <c r="P945" s="9">
        <v>46147.645821759259</v>
      </c>
    </row>
    <row r="946" spans="1:16" hidden="1" x14ac:dyDescent="0.25">
      <c r="A946" t="s">
        <v>9</v>
      </c>
      <c r="B946" s="4">
        <v>46149</v>
      </c>
      <c r="C946" t="s">
        <v>984</v>
      </c>
      <c r="D946">
        <v>76900</v>
      </c>
      <c r="E946" t="s">
        <v>42</v>
      </c>
      <c r="F946">
        <v>273.25</v>
      </c>
      <c r="G946">
        <v>11215740</v>
      </c>
      <c r="H946">
        <v>242940</v>
      </c>
      <c r="I946">
        <v>417300</v>
      </c>
      <c r="J946">
        <v>102880</v>
      </c>
      <c r="K946">
        <v>498.95</v>
      </c>
      <c r="L946">
        <v>690.9</v>
      </c>
      <c r="M946">
        <v>268.45</v>
      </c>
      <c r="N946">
        <v>401.95</v>
      </c>
      <c r="O946">
        <v>0</v>
      </c>
      <c r="P946" s="9">
        <v>46147.645821759259</v>
      </c>
    </row>
    <row r="947" spans="1:16" hidden="1" x14ac:dyDescent="0.25">
      <c r="A947" t="s">
        <v>9</v>
      </c>
      <c r="B947" s="4">
        <v>46149</v>
      </c>
      <c r="C947" t="s">
        <v>985</v>
      </c>
      <c r="D947">
        <v>77000</v>
      </c>
      <c r="E947" t="s">
        <v>40</v>
      </c>
      <c r="F947">
        <v>513.70000000000005</v>
      </c>
      <c r="G947">
        <v>23890200</v>
      </c>
      <c r="H947">
        <v>1004280</v>
      </c>
      <c r="I947">
        <v>1225240</v>
      </c>
      <c r="J947">
        <v>521380</v>
      </c>
      <c r="K947">
        <v>702.5</v>
      </c>
      <c r="L947">
        <v>702.5</v>
      </c>
      <c r="M947">
        <v>275.05</v>
      </c>
      <c r="N947">
        <v>862.5</v>
      </c>
      <c r="O947">
        <v>0</v>
      </c>
      <c r="P947" s="9">
        <v>46147.645821759259</v>
      </c>
    </row>
    <row r="948" spans="1:16" hidden="1" x14ac:dyDescent="0.25">
      <c r="A948" t="s">
        <v>9</v>
      </c>
      <c r="B948" s="4">
        <v>46149</v>
      </c>
      <c r="C948" t="s">
        <v>986</v>
      </c>
      <c r="D948">
        <v>77000</v>
      </c>
      <c r="E948" t="s">
        <v>42</v>
      </c>
      <c r="F948">
        <v>314</v>
      </c>
      <c r="G948">
        <v>23840160</v>
      </c>
      <c r="H948">
        <v>1056480</v>
      </c>
      <c r="I948">
        <v>1147920</v>
      </c>
      <c r="J948">
        <v>620040</v>
      </c>
      <c r="K948">
        <v>523.85</v>
      </c>
      <c r="L948">
        <v>755.9</v>
      </c>
      <c r="M948">
        <v>306.75</v>
      </c>
      <c r="N948">
        <v>440</v>
      </c>
      <c r="O948">
        <v>0</v>
      </c>
      <c r="P948" s="9">
        <v>46147.645821759259</v>
      </c>
    </row>
    <row r="949" spans="1:16" hidden="1" x14ac:dyDescent="0.25">
      <c r="A949" t="s">
        <v>9</v>
      </c>
      <c r="B949" s="4">
        <v>46149</v>
      </c>
      <c r="C949" t="s">
        <v>987</v>
      </c>
      <c r="D949">
        <v>77100</v>
      </c>
      <c r="E949" t="s">
        <v>40</v>
      </c>
      <c r="F949">
        <v>457.15</v>
      </c>
      <c r="G949">
        <v>11930160</v>
      </c>
      <c r="H949">
        <v>359860</v>
      </c>
      <c r="I949">
        <v>521040</v>
      </c>
      <c r="J949">
        <v>83560</v>
      </c>
      <c r="K949">
        <v>718.75</v>
      </c>
      <c r="L949">
        <v>718.75</v>
      </c>
      <c r="M949">
        <v>243</v>
      </c>
      <c r="N949">
        <v>804.15</v>
      </c>
      <c r="O949">
        <v>0</v>
      </c>
      <c r="P949" s="9">
        <v>46147.645821759259</v>
      </c>
    </row>
    <row r="950" spans="1:16" hidden="1" x14ac:dyDescent="0.25">
      <c r="A950" t="s">
        <v>9</v>
      </c>
      <c r="B950" s="4">
        <v>46149</v>
      </c>
      <c r="C950" t="s">
        <v>988</v>
      </c>
      <c r="D950">
        <v>77100</v>
      </c>
      <c r="E950" t="s">
        <v>42</v>
      </c>
      <c r="F950">
        <v>352.15</v>
      </c>
      <c r="G950">
        <v>9185260</v>
      </c>
      <c r="H950">
        <v>329020</v>
      </c>
      <c r="I950">
        <v>386960</v>
      </c>
      <c r="J950">
        <v>123300</v>
      </c>
      <c r="K950">
        <v>579.70000000000005</v>
      </c>
      <c r="L950">
        <v>824.8</v>
      </c>
      <c r="M950">
        <v>348.7</v>
      </c>
      <c r="N950">
        <v>481.5</v>
      </c>
      <c r="O950">
        <v>0</v>
      </c>
      <c r="P950" s="9">
        <v>46147.645821759259</v>
      </c>
    </row>
    <row r="951" spans="1:16" hidden="1" x14ac:dyDescent="0.25">
      <c r="A951" t="s">
        <v>9</v>
      </c>
      <c r="B951" s="4">
        <v>46149</v>
      </c>
      <c r="C951" t="s">
        <v>989</v>
      </c>
      <c r="D951">
        <v>77200</v>
      </c>
      <c r="E951" t="s">
        <v>40</v>
      </c>
      <c r="F951">
        <v>406.6</v>
      </c>
      <c r="G951">
        <v>10624580</v>
      </c>
      <c r="H951">
        <v>406420</v>
      </c>
      <c r="I951">
        <v>466220</v>
      </c>
      <c r="J951">
        <v>173440</v>
      </c>
      <c r="K951">
        <v>745</v>
      </c>
      <c r="L951">
        <v>745</v>
      </c>
      <c r="M951">
        <v>214.05</v>
      </c>
      <c r="N951">
        <v>747.45</v>
      </c>
      <c r="O951">
        <v>0</v>
      </c>
      <c r="P951" s="9">
        <v>46147.645821759259</v>
      </c>
    </row>
    <row r="952" spans="1:16" hidden="1" x14ac:dyDescent="0.25">
      <c r="A952" t="s">
        <v>9</v>
      </c>
      <c r="B952" s="4">
        <v>46149</v>
      </c>
      <c r="C952" t="s">
        <v>990</v>
      </c>
      <c r="D952">
        <v>77200</v>
      </c>
      <c r="E952" t="s">
        <v>42</v>
      </c>
      <c r="F952">
        <v>403.5</v>
      </c>
      <c r="G952">
        <v>5239040</v>
      </c>
      <c r="H952">
        <v>168560</v>
      </c>
      <c r="I952">
        <v>222580</v>
      </c>
      <c r="J952">
        <v>110960</v>
      </c>
      <c r="K952">
        <v>508</v>
      </c>
      <c r="L952">
        <v>896.95</v>
      </c>
      <c r="M952">
        <v>395.3</v>
      </c>
      <c r="N952">
        <v>525.04999999999995</v>
      </c>
      <c r="O952">
        <v>0</v>
      </c>
      <c r="P952" s="9">
        <v>46147.645821759259</v>
      </c>
    </row>
    <row r="953" spans="1:16" hidden="1" x14ac:dyDescent="0.25">
      <c r="A953" t="s">
        <v>9</v>
      </c>
      <c r="B953" s="4">
        <v>46149</v>
      </c>
      <c r="C953" t="s">
        <v>991</v>
      </c>
      <c r="D953">
        <v>77300</v>
      </c>
      <c r="E953" t="s">
        <v>40</v>
      </c>
      <c r="F953">
        <v>357.55</v>
      </c>
      <c r="G953">
        <v>8734820</v>
      </c>
      <c r="H953">
        <v>311640</v>
      </c>
      <c r="I953">
        <v>475400</v>
      </c>
      <c r="J953">
        <v>258740</v>
      </c>
      <c r="K953">
        <v>587.95000000000005</v>
      </c>
      <c r="L953">
        <v>587.95000000000005</v>
      </c>
      <c r="M953">
        <v>189.45</v>
      </c>
      <c r="N953">
        <v>698.85</v>
      </c>
      <c r="O953">
        <v>0</v>
      </c>
      <c r="P953" s="9">
        <v>46147.645821759259</v>
      </c>
    </row>
    <row r="954" spans="1:16" hidden="1" x14ac:dyDescent="0.25">
      <c r="A954" t="s">
        <v>9</v>
      </c>
      <c r="B954" s="4">
        <v>46149</v>
      </c>
      <c r="C954" t="s">
        <v>992</v>
      </c>
      <c r="D954">
        <v>77300</v>
      </c>
      <c r="E954" t="s">
        <v>42</v>
      </c>
      <c r="F954">
        <v>456.4</v>
      </c>
      <c r="G954">
        <v>3232320</v>
      </c>
      <c r="H954">
        <v>92460</v>
      </c>
      <c r="I954">
        <v>178420</v>
      </c>
      <c r="J954">
        <v>92460</v>
      </c>
      <c r="K954">
        <v>624.9</v>
      </c>
      <c r="L954">
        <v>976.75</v>
      </c>
      <c r="M954">
        <v>450</v>
      </c>
      <c r="N954">
        <v>562.35</v>
      </c>
      <c r="O954">
        <v>0</v>
      </c>
      <c r="P954" s="9">
        <v>46147.645821759259</v>
      </c>
    </row>
    <row r="955" spans="1:16" hidden="1" x14ac:dyDescent="0.25">
      <c r="A955" t="s">
        <v>9</v>
      </c>
      <c r="B955" s="4">
        <v>46149</v>
      </c>
      <c r="C955" t="s">
        <v>993</v>
      </c>
      <c r="D955">
        <v>77400</v>
      </c>
      <c r="E955" t="s">
        <v>40</v>
      </c>
      <c r="F955">
        <v>315.25</v>
      </c>
      <c r="G955">
        <v>5937980</v>
      </c>
      <c r="H955">
        <v>203040</v>
      </c>
      <c r="I955">
        <v>309380</v>
      </c>
      <c r="J955">
        <v>178080</v>
      </c>
      <c r="K955">
        <v>517.75</v>
      </c>
      <c r="L955">
        <v>517.79999999999995</v>
      </c>
      <c r="M955">
        <v>167.5</v>
      </c>
      <c r="N955">
        <v>650</v>
      </c>
      <c r="O955">
        <v>0</v>
      </c>
      <c r="P955" s="9">
        <v>46147.645821759259</v>
      </c>
    </row>
    <row r="956" spans="1:16" hidden="1" x14ac:dyDescent="0.25">
      <c r="A956" t="s">
        <v>9</v>
      </c>
      <c r="B956" s="4">
        <v>46149</v>
      </c>
      <c r="C956" t="s">
        <v>994</v>
      </c>
      <c r="D956">
        <v>77400</v>
      </c>
      <c r="E956" t="s">
        <v>42</v>
      </c>
      <c r="F956">
        <v>511.7</v>
      </c>
      <c r="G956">
        <v>1647100</v>
      </c>
      <c r="H956">
        <v>66320</v>
      </c>
      <c r="I956">
        <v>122800</v>
      </c>
      <c r="J956">
        <v>65420</v>
      </c>
      <c r="K956">
        <v>727</v>
      </c>
      <c r="L956">
        <v>1046</v>
      </c>
      <c r="M956">
        <v>505.1</v>
      </c>
      <c r="N956">
        <v>605.79999999999995</v>
      </c>
      <c r="O956">
        <v>0</v>
      </c>
      <c r="P956" s="9">
        <v>46147.645821759259</v>
      </c>
    </row>
    <row r="957" spans="1:16" hidden="1" x14ac:dyDescent="0.25">
      <c r="A957" t="s">
        <v>9</v>
      </c>
      <c r="B957" s="4">
        <v>46149</v>
      </c>
      <c r="C957" t="s">
        <v>995</v>
      </c>
      <c r="D957">
        <v>77500</v>
      </c>
      <c r="E957" t="s">
        <v>40</v>
      </c>
      <c r="F957">
        <v>274.75</v>
      </c>
      <c r="G957">
        <v>13120000</v>
      </c>
      <c r="H957">
        <v>684120</v>
      </c>
      <c r="I957">
        <v>772140</v>
      </c>
      <c r="J957">
        <v>419000</v>
      </c>
      <c r="K957">
        <v>439.85</v>
      </c>
      <c r="L957">
        <v>440</v>
      </c>
      <c r="M957">
        <v>147</v>
      </c>
      <c r="N957">
        <v>600.85</v>
      </c>
      <c r="O957">
        <v>0</v>
      </c>
      <c r="P957" s="9">
        <v>46147.645821759259</v>
      </c>
    </row>
    <row r="958" spans="1:16" hidden="1" x14ac:dyDescent="0.25">
      <c r="A958" t="s">
        <v>9</v>
      </c>
      <c r="B958" s="4">
        <v>46149</v>
      </c>
      <c r="C958" t="s">
        <v>996</v>
      </c>
      <c r="D958">
        <v>77500</v>
      </c>
      <c r="E958" t="s">
        <v>42</v>
      </c>
      <c r="F958">
        <v>572.15</v>
      </c>
      <c r="G958">
        <v>2830820</v>
      </c>
      <c r="H958">
        <v>201300</v>
      </c>
      <c r="I958">
        <v>296880</v>
      </c>
      <c r="J958">
        <v>199420</v>
      </c>
      <c r="K958">
        <v>738</v>
      </c>
      <c r="L958">
        <v>1127.95</v>
      </c>
      <c r="M958">
        <v>564.9</v>
      </c>
      <c r="N958">
        <v>652.20000000000005</v>
      </c>
      <c r="O958">
        <v>0</v>
      </c>
      <c r="P958" s="9">
        <v>46147.645821759259</v>
      </c>
    </row>
    <row r="959" spans="1:16" hidden="1" x14ac:dyDescent="0.25">
      <c r="A959" t="s">
        <v>9</v>
      </c>
      <c r="B959" s="4">
        <v>46149</v>
      </c>
      <c r="C959" t="s">
        <v>997</v>
      </c>
      <c r="D959">
        <v>77600</v>
      </c>
      <c r="E959" t="s">
        <v>40</v>
      </c>
      <c r="F959">
        <v>236.75</v>
      </c>
      <c r="G959">
        <v>5380800</v>
      </c>
      <c r="H959">
        <v>293320</v>
      </c>
      <c r="I959">
        <v>336540</v>
      </c>
      <c r="J959">
        <v>220580</v>
      </c>
      <c r="K959">
        <v>406</v>
      </c>
      <c r="L959">
        <v>406</v>
      </c>
      <c r="M959">
        <v>129</v>
      </c>
      <c r="N959">
        <v>554.1</v>
      </c>
      <c r="O959">
        <v>0</v>
      </c>
      <c r="P959" s="9">
        <v>46147.645821759259</v>
      </c>
    </row>
    <row r="960" spans="1:16" hidden="1" x14ac:dyDescent="0.25">
      <c r="A960" t="s">
        <v>9</v>
      </c>
      <c r="B960" s="4">
        <v>46149</v>
      </c>
      <c r="C960" t="s">
        <v>998</v>
      </c>
      <c r="D960">
        <v>77600</v>
      </c>
      <c r="E960" t="s">
        <v>42</v>
      </c>
      <c r="F960">
        <v>630.95000000000005</v>
      </c>
      <c r="G960">
        <v>772520</v>
      </c>
      <c r="H960">
        <v>124240</v>
      </c>
      <c r="I960">
        <v>144700</v>
      </c>
      <c r="J960">
        <v>105940</v>
      </c>
      <c r="K960">
        <v>860</v>
      </c>
      <c r="L960">
        <v>1210.0999999999999</v>
      </c>
      <c r="M960">
        <v>626.79999999999995</v>
      </c>
      <c r="N960">
        <v>705.75</v>
      </c>
      <c r="O960">
        <v>0</v>
      </c>
      <c r="P960" s="9">
        <v>46147.64576388889</v>
      </c>
    </row>
    <row r="961" spans="1:16" hidden="1" x14ac:dyDescent="0.25">
      <c r="A961" t="s">
        <v>9</v>
      </c>
      <c r="B961" s="4">
        <v>46149</v>
      </c>
      <c r="C961" t="s">
        <v>999</v>
      </c>
      <c r="D961">
        <v>77700</v>
      </c>
      <c r="E961" t="s">
        <v>40</v>
      </c>
      <c r="F961">
        <v>205</v>
      </c>
      <c r="G961">
        <v>5474280</v>
      </c>
      <c r="H961">
        <v>337040</v>
      </c>
      <c r="I961">
        <v>338280</v>
      </c>
      <c r="J961">
        <v>257200</v>
      </c>
      <c r="K961">
        <v>435</v>
      </c>
      <c r="L961">
        <v>435</v>
      </c>
      <c r="M961">
        <v>113.35</v>
      </c>
      <c r="N961">
        <v>513.79999999999995</v>
      </c>
      <c r="O961">
        <v>0</v>
      </c>
      <c r="P961" s="9">
        <v>46147.645821759259</v>
      </c>
    </row>
    <row r="962" spans="1:16" hidden="1" x14ac:dyDescent="0.25">
      <c r="A962" t="s">
        <v>9</v>
      </c>
      <c r="B962" s="4">
        <v>46149</v>
      </c>
      <c r="C962" t="s">
        <v>1000</v>
      </c>
      <c r="D962">
        <v>77700</v>
      </c>
      <c r="E962" t="s">
        <v>42</v>
      </c>
      <c r="F962">
        <v>702.55</v>
      </c>
      <c r="G962">
        <v>728160</v>
      </c>
      <c r="H962">
        <v>73720</v>
      </c>
      <c r="I962">
        <v>81560</v>
      </c>
      <c r="J962">
        <v>67000</v>
      </c>
      <c r="K962">
        <v>913.1</v>
      </c>
      <c r="L962">
        <v>1276.8499999999999</v>
      </c>
      <c r="M962">
        <v>696.05</v>
      </c>
      <c r="N962">
        <v>760.9</v>
      </c>
      <c r="O962">
        <v>0</v>
      </c>
      <c r="P962" s="9">
        <v>46147.645752314813</v>
      </c>
    </row>
    <row r="963" spans="1:16" hidden="1" x14ac:dyDescent="0.25">
      <c r="A963" t="s">
        <v>9</v>
      </c>
      <c r="B963" s="4">
        <v>46149</v>
      </c>
      <c r="C963" t="s">
        <v>1001</v>
      </c>
      <c r="D963">
        <v>77800</v>
      </c>
      <c r="E963" t="s">
        <v>40</v>
      </c>
      <c r="F963">
        <v>172.25</v>
      </c>
      <c r="G963">
        <v>4747020</v>
      </c>
      <c r="H963">
        <v>333860</v>
      </c>
      <c r="I963">
        <v>337440</v>
      </c>
      <c r="J963">
        <v>234020</v>
      </c>
      <c r="K963">
        <v>400</v>
      </c>
      <c r="L963">
        <v>400</v>
      </c>
      <c r="M963">
        <v>99.75</v>
      </c>
      <c r="N963">
        <v>473.4</v>
      </c>
      <c r="O963">
        <v>0</v>
      </c>
      <c r="P963" s="9">
        <v>46147.645821759259</v>
      </c>
    </row>
    <row r="964" spans="1:16" hidden="1" x14ac:dyDescent="0.25">
      <c r="A964" t="s">
        <v>9</v>
      </c>
      <c r="B964" s="4">
        <v>46149</v>
      </c>
      <c r="C964" t="s">
        <v>1002</v>
      </c>
      <c r="D964">
        <v>77800</v>
      </c>
      <c r="E964" t="s">
        <v>42</v>
      </c>
      <c r="F964">
        <v>769.2</v>
      </c>
      <c r="G964">
        <v>366880</v>
      </c>
      <c r="H964">
        <v>60680</v>
      </c>
      <c r="I964">
        <v>82400</v>
      </c>
      <c r="J964">
        <v>60340</v>
      </c>
      <c r="K964">
        <v>978.4</v>
      </c>
      <c r="L964">
        <v>1365</v>
      </c>
      <c r="M964">
        <v>765.85</v>
      </c>
      <c r="N964">
        <v>815.35</v>
      </c>
      <c r="O964">
        <v>0</v>
      </c>
      <c r="P964" s="9">
        <v>46147.645740740743</v>
      </c>
    </row>
    <row r="965" spans="1:16" hidden="1" x14ac:dyDescent="0.25">
      <c r="A965" t="s">
        <v>9</v>
      </c>
      <c r="B965" s="4">
        <v>46149</v>
      </c>
      <c r="C965" t="s">
        <v>1003</v>
      </c>
      <c r="D965">
        <v>77900</v>
      </c>
      <c r="E965" t="s">
        <v>40</v>
      </c>
      <c r="F965">
        <v>148.1</v>
      </c>
      <c r="G965">
        <v>4268460</v>
      </c>
      <c r="H965">
        <v>215280</v>
      </c>
      <c r="I965">
        <v>277040</v>
      </c>
      <c r="J965">
        <v>175160</v>
      </c>
      <c r="K965">
        <v>349.95</v>
      </c>
      <c r="L965">
        <v>349.95</v>
      </c>
      <c r="M965">
        <v>87.2</v>
      </c>
      <c r="N965">
        <v>434.5</v>
      </c>
      <c r="O965">
        <v>0</v>
      </c>
      <c r="P965" s="9">
        <v>46147.645821759259</v>
      </c>
    </row>
    <row r="966" spans="1:16" hidden="1" x14ac:dyDescent="0.25">
      <c r="A966" t="s">
        <v>9</v>
      </c>
      <c r="B966" s="4">
        <v>46149</v>
      </c>
      <c r="C966" t="s">
        <v>1004</v>
      </c>
      <c r="D966">
        <v>77900</v>
      </c>
      <c r="E966" t="s">
        <v>42</v>
      </c>
      <c r="F966">
        <v>846</v>
      </c>
      <c r="G966">
        <v>175340</v>
      </c>
      <c r="H966">
        <v>30740</v>
      </c>
      <c r="I966">
        <v>43240</v>
      </c>
      <c r="J966">
        <v>29700</v>
      </c>
      <c r="K966">
        <v>1055.95</v>
      </c>
      <c r="L966">
        <v>1449.35</v>
      </c>
      <c r="M966">
        <v>841.65</v>
      </c>
      <c r="N966">
        <v>871.05</v>
      </c>
      <c r="O966">
        <v>0</v>
      </c>
      <c r="P966" s="9">
        <v>46147.645752314813</v>
      </c>
    </row>
    <row r="967" spans="1:16" hidden="1" x14ac:dyDescent="0.25">
      <c r="A967" t="s">
        <v>9</v>
      </c>
      <c r="B967" s="4">
        <v>46149</v>
      </c>
      <c r="C967" t="s">
        <v>1005</v>
      </c>
      <c r="D967">
        <v>78000</v>
      </c>
      <c r="E967" t="s">
        <v>40</v>
      </c>
      <c r="F967">
        <v>125.5</v>
      </c>
      <c r="G967">
        <v>13780840</v>
      </c>
      <c r="H967">
        <v>1307020</v>
      </c>
      <c r="I967">
        <v>1333840</v>
      </c>
      <c r="J967">
        <v>782060</v>
      </c>
      <c r="K967">
        <v>390</v>
      </c>
      <c r="L967">
        <v>398.5</v>
      </c>
      <c r="M967">
        <v>77.2</v>
      </c>
      <c r="N967">
        <v>398.5</v>
      </c>
      <c r="O967">
        <v>0</v>
      </c>
      <c r="P967" s="9">
        <v>46147.645821759259</v>
      </c>
    </row>
    <row r="968" spans="1:16" hidden="1" x14ac:dyDescent="0.25">
      <c r="A968" t="s">
        <v>9</v>
      </c>
      <c r="B968" s="4">
        <v>46149</v>
      </c>
      <c r="C968" t="s">
        <v>1006</v>
      </c>
      <c r="D968">
        <v>78000</v>
      </c>
      <c r="E968" t="s">
        <v>42</v>
      </c>
      <c r="F968">
        <v>921</v>
      </c>
      <c r="G968">
        <v>475260</v>
      </c>
      <c r="H968">
        <v>205420</v>
      </c>
      <c r="I968">
        <v>222380</v>
      </c>
      <c r="J968">
        <v>197680</v>
      </c>
      <c r="K968">
        <v>1247.7</v>
      </c>
      <c r="L968">
        <v>1550</v>
      </c>
      <c r="M968">
        <v>916.7</v>
      </c>
      <c r="N968">
        <v>945.65</v>
      </c>
      <c r="O968">
        <v>0</v>
      </c>
      <c r="P968" s="9">
        <v>46147.645821759259</v>
      </c>
    </row>
    <row r="969" spans="1:16" hidden="1" x14ac:dyDescent="0.25">
      <c r="A969" t="s">
        <v>9</v>
      </c>
      <c r="B969" s="4">
        <v>46149</v>
      </c>
      <c r="C969" t="s">
        <v>1007</v>
      </c>
      <c r="D969">
        <v>78100</v>
      </c>
      <c r="E969" t="s">
        <v>40</v>
      </c>
      <c r="F969">
        <v>106.1</v>
      </c>
      <c r="G969">
        <v>3651940</v>
      </c>
      <c r="H969">
        <v>205640</v>
      </c>
      <c r="I969">
        <v>233060</v>
      </c>
      <c r="J969">
        <v>113000</v>
      </c>
      <c r="K969">
        <v>274</v>
      </c>
      <c r="L969">
        <v>275</v>
      </c>
      <c r="M969">
        <v>67.099999999999994</v>
      </c>
      <c r="N969">
        <v>364.45</v>
      </c>
      <c r="O969">
        <v>0</v>
      </c>
      <c r="P969" s="9">
        <v>46147.645821759259</v>
      </c>
    </row>
    <row r="970" spans="1:16" hidden="1" x14ac:dyDescent="0.25">
      <c r="A970" t="s">
        <v>9</v>
      </c>
      <c r="B970" s="4">
        <v>46149</v>
      </c>
      <c r="C970" t="s">
        <v>1008</v>
      </c>
      <c r="D970">
        <v>78100</v>
      </c>
      <c r="E970" t="s">
        <v>42</v>
      </c>
      <c r="F970">
        <v>1004.5</v>
      </c>
      <c r="G970">
        <v>67860</v>
      </c>
      <c r="H970">
        <v>31960</v>
      </c>
      <c r="I970">
        <v>37360</v>
      </c>
      <c r="J970">
        <v>30260</v>
      </c>
      <c r="K970">
        <v>1375</v>
      </c>
      <c r="L970">
        <v>1625.3</v>
      </c>
      <c r="M970">
        <v>997.55</v>
      </c>
      <c r="N970">
        <v>1000.6</v>
      </c>
      <c r="O970">
        <v>0</v>
      </c>
      <c r="P970" s="9">
        <v>46147.64565972222</v>
      </c>
    </row>
    <row r="971" spans="1:16" hidden="1" x14ac:dyDescent="0.25">
      <c r="A971" t="s">
        <v>9</v>
      </c>
      <c r="B971" s="4">
        <v>46149</v>
      </c>
      <c r="C971" t="s">
        <v>1009</v>
      </c>
      <c r="D971">
        <v>78200</v>
      </c>
      <c r="E971" t="s">
        <v>40</v>
      </c>
      <c r="F971">
        <v>89.55</v>
      </c>
      <c r="G971">
        <v>3820340</v>
      </c>
      <c r="H971">
        <v>366340</v>
      </c>
      <c r="I971">
        <v>366340</v>
      </c>
      <c r="J971">
        <v>136460</v>
      </c>
      <c r="K971">
        <v>282.14999999999998</v>
      </c>
      <c r="L971">
        <v>282.14999999999998</v>
      </c>
      <c r="M971">
        <v>58.8</v>
      </c>
      <c r="N971">
        <v>332.15</v>
      </c>
      <c r="O971">
        <v>0</v>
      </c>
      <c r="P971" s="9">
        <v>46147.645821759259</v>
      </c>
    </row>
    <row r="972" spans="1:16" hidden="1" x14ac:dyDescent="0.25">
      <c r="A972" t="s">
        <v>9</v>
      </c>
      <c r="B972" s="4">
        <v>46149</v>
      </c>
      <c r="C972" t="s">
        <v>1010</v>
      </c>
      <c r="D972">
        <v>78200</v>
      </c>
      <c r="E972" t="s">
        <v>42</v>
      </c>
      <c r="F972">
        <v>1080.7</v>
      </c>
      <c r="G972">
        <v>41960</v>
      </c>
      <c r="H972">
        <v>17780</v>
      </c>
      <c r="I972">
        <v>31080</v>
      </c>
      <c r="J972">
        <v>17780</v>
      </c>
      <c r="K972">
        <v>1349.95</v>
      </c>
      <c r="L972">
        <v>1732.3</v>
      </c>
      <c r="M972">
        <v>1080.7</v>
      </c>
      <c r="N972">
        <v>1073.7</v>
      </c>
      <c r="O972">
        <v>0</v>
      </c>
      <c r="P972" s="9">
        <v>46147.645497685182</v>
      </c>
    </row>
    <row r="973" spans="1:16" hidden="1" x14ac:dyDescent="0.25">
      <c r="A973" t="s">
        <v>9</v>
      </c>
      <c r="B973" s="4">
        <v>46149</v>
      </c>
      <c r="C973" t="s">
        <v>1011</v>
      </c>
      <c r="D973">
        <v>78300</v>
      </c>
      <c r="E973" t="s">
        <v>40</v>
      </c>
      <c r="F973">
        <v>74.55</v>
      </c>
      <c r="G973">
        <v>3445060</v>
      </c>
      <c r="H973">
        <v>278360</v>
      </c>
      <c r="I973">
        <v>279220</v>
      </c>
      <c r="J973">
        <v>161200</v>
      </c>
      <c r="K973">
        <v>201</v>
      </c>
      <c r="L973">
        <v>201</v>
      </c>
      <c r="M973">
        <v>51.95</v>
      </c>
      <c r="N973">
        <v>303.14999999999998</v>
      </c>
      <c r="O973">
        <v>0</v>
      </c>
      <c r="P973" s="9">
        <v>46147.645821759259</v>
      </c>
    </row>
    <row r="974" spans="1:16" hidden="1" x14ac:dyDescent="0.25">
      <c r="A974" t="s">
        <v>9</v>
      </c>
      <c r="B974" s="4">
        <v>46149</v>
      </c>
      <c r="C974" t="s">
        <v>1012</v>
      </c>
      <c r="D974">
        <v>78300</v>
      </c>
      <c r="E974" t="s">
        <v>42</v>
      </c>
      <c r="F974">
        <v>1175.6500000000001</v>
      </c>
      <c r="G974">
        <v>35880</v>
      </c>
      <c r="H974">
        <v>14800</v>
      </c>
      <c r="I974">
        <v>30240</v>
      </c>
      <c r="J974">
        <v>14800</v>
      </c>
      <c r="K974">
        <v>1630.15</v>
      </c>
      <c r="L974">
        <v>1826.35</v>
      </c>
      <c r="M974">
        <v>1168.8</v>
      </c>
      <c r="N974">
        <v>1140.5999999999999</v>
      </c>
      <c r="O974">
        <v>0</v>
      </c>
      <c r="P974" s="9">
        <v>46147.645740740743</v>
      </c>
    </row>
    <row r="975" spans="1:16" hidden="1" x14ac:dyDescent="0.25">
      <c r="A975" t="s">
        <v>9</v>
      </c>
      <c r="B975" s="4">
        <v>46149</v>
      </c>
      <c r="C975" t="s">
        <v>1013</v>
      </c>
      <c r="D975">
        <v>78400</v>
      </c>
      <c r="E975" t="s">
        <v>40</v>
      </c>
      <c r="F975">
        <v>61.5</v>
      </c>
      <c r="G975">
        <v>3238960</v>
      </c>
      <c r="H975">
        <v>218220</v>
      </c>
      <c r="I975">
        <v>225060</v>
      </c>
      <c r="J975">
        <v>97180</v>
      </c>
      <c r="K975">
        <v>200</v>
      </c>
      <c r="L975">
        <v>200</v>
      </c>
      <c r="M975">
        <v>46</v>
      </c>
      <c r="N975">
        <v>276.25</v>
      </c>
      <c r="O975">
        <v>0</v>
      </c>
      <c r="P975" s="9">
        <v>46147.645821759259</v>
      </c>
    </row>
    <row r="976" spans="1:16" hidden="1" x14ac:dyDescent="0.25">
      <c r="A976" t="s">
        <v>9</v>
      </c>
      <c r="B976" s="4">
        <v>46149</v>
      </c>
      <c r="C976" t="s">
        <v>1014</v>
      </c>
      <c r="D976">
        <v>78400</v>
      </c>
      <c r="E976" t="s">
        <v>42</v>
      </c>
      <c r="F976">
        <v>1260</v>
      </c>
      <c r="G976">
        <v>28180</v>
      </c>
      <c r="H976">
        <v>17120</v>
      </c>
      <c r="I976">
        <v>29180</v>
      </c>
      <c r="J976">
        <v>17120</v>
      </c>
      <c r="K976">
        <v>1550</v>
      </c>
      <c r="L976">
        <v>1901.7</v>
      </c>
      <c r="M976">
        <v>1251.5999999999999</v>
      </c>
      <c r="N976">
        <v>1209</v>
      </c>
      <c r="O976">
        <v>0</v>
      </c>
      <c r="P976" s="9">
        <v>46147.64576388889</v>
      </c>
    </row>
    <row r="977" spans="1:16" hidden="1" x14ac:dyDescent="0.25">
      <c r="A977" t="s">
        <v>9</v>
      </c>
      <c r="B977" s="4">
        <v>46149</v>
      </c>
      <c r="C977" t="s">
        <v>1015</v>
      </c>
      <c r="D977">
        <v>78500</v>
      </c>
      <c r="E977" t="s">
        <v>40</v>
      </c>
      <c r="F977">
        <v>50.95</v>
      </c>
      <c r="G977">
        <v>9177960</v>
      </c>
      <c r="H977">
        <v>895160</v>
      </c>
      <c r="I977">
        <v>895160</v>
      </c>
      <c r="J977">
        <v>416740</v>
      </c>
      <c r="K977">
        <v>200</v>
      </c>
      <c r="L977">
        <v>200</v>
      </c>
      <c r="M977">
        <v>40.6</v>
      </c>
      <c r="N977">
        <v>252.95</v>
      </c>
      <c r="O977">
        <v>0</v>
      </c>
      <c r="P977" s="9">
        <v>46147.645821759259</v>
      </c>
    </row>
    <row r="978" spans="1:16" hidden="1" x14ac:dyDescent="0.25">
      <c r="A978" t="s">
        <v>9</v>
      </c>
      <c r="B978" s="4">
        <v>46149</v>
      </c>
      <c r="C978" t="s">
        <v>1016</v>
      </c>
      <c r="D978">
        <v>78500</v>
      </c>
      <c r="E978" t="s">
        <v>42</v>
      </c>
      <c r="F978">
        <v>1350.25</v>
      </c>
      <c r="G978">
        <v>73520</v>
      </c>
      <c r="H978">
        <v>51840</v>
      </c>
      <c r="I978">
        <v>72140</v>
      </c>
      <c r="J978">
        <v>51800</v>
      </c>
      <c r="K978">
        <v>1559.9</v>
      </c>
      <c r="L978">
        <v>2001</v>
      </c>
      <c r="M978">
        <v>1342.55</v>
      </c>
      <c r="N978">
        <v>1299.9000000000001</v>
      </c>
      <c r="O978">
        <v>0</v>
      </c>
      <c r="P978" s="9">
        <v>46147.64565972222</v>
      </c>
    </row>
    <row r="979" spans="1:16" hidden="1" x14ac:dyDescent="0.25">
      <c r="A979" t="s">
        <v>9</v>
      </c>
      <c r="B979" s="4">
        <v>46149</v>
      </c>
      <c r="C979" t="s">
        <v>1017</v>
      </c>
      <c r="D979">
        <v>78600</v>
      </c>
      <c r="E979" t="s">
        <v>40</v>
      </c>
      <c r="F979">
        <v>41.55</v>
      </c>
      <c r="G979">
        <v>3705400</v>
      </c>
      <c r="H979">
        <v>414640</v>
      </c>
      <c r="I979">
        <v>418920</v>
      </c>
      <c r="J979">
        <v>109200</v>
      </c>
      <c r="K979">
        <v>145</v>
      </c>
      <c r="L979">
        <v>145</v>
      </c>
      <c r="M979">
        <v>34.5</v>
      </c>
      <c r="N979">
        <v>231.05</v>
      </c>
      <c r="O979">
        <v>0</v>
      </c>
      <c r="P979" s="9">
        <v>46147.645821759259</v>
      </c>
    </row>
    <row r="980" spans="1:16" hidden="1" x14ac:dyDescent="0.25">
      <c r="A980" t="s">
        <v>9</v>
      </c>
      <c r="B980" s="4">
        <v>46149</v>
      </c>
      <c r="C980" t="s">
        <v>1018</v>
      </c>
      <c r="D980">
        <v>78600</v>
      </c>
      <c r="E980" t="s">
        <v>42</v>
      </c>
      <c r="F980">
        <v>1444.45</v>
      </c>
      <c r="G980">
        <v>16600</v>
      </c>
      <c r="H980">
        <v>11600</v>
      </c>
      <c r="I980">
        <v>20200</v>
      </c>
      <c r="J980">
        <v>11600</v>
      </c>
      <c r="K980">
        <v>1549</v>
      </c>
      <c r="L980">
        <v>2080</v>
      </c>
      <c r="M980">
        <v>1441.65</v>
      </c>
      <c r="N980">
        <v>1363.3</v>
      </c>
      <c r="O980">
        <v>0</v>
      </c>
      <c r="P980" s="9">
        <v>46147.645381944443</v>
      </c>
    </row>
    <row r="981" spans="1:16" hidden="1" x14ac:dyDescent="0.25">
      <c r="A981" t="s">
        <v>9</v>
      </c>
      <c r="B981" s="4">
        <v>46149</v>
      </c>
      <c r="C981" t="s">
        <v>1019</v>
      </c>
      <c r="D981">
        <v>78700</v>
      </c>
      <c r="E981" t="s">
        <v>40</v>
      </c>
      <c r="F981">
        <v>34.549999999999997</v>
      </c>
      <c r="G981">
        <v>4638260</v>
      </c>
      <c r="H981">
        <v>671740</v>
      </c>
      <c r="I981">
        <v>674260</v>
      </c>
      <c r="J981">
        <v>237540</v>
      </c>
      <c r="K981">
        <v>155</v>
      </c>
      <c r="L981">
        <v>155</v>
      </c>
      <c r="M981">
        <v>28.8</v>
      </c>
      <c r="N981">
        <v>209.95</v>
      </c>
      <c r="O981">
        <v>0</v>
      </c>
      <c r="P981" s="9">
        <v>46147.645810185182</v>
      </c>
    </row>
    <row r="982" spans="1:16" hidden="1" x14ac:dyDescent="0.25">
      <c r="A982" t="s">
        <v>9</v>
      </c>
      <c r="B982" s="4">
        <v>46149</v>
      </c>
      <c r="C982" t="s">
        <v>1020</v>
      </c>
      <c r="D982">
        <v>78700</v>
      </c>
      <c r="E982" t="s">
        <v>42</v>
      </c>
      <c r="F982">
        <v>1560.3</v>
      </c>
      <c r="G982">
        <v>7120</v>
      </c>
      <c r="H982">
        <v>18060</v>
      </c>
      <c r="I982">
        <v>21560</v>
      </c>
      <c r="J982">
        <v>18060</v>
      </c>
      <c r="K982">
        <v>1677</v>
      </c>
      <c r="L982">
        <v>2180</v>
      </c>
      <c r="M982">
        <v>1532.35</v>
      </c>
      <c r="N982">
        <v>1461.35</v>
      </c>
      <c r="O982">
        <v>0</v>
      </c>
      <c r="P982" s="9">
        <v>46147.643229166664</v>
      </c>
    </row>
    <row r="983" spans="1:16" hidden="1" x14ac:dyDescent="0.25">
      <c r="A983" t="s">
        <v>9</v>
      </c>
      <c r="B983" s="4">
        <v>46149</v>
      </c>
      <c r="C983" t="s">
        <v>1021</v>
      </c>
      <c r="D983">
        <v>78800</v>
      </c>
      <c r="E983" t="s">
        <v>40</v>
      </c>
      <c r="F983">
        <v>28.55</v>
      </c>
      <c r="G983">
        <v>3638680</v>
      </c>
      <c r="H983">
        <v>539360</v>
      </c>
      <c r="I983">
        <v>548720</v>
      </c>
      <c r="J983">
        <v>108520</v>
      </c>
      <c r="K983">
        <v>142.94999999999999</v>
      </c>
      <c r="L983">
        <v>142.94999999999999</v>
      </c>
      <c r="M983">
        <v>23.75</v>
      </c>
      <c r="N983">
        <v>189.6</v>
      </c>
      <c r="O983">
        <v>0</v>
      </c>
      <c r="P983" s="9">
        <v>46147.645821759259</v>
      </c>
    </row>
    <row r="984" spans="1:16" hidden="1" x14ac:dyDescent="0.25">
      <c r="A984" t="s">
        <v>9</v>
      </c>
      <c r="B984" s="4">
        <v>46149</v>
      </c>
      <c r="C984" t="s">
        <v>1022</v>
      </c>
      <c r="D984">
        <v>78800</v>
      </c>
      <c r="E984" t="s">
        <v>42</v>
      </c>
      <c r="F984">
        <v>1618.85</v>
      </c>
      <c r="G984">
        <v>4080</v>
      </c>
      <c r="H984">
        <v>7220</v>
      </c>
      <c r="I984">
        <v>8700</v>
      </c>
      <c r="J984">
        <v>7220</v>
      </c>
      <c r="K984">
        <v>1600.9</v>
      </c>
      <c r="L984">
        <v>2250.25</v>
      </c>
      <c r="M984">
        <v>1600.9</v>
      </c>
      <c r="N984">
        <v>1536.85</v>
      </c>
      <c r="O984">
        <v>0</v>
      </c>
      <c r="P984" s="9">
        <v>46147.645300925928</v>
      </c>
    </row>
    <row r="985" spans="1:16" hidden="1" x14ac:dyDescent="0.25">
      <c r="A985" t="s">
        <v>9</v>
      </c>
      <c r="B985" s="4">
        <v>46149</v>
      </c>
      <c r="C985" t="s">
        <v>1023</v>
      </c>
      <c r="D985">
        <v>78900</v>
      </c>
      <c r="E985" t="s">
        <v>40</v>
      </c>
      <c r="F985">
        <v>23.95</v>
      </c>
      <c r="G985">
        <v>3329300</v>
      </c>
      <c r="H985">
        <v>338160</v>
      </c>
      <c r="I985">
        <v>341040</v>
      </c>
      <c r="J985">
        <v>101120</v>
      </c>
      <c r="K985">
        <v>120</v>
      </c>
      <c r="L985">
        <v>120</v>
      </c>
      <c r="M985">
        <v>20.399999999999999</v>
      </c>
      <c r="N985">
        <v>172.7</v>
      </c>
      <c r="O985">
        <v>0</v>
      </c>
      <c r="P985" s="9">
        <v>46147.645821759259</v>
      </c>
    </row>
    <row r="986" spans="1:16" hidden="1" x14ac:dyDescent="0.25">
      <c r="A986" t="s">
        <v>9</v>
      </c>
      <c r="B986" s="4">
        <v>46149</v>
      </c>
      <c r="C986" t="s">
        <v>1024</v>
      </c>
      <c r="D986">
        <v>78900</v>
      </c>
      <c r="E986" t="s">
        <v>42</v>
      </c>
      <c r="F986">
        <v>1723.25</v>
      </c>
      <c r="G986">
        <v>1540</v>
      </c>
      <c r="H986">
        <v>2520</v>
      </c>
      <c r="I986">
        <v>2740</v>
      </c>
      <c r="J986">
        <v>2520</v>
      </c>
      <c r="K986">
        <v>2200</v>
      </c>
      <c r="L986">
        <v>2271.15</v>
      </c>
      <c r="M986">
        <v>1721.6</v>
      </c>
      <c r="N986">
        <v>1641.8</v>
      </c>
      <c r="O986">
        <v>0</v>
      </c>
      <c r="P986" s="9">
        <v>46147.64565972222</v>
      </c>
    </row>
    <row r="987" spans="1:16" hidden="1" x14ac:dyDescent="0.25">
      <c r="A987" t="s">
        <v>9</v>
      </c>
      <c r="B987" s="4">
        <v>46149</v>
      </c>
      <c r="C987" t="s">
        <v>1025</v>
      </c>
      <c r="D987">
        <v>79000</v>
      </c>
      <c r="E987" t="s">
        <v>40</v>
      </c>
      <c r="F987">
        <v>19.75</v>
      </c>
      <c r="G987">
        <v>10561880</v>
      </c>
      <c r="H987">
        <v>1119080</v>
      </c>
      <c r="I987">
        <v>1119080</v>
      </c>
      <c r="J987">
        <v>463240</v>
      </c>
      <c r="K987">
        <v>99</v>
      </c>
      <c r="L987">
        <v>99</v>
      </c>
      <c r="M987">
        <v>17.649999999999999</v>
      </c>
      <c r="N987">
        <v>156.19999999999999</v>
      </c>
      <c r="O987">
        <v>0</v>
      </c>
      <c r="P987" s="9">
        <v>46147.645821759259</v>
      </c>
    </row>
    <row r="988" spans="1:16" hidden="1" x14ac:dyDescent="0.25">
      <c r="A988" t="s">
        <v>9</v>
      </c>
      <c r="B988" s="4">
        <v>46149</v>
      </c>
      <c r="C988" t="s">
        <v>1026</v>
      </c>
      <c r="D988">
        <v>79000</v>
      </c>
      <c r="E988" t="s">
        <v>42</v>
      </c>
      <c r="F988">
        <v>1820.25</v>
      </c>
      <c r="G988">
        <v>20020</v>
      </c>
      <c r="H988">
        <v>20280</v>
      </c>
      <c r="I988">
        <v>25280</v>
      </c>
      <c r="J988">
        <v>20280</v>
      </c>
      <c r="K988">
        <v>2050</v>
      </c>
      <c r="L988">
        <v>2480</v>
      </c>
      <c r="M988">
        <v>1800</v>
      </c>
      <c r="N988">
        <v>1697.2</v>
      </c>
      <c r="O988">
        <v>0</v>
      </c>
      <c r="P988" s="9">
        <v>46147.644918981481</v>
      </c>
    </row>
    <row r="989" spans="1:16" hidden="1" x14ac:dyDescent="0.25">
      <c r="A989" t="s">
        <v>9</v>
      </c>
      <c r="B989" s="4">
        <v>46149</v>
      </c>
      <c r="C989" t="s">
        <v>1027</v>
      </c>
      <c r="D989">
        <v>79100</v>
      </c>
      <c r="E989" t="s">
        <v>40</v>
      </c>
      <c r="F989">
        <v>17.45</v>
      </c>
      <c r="G989">
        <v>2623060</v>
      </c>
      <c r="H989">
        <v>256520</v>
      </c>
      <c r="I989">
        <v>256520</v>
      </c>
      <c r="J989">
        <v>78420</v>
      </c>
      <c r="K989">
        <v>80.05</v>
      </c>
      <c r="L989">
        <v>80.05</v>
      </c>
      <c r="M989">
        <v>15.05</v>
      </c>
      <c r="N989">
        <v>140.44999999999999</v>
      </c>
      <c r="O989">
        <v>0</v>
      </c>
      <c r="P989" s="9">
        <v>46147.645821759259</v>
      </c>
    </row>
    <row r="990" spans="1:16" hidden="1" x14ac:dyDescent="0.25">
      <c r="A990" t="s">
        <v>9</v>
      </c>
      <c r="B990" s="4">
        <v>46149</v>
      </c>
      <c r="C990" t="s">
        <v>1028</v>
      </c>
      <c r="D990">
        <v>79100</v>
      </c>
      <c r="E990" t="s">
        <v>42</v>
      </c>
      <c r="F990">
        <v>1946.1</v>
      </c>
      <c r="G990">
        <v>980</v>
      </c>
      <c r="H990">
        <v>1180</v>
      </c>
      <c r="I990">
        <v>1200</v>
      </c>
      <c r="J990">
        <v>960</v>
      </c>
      <c r="K990">
        <v>2098</v>
      </c>
      <c r="L990">
        <v>2227.9</v>
      </c>
      <c r="M990">
        <v>1899.8</v>
      </c>
      <c r="N990">
        <v>1777.7</v>
      </c>
      <c r="O990">
        <v>0</v>
      </c>
      <c r="P990" s="9">
        <v>46147.641400462962</v>
      </c>
    </row>
    <row r="991" spans="1:16" hidden="1" x14ac:dyDescent="0.25">
      <c r="A991" t="s">
        <v>9</v>
      </c>
      <c r="B991" s="4">
        <v>46149</v>
      </c>
      <c r="C991" t="s">
        <v>1029</v>
      </c>
      <c r="D991">
        <v>79200</v>
      </c>
      <c r="E991" t="s">
        <v>40</v>
      </c>
      <c r="F991">
        <v>14.7</v>
      </c>
      <c r="G991">
        <v>2409980</v>
      </c>
      <c r="H991">
        <v>260220</v>
      </c>
      <c r="I991">
        <v>260220</v>
      </c>
      <c r="J991">
        <v>95020</v>
      </c>
      <c r="K991">
        <v>91.95</v>
      </c>
      <c r="L991">
        <v>91.95</v>
      </c>
      <c r="M991">
        <v>13.15</v>
      </c>
      <c r="N991">
        <v>128.05000000000001</v>
      </c>
      <c r="O991">
        <v>0</v>
      </c>
      <c r="P991" s="9">
        <v>46147.645821759259</v>
      </c>
    </row>
    <row r="992" spans="1:16" hidden="1" x14ac:dyDescent="0.25">
      <c r="A992" t="s">
        <v>9</v>
      </c>
      <c r="B992" s="4">
        <v>46149</v>
      </c>
      <c r="C992" t="s">
        <v>1030</v>
      </c>
      <c r="D992">
        <v>79200</v>
      </c>
      <c r="E992" t="s">
        <v>42</v>
      </c>
      <c r="F992">
        <v>2025.75</v>
      </c>
      <c r="G992">
        <v>400</v>
      </c>
      <c r="H992">
        <v>840</v>
      </c>
      <c r="I992">
        <v>940</v>
      </c>
      <c r="J992">
        <v>840</v>
      </c>
      <c r="K992">
        <v>2219.1</v>
      </c>
      <c r="L992">
        <v>2219.1</v>
      </c>
      <c r="M992">
        <v>2016.65</v>
      </c>
      <c r="N992">
        <v>2037</v>
      </c>
      <c r="O992">
        <v>0</v>
      </c>
      <c r="P992" s="9">
        <v>46147.644224537034</v>
      </c>
    </row>
    <row r="993" spans="1:16" hidden="1" x14ac:dyDescent="0.25">
      <c r="A993" t="s">
        <v>9</v>
      </c>
      <c r="B993" s="4">
        <v>46149</v>
      </c>
      <c r="C993" t="s">
        <v>1031</v>
      </c>
      <c r="D993">
        <v>79300</v>
      </c>
      <c r="E993" t="s">
        <v>40</v>
      </c>
      <c r="F993">
        <v>13.05</v>
      </c>
      <c r="G993">
        <v>2301480</v>
      </c>
      <c r="H993">
        <v>184820</v>
      </c>
      <c r="I993">
        <v>184820</v>
      </c>
      <c r="J993">
        <v>66540</v>
      </c>
      <c r="K993">
        <v>63.6</v>
      </c>
      <c r="L993">
        <v>63.6</v>
      </c>
      <c r="M993">
        <v>11.7</v>
      </c>
      <c r="N993">
        <v>116.1</v>
      </c>
      <c r="O993">
        <v>0</v>
      </c>
      <c r="P993" s="9">
        <v>46147.645821759259</v>
      </c>
    </row>
    <row r="994" spans="1:16" hidden="1" x14ac:dyDescent="0.25">
      <c r="A994" t="s">
        <v>9</v>
      </c>
      <c r="B994" s="4">
        <v>46149</v>
      </c>
      <c r="C994" t="s">
        <v>1032</v>
      </c>
      <c r="D994">
        <v>79300</v>
      </c>
      <c r="E994" t="s">
        <v>42</v>
      </c>
      <c r="F994">
        <v>2125.8000000000002</v>
      </c>
      <c r="G994">
        <v>60</v>
      </c>
      <c r="H994">
        <v>600</v>
      </c>
      <c r="I994">
        <v>620</v>
      </c>
      <c r="J994">
        <v>600</v>
      </c>
      <c r="K994">
        <v>2311.4</v>
      </c>
      <c r="L994">
        <v>2311.4</v>
      </c>
      <c r="M994">
        <v>2125.8000000000002</v>
      </c>
      <c r="N994">
        <v>1921.85</v>
      </c>
      <c r="O994">
        <v>0</v>
      </c>
      <c r="P994" s="9">
        <v>46147.635555555556</v>
      </c>
    </row>
    <row r="995" spans="1:16" hidden="1" x14ac:dyDescent="0.25">
      <c r="A995" t="s">
        <v>9</v>
      </c>
      <c r="B995" s="4">
        <v>46149</v>
      </c>
      <c r="C995" t="s">
        <v>1033</v>
      </c>
      <c r="D995">
        <v>79400</v>
      </c>
      <c r="E995" t="s">
        <v>40</v>
      </c>
      <c r="F995">
        <v>11.25</v>
      </c>
      <c r="G995">
        <v>2076820</v>
      </c>
      <c r="H995">
        <v>170520</v>
      </c>
      <c r="I995">
        <v>170520</v>
      </c>
      <c r="J995">
        <v>72580</v>
      </c>
      <c r="K995">
        <v>81</v>
      </c>
      <c r="L995">
        <v>81</v>
      </c>
      <c r="M995">
        <v>10.5</v>
      </c>
      <c r="N995">
        <v>104.25</v>
      </c>
      <c r="O995">
        <v>0</v>
      </c>
      <c r="P995" s="9">
        <v>46147.645821759259</v>
      </c>
    </row>
    <row r="996" spans="1:16" hidden="1" x14ac:dyDescent="0.25">
      <c r="A996" t="s">
        <v>9</v>
      </c>
      <c r="B996" s="4">
        <v>46149</v>
      </c>
      <c r="C996" t="s">
        <v>1034</v>
      </c>
      <c r="D996">
        <v>79400</v>
      </c>
      <c r="E996" t="s">
        <v>42</v>
      </c>
      <c r="F996">
        <v>2371.9</v>
      </c>
      <c r="G996">
        <v>160</v>
      </c>
      <c r="H996">
        <v>1000</v>
      </c>
      <c r="I996">
        <v>1120</v>
      </c>
      <c r="J996">
        <v>1000</v>
      </c>
      <c r="K996">
        <v>2240.9499999999998</v>
      </c>
      <c r="L996">
        <v>2371.9</v>
      </c>
      <c r="M996">
        <v>2240.15</v>
      </c>
      <c r="N996">
        <v>2013.25</v>
      </c>
      <c r="O996">
        <v>0</v>
      </c>
      <c r="P996" s="9">
        <v>46147.619953703703</v>
      </c>
    </row>
    <row r="997" spans="1:16" hidden="1" x14ac:dyDescent="0.25">
      <c r="A997" t="s">
        <v>9</v>
      </c>
      <c r="B997" s="4">
        <v>46149</v>
      </c>
      <c r="C997" t="s">
        <v>1035</v>
      </c>
      <c r="D997">
        <v>79500</v>
      </c>
      <c r="E997" t="s">
        <v>40</v>
      </c>
      <c r="F997">
        <v>10.4</v>
      </c>
      <c r="G997">
        <v>10717920</v>
      </c>
      <c r="H997">
        <v>990760</v>
      </c>
      <c r="I997">
        <v>1012120</v>
      </c>
      <c r="J997">
        <v>351280</v>
      </c>
      <c r="K997">
        <v>79.95</v>
      </c>
      <c r="L997">
        <v>88</v>
      </c>
      <c r="M997">
        <v>9.1999999999999993</v>
      </c>
      <c r="N997">
        <v>93.8</v>
      </c>
      <c r="O997">
        <v>0</v>
      </c>
      <c r="P997" s="9">
        <v>46147.645821759259</v>
      </c>
    </row>
    <row r="998" spans="1:16" hidden="1" x14ac:dyDescent="0.25">
      <c r="A998" t="s">
        <v>9</v>
      </c>
      <c r="B998" s="4">
        <v>46149</v>
      </c>
      <c r="C998" t="s">
        <v>1036</v>
      </c>
      <c r="D998">
        <v>79500</v>
      </c>
      <c r="E998" t="s">
        <v>42</v>
      </c>
      <c r="F998">
        <v>2315</v>
      </c>
      <c r="G998">
        <v>1400</v>
      </c>
      <c r="H998">
        <v>3040</v>
      </c>
      <c r="I998">
        <v>3540</v>
      </c>
      <c r="J998">
        <v>3040</v>
      </c>
      <c r="K998">
        <v>2600</v>
      </c>
      <c r="L998">
        <v>2950</v>
      </c>
      <c r="M998">
        <v>2280</v>
      </c>
      <c r="N998">
        <v>2124.0500000000002</v>
      </c>
      <c r="O998">
        <v>0</v>
      </c>
      <c r="P998" s="9">
        <v>46147.644826388889</v>
      </c>
    </row>
    <row r="999" spans="1:16" hidden="1" x14ac:dyDescent="0.25">
      <c r="A999" t="s">
        <v>9</v>
      </c>
      <c r="B999" s="4">
        <v>46149</v>
      </c>
      <c r="C999" t="s">
        <v>1037</v>
      </c>
      <c r="D999">
        <v>79600</v>
      </c>
      <c r="E999" t="s">
        <v>40</v>
      </c>
      <c r="F999">
        <v>9.3000000000000007</v>
      </c>
      <c r="G999">
        <v>1876160</v>
      </c>
      <c r="H999">
        <v>165800</v>
      </c>
      <c r="I999">
        <v>165800</v>
      </c>
      <c r="J999">
        <v>83980</v>
      </c>
      <c r="K999">
        <v>50</v>
      </c>
      <c r="L999">
        <v>69.650000000000006</v>
      </c>
      <c r="M999">
        <v>8.4499999999999993</v>
      </c>
      <c r="N999">
        <v>85.65</v>
      </c>
      <c r="O999">
        <v>0</v>
      </c>
      <c r="P999" s="9">
        <v>46147.645810185182</v>
      </c>
    </row>
    <row r="1000" spans="1:16" hidden="1" x14ac:dyDescent="0.25">
      <c r="A1000" t="s">
        <v>9</v>
      </c>
      <c r="B1000" s="4">
        <v>46149</v>
      </c>
      <c r="C1000" t="s">
        <v>1038</v>
      </c>
      <c r="D1000">
        <v>79600</v>
      </c>
      <c r="E1000" t="s">
        <v>42</v>
      </c>
      <c r="F1000">
        <v>2192.5500000000002</v>
      </c>
      <c r="G1000">
        <v>0</v>
      </c>
      <c r="H1000">
        <v>1180</v>
      </c>
      <c r="I1000">
        <v>1180</v>
      </c>
      <c r="J1000">
        <v>1180</v>
      </c>
      <c r="K1000">
        <v>0</v>
      </c>
      <c r="L1000">
        <v>2393.5</v>
      </c>
      <c r="M1000">
        <v>1854</v>
      </c>
      <c r="N1000">
        <v>2192.5500000000002</v>
      </c>
      <c r="O1000">
        <v>0</v>
      </c>
      <c r="P1000" s="9">
        <v>46146.638194444444</v>
      </c>
    </row>
    <row r="1001" spans="1:16" hidden="1" x14ac:dyDescent="0.25">
      <c r="A1001" t="s">
        <v>9</v>
      </c>
      <c r="B1001" s="4">
        <v>46149</v>
      </c>
      <c r="C1001" t="s">
        <v>1039</v>
      </c>
      <c r="D1001">
        <v>79700</v>
      </c>
      <c r="E1001" t="s">
        <v>40</v>
      </c>
      <c r="F1001">
        <v>8.6999999999999993</v>
      </c>
      <c r="G1001">
        <v>2909160</v>
      </c>
      <c r="H1001">
        <v>340520</v>
      </c>
      <c r="I1001">
        <v>340520</v>
      </c>
      <c r="J1001">
        <v>109660</v>
      </c>
      <c r="K1001">
        <v>59.95</v>
      </c>
      <c r="L1001">
        <v>59.95</v>
      </c>
      <c r="M1001">
        <v>7.6</v>
      </c>
      <c r="N1001">
        <v>76.45</v>
      </c>
      <c r="O1001">
        <v>0</v>
      </c>
      <c r="P1001" s="9">
        <v>46147.64576388889</v>
      </c>
    </row>
    <row r="1002" spans="1:16" hidden="1" x14ac:dyDescent="0.25">
      <c r="A1002" t="s">
        <v>9</v>
      </c>
      <c r="B1002" s="4">
        <v>46149</v>
      </c>
      <c r="C1002" t="s">
        <v>1040</v>
      </c>
      <c r="D1002">
        <v>79700</v>
      </c>
      <c r="E1002" t="s">
        <v>42</v>
      </c>
      <c r="F1002">
        <v>2437.35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2437.35</v>
      </c>
      <c r="O1002">
        <v>0</v>
      </c>
      <c r="P1002" s="9">
        <v>25569.229166666668</v>
      </c>
    </row>
    <row r="1003" spans="1:16" hidden="1" x14ac:dyDescent="0.25">
      <c r="A1003" t="s">
        <v>9</v>
      </c>
      <c r="B1003" s="4">
        <v>46149</v>
      </c>
      <c r="C1003" t="s">
        <v>1041</v>
      </c>
      <c r="D1003">
        <v>79800</v>
      </c>
      <c r="E1003" t="s">
        <v>40</v>
      </c>
      <c r="F1003">
        <v>7.8</v>
      </c>
      <c r="G1003">
        <v>2093000</v>
      </c>
      <c r="H1003">
        <v>184780</v>
      </c>
      <c r="I1003">
        <v>187780</v>
      </c>
      <c r="J1003">
        <v>91780</v>
      </c>
      <c r="K1003">
        <v>59.95</v>
      </c>
      <c r="L1003">
        <v>59.95</v>
      </c>
      <c r="M1003">
        <v>6.6</v>
      </c>
      <c r="N1003">
        <v>68.900000000000006</v>
      </c>
      <c r="O1003">
        <v>0</v>
      </c>
      <c r="P1003" s="9">
        <v>46147.645821759259</v>
      </c>
    </row>
    <row r="1004" spans="1:16" hidden="1" x14ac:dyDescent="0.25">
      <c r="A1004" t="s">
        <v>9</v>
      </c>
      <c r="B1004" s="4">
        <v>46149</v>
      </c>
      <c r="C1004" t="s">
        <v>1042</v>
      </c>
      <c r="D1004">
        <v>79800</v>
      </c>
      <c r="E1004" t="s">
        <v>42</v>
      </c>
      <c r="F1004">
        <v>2531.5500000000002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2531.5500000000002</v>
      </c>
      <c r="O1004">
        <v>0</v>
      </c>
      <c r="P1004" s="9">
        <v>25569.229166666668</v>
      </c>
    </row>
    <row r="1005" spans="1:16" hidden="1" x14ac:dyDescent="0.25">
      <c r="A1005" t="s">
        <v>9</v>
      </c>
      <c r="B1005" s="4">
        <v>46149</v>
      </c>
      <c r="C1005" t="s">
        <v>1043</v>
      </c>
      <c r="D1005">
        <v>79900</v>
      </c>
      <c r="E1005" t="s">
        <v>40</v>
      </c>
      <c r="F1005">
        <v>6.95</v>
      </c>
      <c r="G1005">
        <v>2190960</v>
      </c>
      <c r="H1005">
        <v>245040</v>
      </c>
      <c r="I1005">
        <v>245040</v>
      </c>
      <c r="J1005">
        <v>101300</v>
      </c>
      <c r="K1005">
        <v>40</v>
      </c>
      <c r="L1005">
        <v>40</v>
      </c>
      <c r="M1005">
        <v>6</v>
      </c>
      <c r="N1005">
        <v>61.65</v>
      </c>
      <c r="O1005">
        <v>0</v>
      </c>
      <c r="P1005" s="9">
        <v>46147.645821759259</v>
      </c>
    </row>
    <row r="1006" spans="1:16" hidden="1" x14ac:dyDescent="0.25">
      <c r="A1006" t="s">
        <v>9</v>
      </c>
      <c r="B1006" s="4">
        <v>46149</v>
      </c>
      <c r="C1006" t="s">
        <v>1044</v>
      </c>
      <c r="D1006">
        <v>79900</v>
      </c>
      <c r="E1006" t="s">
        <v>42</v>
      </c>
      <c r="F1006">
        <v>2626.35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2626.35</v>
      </c>
      <c r="O1006">
        <v>0</v>
      </c>
      <c r="P1006" s="9">
        <v>25569.229166666668</v>
      </c>
    </row>
    <row r="1007" spans="1:16" hidden="1" x14ac:dyDescent="0.25">
      <c r="A1007" t="s">
        <v>9</v>
      </c>
      <c r="B1007" s="4">
        <v>46149</v>
      </c>
      <c r="C1007" t="s">
        <v>1045</v>
      </c>
      <c r="D1007">
        <v>80000</v>
      </c>
      <c r="E1007" t="s">
        <v>40</v>
      </c>
      <c r="F1007">
        <v>6.6</v>
      </c>
      <c r="G1007">
        <v>14338560</v>
      </c>
      <c r="H1007">
        <v>2375640</v>
      </c>
      <c r="I1007">
        <v>2375640</v>
      </c>
      <c r="J1007">
        <v>820940</v>
      </c>
      <c r="K1007">
        <v>39.85</v>
      </c>
      <c r="L1007">
        <v>39.85</v>
      </c>
      <c r="M1007">
        <v>5.05</v>
      </c>
      <c r="N1007">
        <v>55.05</v>
      </c>
      <c r="O1007">
        <v>0</v>
      </c>
      <c r="P1007" s="9">
        <v>46147.645821759259</v>
      </c>
    </row>
    <row r="1008" spans="1:16" hidden="1" x14ac:dyDescent="0.25">
      <c r="A1008" t="s">
        <v>9</v>
      </c>
      <c r="B1008" s="4">
        <v>46149</v>
      </c>
      <c r="C1008" t="s">
        <v>1046</v>
      </c>
      <c r="D1008">
        <v>80000</v>
      </c>
      <c r="E1008" t="s">
        <v>42</v>
      </c>
      <c r="F1008">
        <v>2813.1</v>
      </c>
      <c r="G1008">
        <v>9400</v>
      </c>
      <c r="H1008">
        <v>20680</v>
      </c>
      <c r="I1008">
        <v>26040</v>
      </c>
      <c r="J1008">
        <v>20680</v>
      </c>
      <c r="K1008">
        <v>3005</v>
      </c>
      <c r="L1008">
        <v>3420.75</v>
      </c>
      <c r="M1008">
        <v>2800</v>
      </c>
      <c r="N1008">
        <v>2575.3000000000002</v>
      </c>
      <c r="O1008">
        <v>0</v>
      </c>
      <c r="P1008" s="9">
        <v>46147.643634259257</v>
      </c>
    </row>
    <row r="1009" spans="1:16" hidden="1" x14ac:dyDescent="0.25">
      <c r="A1009" t="s">
        <v>9</v>
      </c>
      <c r="B1009" s="4">
        <v>46149</v>
      </c>
      <c r="C1009" t="s">
        <v>1047</v>
      </c>
      <c r="D1009">
        <v>80100</v>
      </c>
      <c r="E1009" t="s">
        <v>40</v>
      </c>
      <c r="F1009">
        <v>5.95</v>
      </c>
      <c r="G1009">
        <v>1286040</v>
      </c>
      <c r="H1009">
        <v>172820</v>
      </c>
      <c r="I1009">
        <v>172820</v>
      </c>
      <c r="J1009">
        <v>77480</v>
      </c>
      <c r="K1009">
        <v>30</v>
      </c>
      <c r="L1009">
        <v>30</v>
      </c>
      <c r="M1009">
        <v>4.8499999999999996</v>
      </c>
      <c r="N1009">
        <v>49.55</v>
      </c>
      <c r="O1009">
        <v>0</v>
      </c>
      <c r="P1009" s="9">
        <v>46147.645821759259</v>
      </c>
    </row>
    <row r="1010" spans="1:16" hidden="1" x14ac:dyDescent="0.25">
      <c r="A1010" t="s">
        <v>9</v>
      </c>
      <c r="B1010" s="4">
        <v>46149</v>
      </c>
      <c r="C1010" t="s">
        <v>1048</v>
      </c>
      <c r="D1010">
        <v>80100</v>
      </c>
      <c r="E1010" t="s">
        <v>42</v>
      </c>
      <c r="F1010">
        <v>2817.9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2817.9</v>
      </c>
      <c r="O1010">
        <v>0</v>
      </c>
      <c r="P1010" s="9">
        <v>25569.229166666668</v>
      </c>
    </row>
    <row r="1011" spans="1:16" hidden="1" x14ac:dyDescent="0.25">
      <c r="A1011" t="s">
        <v>9</v>
      </c>
      <c r="B1011" s="4">
        <v>46149</v>
      </c>
      <c r="C1011" t="s">
        <v>1049</v>
      </c>
      <c r="D1011">
        <v>80200</v>
      </c>
      <c r="E1011" t="s">
        <v>40</v>
      </c>
      <c r="F1011">
        <v>5.4</v>
      </c>
      <c r="G1011">
        <v>1129300</v>
      </c>
      <c r="H1011">
        <v>121160</v>
      </c>
      <c r="I1011">
        <v>123720</v>
      </c>
      <c r="J1011">
        <v>66800</v>
      </c>
      <c r="K1011">
        <v>34</v>
      </c>
      <c r="L1011">
        <v>34</v>
      </c>
      <c r="M1011">
        <v>4.45</v>
      </c>
      <c r="N1011">
        <v>44.3</v>
      </c>
      <c r="O1011">
        <v>0</v>
      </c>
      <c r="P1011" s="9">
        <v>46147.645798611113</v>
      </c>
    </row>
    <row r="1012" spans="1:16" hidden="1" x14ac:dyDescent="0.25">
      <c r="A1012" t="s">
        <v>9</v>
      </c>
      <c r="B1012" s="4">
        <v>46149</v>
      </c>
      <c r="C1012" t="s">
        <v>1050</v>
      </c>
      <c r="D1012">
        <v>80200</v>
      </c>
      <c r="E1012" t="s">
        <v>42</v>
      </c>
      <c r="F1012">
        <v>2914.4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2914.4</v>
      </c>
      <c r="O1012">
        <v>0</v>
      </c>
      <c r="P1012" s="9">
        <v>25569.229166666668</v>
      </c>
    </row>
    <row r="1013" spans="1:16" hidden="1" x14ac:dyDescent="0.25">
      <c r="A1013" t="s">
        <v>9</v>
      </c>
      <c r="B1013" s="4">
        <v>46149</v>
      </c>
      <c r="C1013" t="s">
        <v>1051</v>
      </c>
      <c r="D1013">
        <v>80300</v>
      </c>
      <c r="E1013" t="s">
        <v>40</v>
      </c>
      <c r="F1013">
        <v>4.95</v>
      </c>
      <c r="G1013">
        <v>1342140</v>
      </c>
      <c r="H1013">
        <v>96320</v>
      </c>
      <c r="I1013">
        <v>155240</v>
      </c>
      <c r="J1013">
        <v>65580</v>
      </c>
      <c r="K1013">
        <v>19.350000000000001</v>
      </c>
      <c r="L1013">
        <v>19.45</v>
      </c>
      <c r="M1013">
        <v>4.0999999999999996</v>
      </c>
      <c r="N1013">
        <v>39.5</v>
      </c>
      <c r="O1013">
        <v>0</v>
      </c>
      <c r="P1013" s="9">
        <v>46147.645798611113</v>
      </c>
    </row>
    <row r="1014" spans="1:16" hidden="1" x14ac:dyDescent="0.25">
      <c r="A1014" t="s">
        <v>9</v>
      </c>
      <c r="B1014" s="4">
        <v>46149</v>
      </c>
      <c r="C1014" t="s">
        <v>1052</v>
      </c>
      <c r="D1014">
        <v>80300</v>
      </c>
      <c r="E1014" t="s">
        <v>42</v>
      </c>
      <c r="F1014">
        <v>3011.4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3011.4</v>
      </c>
      <c r="O1014">
        <v>0</v>
      </c>
      <c r="P1014" s="9">
        <v>25569.229166666668</v>
      </c>
    </row>
    <row r="1015" spans="1:16" hidden="1" x14ac:dyDescent="0.25">
      <c r="A1015" t="s">
        <v>9</v>
      </c>
      <c r="B1015" s="4">
        <v>46149</v>
      </c>
      <c r="C1015" t="s">
        <v>1053</v>
      </c>
      <c r="D1015">
        <v>80400</v>
      </c>
      <c r="E1015" t="s">
        <v>40</v>
      </c>
      <c r="F1015">
        <v>4.3</v>
      </c>
      <c r="G1015">
        <v>1303800</v>
      </c>
      <c r="H1015">
        <v>163920</v>
      </c>
      <c r="I1015">
        <v>163920</v>
      </c>
      <c r="J1015">
        <v>57840</v>
      </c>
      <c r="K1015">
        <v>30.45</v>
      </c>
      <c r="L1015">
        <v>30.45</v>
      </c>
      <c r="M1015">
        <v>3.7</v>
      </c>
      <c r="N1015">
        <v>35.75</v>
      </c>
      <c r="O1015">
        <v>0</v>
      </c>
      <c r="P1015" s="9">
        <v>46147.645810185182</v>
      </c>
    </row>
    <row r="1016" spans="1:16" hidden="1" x14ac:dyDescent="0.25">
      <c r="A1016" t="s">
        <v>9</v>
      </c>
      <c r="B1016" s="4">
        <v>46149</v>
      </c>
      <c r="C1016" t="s">
        <v>1054</v>
      </c>
      <c r="D1016">
        <v>80400</v>
      </c>
      <c r="E1016" t="s">
        <v>42</v>
      </c>
      <c r="F1016">
        <v>3108.75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3108.75</v>
      </c>
      <c r="O1016">
        <v>0</v>
      </c>
      <c r="P1016" s="9">
        <v>25569.229166666668</v>
      </c>
    </row>
    <row r="1017" spans="1:16" hidden="1" x14ac:dyDescent="0.25">
      <c r="A1017" t="s">
        <v>9</v>
      </c>
      <c r="B1017" s="4">
        <v>46149</v>
      </c>
      <c r="C1017" t="s">
        <v>1055</v>
      </c>
      <c r="D1017">
        <v>80500</v>
      </c>
      <c r="E1017" t="s">
        <v>40</v>
      </c>
      <c r="F1017">
        <v>4.0999999999999996</v>
      </c>
      <c r="G1017">
        <v>7234060</v>
      </c>
      <c r="H1017">
        <v>1055740</v>
      </c>
      <c r="I1017">
        <v>1055740</v>
      </c>
      <c r="J1017">
        <v>492820</v>
      </c>
      <c r="K1017">
        <v>28.7</v>
      </c>
      <c r="L1017">
        <v>28.7</v>
      </c>
      <c r="M1017">
        <v>3.35</v>
      </c>
      <c r="N1017">
        <v>32</v>
      </c>
      <c r="O1017">
        <v>0</v>
      </c>
      <c r="P1017" s="9">
        <v>46147.645821759259</v>
      </c>
    </row>
    <row r="1018" spans="1:16" hidden="1" x14ac:dyDescent="0.25">
      <c r="A1018" t="s">
        <v>9</v>
      </c>
      <c r="B1018" s="4">
        <v>46149</v>
      </c>
      <c r="C1018" t="s">
        <v>1056</v>
      </c>
      <c r="D1018">
        <v>80500</v>
      </c>
      <c r="E1018" t="s">
        <v>42</v>
      </c>
      <c r="F1018">
        <v>3206.5</v>
      </c>
      <c r="G1018">
        <v>0</v>
      </c>
      <c r="H1018">
        <v>680</v>
      </c>
      <c r="I1018">
        <v>680</v>
      </c>
      <c r="J1018">
        <v>680</v>
      </c>
      <c r="K1018">
        <v>0</v>
      </c>
      <c r="L1018">
        <v>3600</v>
      </c>
      <c r="M1018">
        <v>3320</v>
      </c>
      <c r="N1018">
        <v>3206.5</v>
      </c>
      <c r="O1018">
        <v>0</v>
      </c>
      <c r="P1018" s="9">
        <v>46142.633483796293</v>
      </c>
    </row>
    <row r="1019" spans="1:16" hidden="1" x14ac:dyDescent="0.25">
      <c r="A1019" t="s">
        <v>9</v>
      </c>
      <c r="B1019" s="4">
        <v>46149</v>
      </c>
      <c r="C1019" t="s">
        <v>1057</v>
      </c>
      <c r="D1019">
        <v>80600</v>
      </c>
      <c r="E1019" t="s">
        <v>40</v>
      </c>
      <c r="F1019">
        <v>3.55</v>
      </c>
      <c r="G1019">
        <v>979680</v>
      </c>
      <c r="H1019">
        <v>77800</v>
      </c>
      <c r="I1019">
        <v>137420</v>
      </c>
      <c r="J1019">
        <v>51780</v>
      </c>
      <c r="K1019">
        <v>20</v>
      </c>
      <c r="L1019">
        <v>20</v>
      </c>
      <c r="M1019">
        <v>3.15</v>
      </c>
      <c r="N1019">
        <v>28.4</v>
      </c>
      <c r="O1019">
        <v>0</v>
      </c>
      <c r="P1019" s="9">
        <v>46147.64576388889</v>
      </c>
    </row>
    <row r="1020" spans="1:16" hidden="1" x14ac:dyDescent="0.25">
      <c r="A1020" t="s">
        <v>9</v>
      </c>
      <c r="B1020" s="4">
        <v>46149</v>
      </c>
      <c r="C1020" t="s">
        <v>1058</v>
      </c>
      <c r="D1020">
        <v>80600</v>
      </c>
      <c r="E1020" t="s">
        <v>42</v>
      </c>
      <c r="F1020">
        <v>3304.55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3304.55</v>
      </c>
      <c r="O1020">
        <v>0</v>
      </c>
      <c r="P1020" s="9">
        <v>25569.229166666668</v>
      </c>
    </row>
    <row r="1021" spans="1:16" hidden="1" x14ac:dyDescent="0.25">
      <c r="A1021" t="s">
        <v>9</v>
      </c>
      <c r="B1021" s="4">
        <v>46149</v>
      </c>
      <c r="C1021" t="s">
        <v>1059</v>
      </c>
      <c r="D1021">
        <v>80700</v>
      </c>
      <c r="E1021" t="s">
        <v>40</v>
      </c>
      <c r="F1021">
        <v>2.5499999999999998</v>
      </c>
      <c r="G1021">
        <v>616620</v>
      </c>
      <c r="H1021">
        <v>66120</v>
      </c>
      <c r="I1021">
        <v>66260</v>
      </c>
      <c r="J1021">
        <v>42640</v>
      </c>
      <c r="K1021">
        <v>16.3</v>
      </c>
      <c r="L1021">
        <v>16.3</v>
      </c>
      <c r="M1021">
        <v>2.15</v>
      </c>
      <c r="N1021">
        <v>25.2</v>
      </c>
      <c r="O1021">
        <v>0</v>
      </c>
      <c r="P1021" s="9">
        <v>46147.645787037036</v>
      </c>
    </row>
    <row r="1022" spans="1:16" hidden="1" x14ac:dyDescent="0.25">
      <c r="A1022" t="s">
        <v>9</v>
      </c>
      <c r="B1022" s="4">
        <v>46149</v>
      </c>
      <c r="C1022" t="s">
        <v>1060</v>
      </c>
      <c r="D1022">
        <v>80700</v>
      </c>
      <c r="E1022" t="s">
        <v>42</v>
      </c>
      <c r="F1022">
        <v>3402.85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3402.85</v>
      </c>
      <c r="O1022">
        <v>0</v>
      </c>
      <c r="P1022" s="9">
        <v>25569.229166666668</v>
      </c>
    </row>
    <row r="1023" spans="1:16" hidden="1" x14ac:dyDescent="0.25">
      <c r="A1023" t="s">
        <v>9</v>
      </c>
      <c r="B1023" s="4">
        <v>46149</v>
      </c>
      <c r="C1023" t="s">
        <v>1061</v>
      </c>
      <c r="D1023">
        <v>80800</v>
      </c>
      <c r="E1023" t="s">
        <v>40</v>
      </c>
      <c r="F1023">
        <v>3</v>
      </c>
      <c r="G1023">
        <v>980780</v>
      </c>
      <c r="H1023">
        <v>130260</v>
      </c>
      <c r="I1023">
        <v>130260</v>
      </c>
      <c r="J1023">
        <v>77880</v>
      </c>
      <c r="K1023">
        <v>18</v>
      </c>
      <c r="L1023">
        <v>18</v>
      </c>
      <c r="M1023">
        <v>2.5</v>
      </c>
      <c r="N1023">
        <v>22.6</v>
      </c>
      <c r="O1023">
        <v>0</v>
      </c>
      <c r="P1023" s="9">
        <v>46147.645775462966</v>
      </c>
    </row>
    <row r="1024" spans="1:16" hidden="1" x14ac:dyDescent="0.25">
      <c r="A1024" t="s">
        <v>9</v>
      </c>
      <c r="B1024" s="4">
        <v>46149</v>
      </c>
      <c r="C1024" t="s">
        <v>1062</v>
      </c>
      <c r="D1024">
        <v>80800</v>
      </c>
      <c r="E1024" t="s">
        <v>42</v>
      </c>
      <c r="F1024">
        <v>3501.4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3501.4</v>
      </c>
      <c r="O1024">
        <v>0</v>
      </c>
      <c r="P1024" s="9">
        <v>25569.229166666668</v>
      </c>
    </row>
    <row r="1025" spans="1:16" hidden="1" x14ac:dyDescent="0.25">
      <c r="A1025" t="s">
        <v>9</v>
      </c>
      <c r="B1025" s="4">
        <v>46149</v>
      </c>
      <c r="C1025" t="s">
        <v>1063</v>
      </c>
      <c r="D1025">
        <v>80900</v>
      </c>
      <c r="E1025" t="s">
        <v>40</v>
      </c>
      <c r="F1025">
        <v>2.8</v>
      </c>
      <c r="G1025">
        <v>592540</v>
      </c>
      <c r="H1025">
        <v>70380</v>
      </c>
      <c r="I1025">
        <v>74320</v>
      </c>
      <c r="J1025">
        <v>40520</v>
      </c>
      <c r="K1025">
        <v>18.2</v>
      </c>
      <c r="L1025">
        <v>18.2</v>
      </c>
      <c r="M1025">
        <v>2.2000000000000002</v>
      </c>
      <c r="N1025">
        <v>20.350000000000001</v>
      </c>
      <c r="O1025">
        <v>0</v>
      </c>
      <c r="P1025" s="9">
        <v>46147.645775462966</v>
      </c>
    </row>
    <row r="1026" spans="1:16" hidden="1" x14ac:dyDescent="0.25">
      <c r="A1026" t="s">
        <v>9</v>
      </c>
      <c r="B1026" s="4">
        <v>46149</v>
      </c>
      <c r="C1026" t="s">
        <v>1064</v>
      </c>
      <c r="D1026">
        <v>80900</v>
      </c>
      <c r="E1026" t="s">
        <v>42</v>
      </c>
      <c r="F1026">
        <v>3600.15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3600.15</v>
      </c>
      <c r="O1026">
        <v>0</v>
      </c>
      <c r="P1026" s="9">
        <v>25569.229166666668</v>
      </c>
    </row>
    <row r="1027" spans="1:16" hidden="1" x14ac:dyDescent="0.25">
      <c r="A1027" t="s">
        <v>9</v>
      </c>
      <c r="B1027" s="4">
        <v>46149</v>
      </c>
      <c r="C1027" t="s">
        <v>1065</v>
      </c>
      <c r="D1027">
        <v>81000</v>
      </c>
      <c r="E1027" t="s">
        <v>40</v>
      </c>
      <c r="F1027">
        <v>2.5</v>
      </c>
      <c r="G1027">
        <v>5876440</v>
      </c>
      <c r="H1027">
        <v>798640</v>
      </c>
      <c r="I1027">
        <v>828080</v>
      </c>
      <c r="J1027">
        <v>556780</v>
      </c>
      <c r="K1027">
        <v>10.85</v>
      </c>
      <c r="L1027">
        <v>10.9</v>
      </c>
      <c r="M1027">
        <v>2.25</v>
      </c>
      <c r="N1027">
        <v>18.399999999999999</v>
      </c>
      <c r="O1027">
        <v>0</v>
      </c>
      <c r="P1027" s="9">
        <v>46147.645821759259</v>
      </c>
    </row>
    <row r="1028" spans="1:16" hidden="1" x14ac:dyDescent="0.25">
      <c r="A1028" t="s">
        <v>9</v>
      </c>
      <c r="B1028" s="4">
        <v>46149</v>
      </c>
      <c r="C1028" t="s">
        <v>1066</v>
      </c>
      <c r="D1028">
        <v>81000</v>
      </c>
      <c r="E1028" t="s">
        <v>42</v>
      </c>
      <c r="F1028">
        <v>3805</v>
      </c>
      <c r="G1028">
        <v>2580</v>
      </c>
      <c r="H1028">
        <v>6860</v>
      </c>
      <c r="I1028">
        <v>8780</v>
      </c>
      <c r="J1028">
        <v>6860</v>
      </c>
      <c r="K1028">
        <v>4250</v>
      </c>
      <c r="L1028">
        <v>4430</v>
      </c>
      <c r="M1028">
        <v>3805</v>
      </c>
      <c r="N1028">
        <v>3620</v>
      </c>
      <c r="O1028">
        <v>0</v>
      </c>
      <c r="P1028" s="9">
        <v>46147.644872685189</v>
      </c>
    </row>
    <row r="1029" spans="1:16" hidden="1" x14ac:dyDescent="0.25">
      <c r="A1029" t="s">
        <v>9</v>
      </c>
      <c r="B1029" s="4">
        <v>46149</v>
      </c>
      <c r="C1029" t="s">
        <v>1067</v>
      </c>
      <c r="D1029">
        <v>81100</v>
      </c>
      <c r="E1029" t="s">
        <v>40</v>
      </c>
      <c r="F1029">
        <v>2.5499999999999998</v>
      </c>
      <c r="G1029">
        <v>400640</v>
      </c>
      <c r="H1029">
        <v>37880</v>
      </c>
      <c r="I1029">
        <v>52260</v>
      </c>
      <c r="J1029">
        <v>32260</v>
      </c>
      <c r="K1029">
        <v>10.3</v>
      </c>
      <c r="L1029">
        <v>10.3</v>
      </c>
      <c r="M1029">
        <v>2.1</v>
      </c>
      <c r="N1029">
        <v>16.5</v>
      </c>
      <c r="O1029">
        <v>0</v>
      </c>
      <c r="P1029" s="9">
        <v>46147.645752314813</v>
      </c>
    </row>
    <row r="1030" spans="1:16" hidden="1" x14ac:dyDescent="0.25">
      <c r="A1030" t="s">
        <v>9</v>
      </c>
      <c r="B1030" s="4">
        <v>46149</v>
      </c>
      <c r="C1030" t="s">
        <v>1068</v>
      </c>
      <c r="D1030">
        <v>81100</v>
      </c>
      <c r="E1030" t="s">
        <v>42</v>
      </c>
      <c r="F1030">
        <v>3798.2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3798.2</v>
      </c>
      <c r="O1030">
        <v>0</v>
      </c>
      <c r="P1030" s="9">
        <v>25569.229166666668</v>
      </c>
    </row>
    <row r="1031" spans="1:16" hidden="1" x14ac:dyDescent="0.25">
      <c r="A1031" t="s">
        <v>9</v>
      </c>
      <c r="B1031" s="4">
        <v>46149</v>
      </c>
      <c r="C1031" t="s">
        <v>1069</v>
      </c>
      <c r="D1031">
        <v>81200</v>
      </c>
      <c r="E1031" t="s">
        <v>40</v>
      </c>
      <c r="F1031">
        <v>2.2000000000000002</v>
      </c>
      <c r="G1031">
        <v>353480</v>
      </c>
      <c r="H1031">
        <v>80460</v>
      </c>
      <c r="I1031">
        <v>89520</v>
      </c>
      <c r="J1031">
        <v>77340</v>
      </c>
      <c r="K1031">
        <v>9.75</v>
      </c>
      <c r="L1031">
        <v>9.8000000000000007</v>
      </c>
      <c r="M1031">
        <v>1.8</v>
      </c>
      <c r="N1031">
        <v>15.15</v>
      </c>
      <c r="O1031">
        <v>0</v>
      </c>
      <c r="P1031" s="9">
        <v>46147.645752314813</v>
      </c>
    </row>
    <row r="1032" spans="1:16" hidden="1" x14ac:dyDescent="0.25">
      <c r="A1032" t="s">
        <v>9</v>
      </c>
      <c r="B1032" s="4">
        <v>46149</v>
      </c>
      <c r="C1032" t="s">
        <v>1070</v>
      </c>
      <c r="D1032">
        <v>81200</v>
      </c>
      <c r="E1032" t="s">
        <v>42</v>
      </c>
      <c r="F1032">
        <v>3897.45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3897.45</v>
      </c>
      <c r="O1032">
        <v>0</v>
      </c>
      <c r="P1032" s="9">
        <v>25569.229166666668</v>
      </c>
    </row>
    <row r="1033" spans="1:16" hidden="1" x14ac:dyDescent="0.25">
      <c r="A1033" t="s">
        <v>9</v>
      </c>
      <c r="B1033" s="4">
        <v>46149</v>
      </c>
      <c r="C1033" t="s">
        <v>1071</v>
      </c>
      <c r="D1033">
        <v>81300</v>
      </c>
      <c r="E1033" t="s">
        <v>40</v>
      </c>
      <c r="F1033">
        <v>2.2999999999999998</v>
      </c>
      <c r="G1033">
        <v>330540</v>
      </c>
      <c r="H1033">
        <v>51700</v>
      </c>
      <c r="I1033">
        <v>63560</v>
      </c>
      <c r="J1033">
        <v>49600</v>
      </c>
      <c r="K1033">
        <v>12</v>
      </c>
      <c r="L1033">
        <v>12</v>
      </c>
      <c r="M1033">
        <v>1.6</v>
      </c>
      <c r="N1033">
        <v>13.75</v>
      </c>
      <c r="O1033">
        <v>0</v>
      </c>
      <c r="P1033" s="9">
        <v>46147.645682870374</v>
      </c>
    </row>
    <row r="1034" spans="1:16" hidden="1" x14ac:dyDescent="0.25">
      <c r="A1034" t="s">
        <v>9</v>
      </c>
      <c r="B1034" s="4">
        <v>46149</v>
      </c>
      <c r="C1034" t="s">
        <v>1072</v>
      </c>
      <c r="D1034">
        <v>81300</v>
      </c>
      <c r="E1034" t="s">
        <v>42</v>
      </c>
      <c r="F1034">
        <v>3996.75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3996.75</v>
      </c>
      <c r="O1034">
        <v>0</v>
      </c>
      <c r="P1034" s="9">
        <v>25569.229166666668</v>
      </c>
    </row>
    <row r="1035" spans="1:16" hidden="1" x14ac:dyDescent="0.25">
      <c r="A1035" t="s">
        <v>9</v>
      </c>
      <c r="B1035" s="4">
        <v>46149</v>
      </c>
      <c r="C1035" t="s">
        <v>1073</v>
      </c>
      <c r="D1035">
        <v>81400</v>
      </c>
      <c r="E1035" t="s">
        <v>40</v>
      </c>
      <c r="F1035">
        <v>2.25</v>
      </c>
      <c r="G1035">
        <v>329280</v>
      </c>
      <c r="H1035">
        <v>55180</v>
      </c>
      <c r="I1035">
        <v>56000</v>
      </c>
      <c r="J1035">
        <v>24180</v>
      </c>
      <c r="K1035">
        <v>7.85</v>
      </c>
      <c r="L1035">
        <v>7.9</v>
      </c>
      <c r="M1035">
        <v>1.55</v>
      </c>
      <c r="N1035">
        <v>12.9</v>
      </c>
      <c r="O1035">
        <v>0</v>
      </c>
      <c r="P1035" s="9">
        <v>46147.645787037036</v>
      </c>
    </row>
    <row r="1036" spans="1:16" hidden="1" x14ac:dyDescent="0.25">
      <c r="A1036" t="s">
        <v>9</v>
      </c>
      <c r="B1036" s="4">
        <v>46149</v>
      </c>
      <c r="C1036" t="s">
        <v>1074</v>
      </c>
      <c r="D1036">
        <v>81400</v>
      </c>
      <c r="E1036" t="s">
        <v>42</v>
      </c>
      <c r="F1036">
        <v>4096.2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4096.2</v>
      </c>
      <c r="O1036">
        <v>0</v>
      </c>
      <c r="P1036" s="9">
        <v>25569.229166666668</v>
      </c>
    </row>
    <row r="1037" spans="1:16" hidden="1" x14ac:dyDescent="0.25">
      <c r="A1037" t="s">
        <v>9</v>
      </c>
      <c r="B1037" s="4">
        <v>46149</v>
      </c>
      <c r="C1037" t="s">
        <v>1075</v>
      </c>
      <c r="D1037">
        <v>81500</v>
      </c>
      <c r="E1037" t="s">
        <v>40</v>
      </c>
      <c r="F1037">
        <v>1.95</v>
      </c>
      <c r="G1037">
        <v>2898560</v>
      </c>
      <c r="H1037">
        <v>349480</v>
      </c>
      <c r="I1037">
        <v>364940</v>
      </c>
      <c r="J1037">
        <v>242000</v>
      </c>
      <c r="K1037">
        <v>6.95</v>
      </c>
      <c r="L1037">
        <v>7.7</v>
      </c>
      <c r="M1037">
        <v>1.5</v>
      </c>
      <c r="N1037">
        <v>11.4</v>
      </c>
      <c r="O1037">
        <v>0</v>
      </c>
      <c r="P1037" s="9">
        <v>46147.645821759259</v>
      </c>
    </row>
    <row r="1038" spans="1:16" hidden="1" x14ac:dyDescent="0.25">
      <c r="A1038" t="s">
        <v>9</v>
      </c>
      <c r="B1038" s="4">
        <v>46149</v>
      </c>
      <c r="C1038" t="s">
        <v>1076</v>
      </c>
      <c r="D1038">
        <v>81500</v>
      </c>
      <c r="E1038" t="s">
        <v>42</v>
      </c>
      <c r="F1038">
        <v>4195.75</v>
      </c>
      <c r="G1038">
        <v>0</v>
      </c>
      <c r="H1038">
        <v>60</v>
      </c>
      <c r="I1038">
        <v>60</v>
      </c>
      <c r="J1038">
        <v>60</v>
      </c>
      <c r="K1038">
        <v>0</v>
      </c>
      <c r="L1038">
        <v>4300</v>
      </c>
      <c r="M1038">
        <v>4300</v>
      </c>
      <c r="N1038">
        <v>4195.75</v>
      </c>
      <c r="O1038">
        <v>0</v>
      </c>
      <c r="P1038" s="9">
        <v>46142.589641203704</v>
      </c>
    </row>
    <row r="1039" spans="1:16" hidden="1" x14ac:dyDescent="0.25">
      <c r="A1039" t="s">
        <v>9</v>
      </c>
      <c r="B1039" s="4">
        <v>46149</v>
      </c>
      <c r="C1039" t="s">
        <v>1077</v>
      </c>
      <c r="D1039">
        <v>81600</v>
      </c>
      <c r="E1039" t="s">
        <v>40</v>
      </c>
      <c r="F1039">
        <v>1.65</v>
      </c>
      <c r="G1039">
        <v>253300</v>
      </c>
      <c r="H1039">
        <v>29020</v>
      </c>
      <c r="I1039">
        <v>41240</v>
      </c>
      <c r="J1039">
        <v>15880</v>
      </c>
      <c r="K1039">
        <v>10</v>
      </c>
      <c r="L1039">
        <v>10.1</v>
      </c>
      <c r="M1039">
        <v>1.55</v>
      </c>
      <c r="N1039">
        <v>10.7</v>
      </c>
      <c r="O1039">
        <v>0</v>
      </c>
      <c r="P1039" s="9">
        <v>46147.645798611113</v>
      </c>
    </row>
    <row r="1040" spans="1:16" hidden="1" x14ac:dyDescent="0.25">
      <c r="A1040" t="s">
        <v>9</v>
      </c>
      <c r="B1040" s="4">
        <v>46149</v>
      </c>
      <c r="C1040" t="s">
        <v>1078</v>
      </c>
      <c r="D1040">
        <v>81600</v>
      </c>
      <c r="E1040" t="s">
        <v>42</v>
      </c>
      <c r="F1040">
        <v>4295.3500000000004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4295.3500000000004</v>
      </c>
      <c r="O1040">
        <v>0</v>
      </c>
      <c r="P1040" s="9">
        <v>25569.229166666668</v>
      </c>
    </row>
    <row r="1041" spans="1:16" hidden="1" x14ac:dyDescent="0.25">
      <c r="A1041" t="s">
        <v>9</v>
      </c>
      <c r="B1041" s="4">
        <v>46149</v>
      </c>
      <c r="C1041" t="s">
        <v>1079</v>
      </c>
      <c r="D1041">
        <v>81700</v>
      </c>
      <c r="E1041" t="s">
        <v>40</v>
      </c>
      <c r="F1041">
        <v>1.7</v>
      </c>
      <c r="G1041">
        <v>359260</v>
      </c>
      <c r="H1041">
        <v>55120</v>
      </c>
      <c r="I1041">
        <v>63800</v>
      </c>
      <c r="J1041">
        <v>53540</v>
      </c>
      <c r="K1041">
        <v>7.8</v>
      </c>
      <c r="L1041">
        <v>7.8</v>
      </c>
      <c r="M1041">
        <v>1.55</v>
      </c>
      <c r="N1041">
        <v>9.9499999999999993</v>
      </c>
      <c r="O1041">
        <v>0</v>
      </c>
      <c r="P1041" s="9">
        <v>46147.645787037036</v>
      </c>
    </row>
    <row r="1042" spans="1:16" hidden="1" x14ac:dyDescent="0.25">
      <c r="A1042" t="s">
        <v>9</v>
      </c>
      <c r="B1042" s="4">
        <v>46149</v>
      </c>
      <c r="C1042" t="s">
        <v>1080</v>
      </c>
      <c r="D1042">
        <v>81700</v>
      </c>
      <c r="E1042" t="s">
        <v>42</v>
      </c>
      <c r="F1042">
        <v>4395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4395</v>
      </c>
      <c r="O1042">
        <v>0</v>
      </c>
      <c r="P1042" s="9">
        <v>25569.229166666668</v>
      </c>
    </row>
    <row r="1043" spans="1:16" hidden="1" x14ac:dyDescent="0.25">
      <c r="A1043" t="s">
        <v>9</v>
      </c>
      <c r="B1043" s="4">
        <v>46149</v>
      </c>
      <c r="C1043" t="s">
        <v>1081</v>
      </c>
      <c r="D1043">
        <v>81800</v>
      </c>
      <c r="E1043" t="s">
        <v>40</v>
      </c>
      <c r="F1043">
        <v>1.45</v>
      </c>
      <c r="G1043">
        <v>152280</v>
      </c>
      <c r="H1043">
        <v>9580</v>
      </c>
      <c r="I1043">
        <v>21760</v>
      </c>
      <c r="J1043">
        <v>8560</v>
      </c>
      <c r="K1043">
        <v>6.85</v>
      </c>
      <c r="L1043">
        <v>6.85</v>
      </c>
      <c r="M1043">
        <v>1.45</v>
      </c>
      <c r="N1043">
        <v>9.25</v>
      </c>
      <c r="O1043">
        <v>0</v>
      </c>
      <c r="P1043" s="9">
        <v>46147.645787037036</v>
      </c>
    </row>
    <row r="1044" spans="1:16" hidden="1" x14ac:dyDescent="0.25">
      <c r="A1044" t="s">
        <v>9</v>
      </c>
      <c r="B1044" s="4">
        <v>46149</v>
      </c>
      <c r="C1044" t="s">
        <v>1082</v>
      </c>
      <c r="D1044">
        <v>81800</v>
      </c>
      <c r="E1044" t="s">
        <v>42</v>
      </c>
      <c r="F1044">
        <v>4494.7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4494.7</v>
      </c>
      <c r="O1044">
        <v>0</v>
      </c>
      <c r="P1044" s="9">
        <v>25569.229166666668</v>
      </c>
    </row>
    <row r="1045" spans="1:16" hidden="1" x14ac:dyDescent="0.25">
      <c r="A1045" t="s">
        <v>9</v>
      </c>
      <c r="B1045" s="4">
        <v>46149</v>
      </c>
      <c r="C1045" t="s">
        <v>1083</v>
      </c>
      <c r="D1045">
        <v>81900</v>
      </c>
      <c r="E1045" t="s">
        <v>40</v>
      </c>
      <c r="F1045">
        <v>1.3</v>
      </c>
      <c r="G1045">
        <v>537320</v>
      </c>
      <c r="H1045">
        <v>67640</v>
      </c>
      <c r="I1045">
        <v>93620</v>
      </c>
      <c r="J1045">
        <v>32060</v>
      </c>
      <c r="K1045">
        <v>6.95</v>
      </c>
      <c r="L1045">
        <v>6.95</v>
      </c>
      <c r="M1045">
        <v>1.25</v>
      </c>
      <c r="N1045">
        <v>8.4</v>
      </c>
      <c r="O1045">
        <v>0</v>
      </c>
      <c r="P1045" s="9">
        <v>46147.645787037036</v>
      </c>
    </row>
    <row r="1046" spans="1:16" hidden="1" x14ac:dyDescent="0.25">
      <c r="A1046" t="s">
        <v>9</v>
      </c>
      <c r="B1046" s="4">
        <v>46149</v>
      </c>
      <c r="C1046" t="s">
        <v>1084</v>
      </c>
      <c r="D1046">
        <v>81900</v>
      </c>
      <c r="E1046" t="s">
        <v>42</v>
      </c>
      <c r="F1046">
        <v>4594.45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4594.45</v>
      </c>
      <c r="O1046">
        <v>0</v>
      </c>
      <c r="P1046" s="9">
        <v>25569.229166666668</v>
      </c>
    </row>
    <row r="1047" spans="1:16" hidden="1" x14ac:dyDescent="0.25">
      <c r="A1047" t="s">
        <v>9</v>
      </c>
      <c r="B1047" s="4">
        <v>46149</v>
      </c>
      <c r="C1047" t="s">
        <v>1085</v>
      </c>
      <c r="D1047">
        <v>82000</v>
      </c>
      <c r="E1047" t="s">
        <v>40</v>
      </c>
      <c r="F1047">
        <v>1.6</v>
      </c>
      <c r="G1047">
        <v>4306980</v>
      </c>
      <c r="H1047">
        <v>754320</v>
      </c>
      <c r="I1047">
        <v>799920</v>
      </c>
      <c r="J1047">
        <v>653320</v>
      </c>
      <c r="K1047">
        <v>6.9</v>
      </c>
      <c r="L1047">
        <v>6.9</v>
      </c>
      <c r="M1047">
        <v>0.05</v>
      </c>
      <c r="N1047">
        <v>7.95</v>
      </c>
      <c r="O1047">
        <v>0</v>
      </c>
      <c r="P1047" s="9">
        <v>46147.645821759259</v>
      </c>
    </row>
    <row r="1048" spans="1:16" hidden="1" x14ac:dyDescent="0.25">
      <c r="A1048" t="s">
        <v>9</v>
      </c>
      <c r="B1048" s="4">
        <v>46149</v>
      </c>
      <c r="C1048" t="s">
        <v>1086</v>
      </c>
      <c r="D1048">
        <v>82000</v>
      </c>
      <c r="E1048" t="s">
        <v>42</v>
      </c>
      <c r="F1048">
        <v>4694.25</v>
      </c>
      <c r="G1048">
        <v>0</v>
      </c>
      <c r="H1048">
        <v>8620</v>
      </c>
      <c r="I1048">
        <v>8620</v>
      </c>
      <c r="J1048">
        <v>8620</v>
      </c>
      <c r="K1048">
        <v>0</v>
      </c>
      <c r="L1048">
        <v>5643.65</v>
      </c>
      <c r="M1048">
        <v>4692.6000000000004</v>
      </c>
      <c r="N1048">
        <v>4694.25</v>
      </c>
      <c r="O1048">
        <v>0</v>
      </c>
      <c r="P1048" s="9">
        <v>46142.644444444442</v>
      </c>
    </row>
    <row r="1049" spans="1:16" hidden="1" x14ac:dyDescent="0.25">
      <c r="A1049" t="s">
        <v>9</v>
      </c>
      <c r="B1049" s="4">
        <v>46149</v>
      </c>
      <c r="C1049" t="s">
        <v>1087</v>
      </c>
      <c r="D1049">
        <v>82100</v>
      </c>
      <c r="E1049" t="s">
        <v>40</v>
      </c>
      <c r="F1049">
        <v>1.4</v>
      </c>
      <c r="G1049">
        <v>136220</v>
      </c>
      <c r="H1049">
        <v>13640</v>
      </c>
      <c r="I1049">
        <v>27240</v>
      </c>
      <c r="J1049">
        <v>13340</v>
      </c>
      <c r="K1049">
        <v>6.3</v>
      </c>
      <c r="L1049">
        <v>6.3</v>
      </c>
      <c r="M1049">
        <v>1.2</v>
      </c>
      <c r="N1049">
        <v>7.25</v>
      </c>
      <c r="O1049">
        <v>0</v>
      </c>
      <c r="P1049" s="9">
        <v>46147.64576388889</v>
      </c>
    </row>
    <row r="1050" spans="1:16" hidden="1" x14ac:dyDescent="0.25">
      <c r="A1050" t="s">
        <v>9</v>
      </c>
      <c r="B1050" s="4">
        <v>46149</v>
      </c>
      <c r="C1050" t="s">
        <v>1088</v>
      </c>
      <c r="D1050">
        <v>82100</v>
      </c>
      <c r="E1050" t="s">
        <v>42</v>
      </c>
      <c r="F1050">
        <v>4794.05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4794.05</v>
      </c>
      <c r="O1050">
        <v>0</v>
      </c>
      <c r="P1050" s="9">
        <v>25569.229166666668</v>
      </c>
    </row>
    <row r="1051" spans="1:16" hidden="1" x14ac:dyDescent="0.25">
      <c r="A1051" t="s">
        <v>9</v>
      </c>
      <c r="B1051" s="4">
        <v>46149</v>
      </c>
      <c r="C1051" t="s">
        <v>1089</v>
      </c>
      <c r="D1051">
        <v>82200</v>
      </c>
      <c r="E1051" t="s">
        <v>40</v>
      </c>
      <c r="F1051">
        <v>1.65</v>
      </c>
      <c r="G1051">
        <v>361380</v>
      </c>
      <c r="H1051">
        <v>92420</v>
      </c>
      <c r="I1051">
        <v>97180</v>
      </c>
      <c r="J1051">
        <v>58360</v>
      </c>
      <c r="K1051">
        <v>6.1</v>
      </c>
      <c r="L1051">
        <v>6.1</v>
      </c>
      <c r="M1051">
        <v>1.45</v>
      </c>
      <c r="N1051">
        <v>6.1</v>
      </c>
      <c r="O1051">
        <v>0</v>
      </c>
      <c r="P1051" s="9">
        <v>46147.645787037036</v>
      </c>
    </row>
    <row r="1052" spans="1:16" hidden="1" x14ac:dyDescent="0.25">
      <c r="A1052" t="s">
        <v>9</v>
      </c>
      <c r="B1052" s="4">
        <v>46149</v>
      </c>
      <c r="C1052" t="s">
        <v>1090</v>
      </c>
      <c r="D1052">
        <v>82200</v>
      </c>
      <c r="E1052" t="s">
        <v>42</v>
      </c>
      <c r="F1052">
        <v>4893.8999999999996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4893.8999999999996</v>
      </c>
      <c r="O1052">
        <v>0</v>
      </c>
      <c r="P1052" s="9">
        <v>25569.229166666668</v>
      </c>
    </row>
    <row r="1053" spans="1:16" hidden="1" x14ac:dyDescent="0.25">
      <c r="A1053" t="s">
        <v>9</v>
      </c>
      <c r="B1053" s="4">
        <v>46149</v>
      </c>
      <c r="C1053" t="s">
        <v>1091</v>
      </c>
      <c r="D1053">
        <v>82300</v>
      </c>
      <c r="E1053" t="s">
        <v>40</v>
      </c>
      <c r="F1053">
        <v>1.75</v>
      </c>
      <c r="G1053">
        <v>128340</v>
      </c>
      <c r="H1053">
        <v>16220</v>
      </c>
      <c r="I1053">
        <v>27640</v>
      </c>
      <c r="J1053">
        <v>16220</v>
      </c>
      <c r="K1053">
        <v>3.55</v>
      </c>
      <c r="L1053">
        <v>4.7</v>
      </c>
      <c r="M1053">
        <v>1.2</v>
      </c>
      <c r="N1053">
        <v>5.95</v>
      </c>
      <c r="O1053">
        <v>0</v>
      </c>
      <c r="P1053" s="9">
        <v>46147.645752314813</v>
      </c>
    </row>
    <row r="1054" spans="1:16" hidden="1" x14ac:dyDescent="0.25">
      <c r="A1054" t="s">
        <v>9</v>
      </c>
      <c r="B1054" s="4">
        <v>46149</v>
      </c>
      <c r="C1054" t="s">
        <v>1092</v>
      </c>
      <c r="D1054">
        <v>82300</v>
      </c>
      <c r="E1054" t="s">
        <v>42</v>
      </c>
      <c r="F1054">
        <v>4993.75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4993.75</v>
      </c>
      <c r="O1054">
        <v>0</v>
      </c>
      <c r="P1054" s="9">
        <v>25569.229166666668</v>
      </c>
    </row>
    <row r="1055" spans="1:16" hidden="1" x14ac:dyDescent="0.25">
      <c r="A1055" t="s">
        <v>9</v>
      </c>
      <c r="B1055" s="4">
        <v>46149</v>
      </c>
      <c r="C1055" t="s">
        <v>1093</v>
      </c>
      <c r="D1055">
        <v>82400</v>
      </c>
      <c r="E1055" t="s">
        <v>40</v>
      </c>
      <c r="F1055">
        <v>1.4</v>
      </c>
      <c r="G1055">
        <v>155380</v>
      </c>
      <c r="H1055">
        <v>26540</v>
      </c>
      <c r="I1055">
        <v>36160</v>
      </c>
      <c r="J1055">
        <v>25580</v>
      </c>
      <c r="K1055">
        <v>5.35</v>
      </c>
      <c r="L1055">
        <v>5.35</v>
      </c>
      <c r="M1055">
        <v>1.3</v>
      </c>
      <c r="N1055">
        <v>5.7</v>
      </c>
      <c r="O1055">
        <v>0</v>
      </c>
      <c r="P1055" s="9">
        <v>46147.645810185182</v>
      </c>
    </row>
    <row r="1056" spans="1:16" hidden="1" x14ac:dyDescent="0.25">
      <c r="A1056" t="s">
        <v>9</v>
      </c>
      <c r="B1056" s="4">
        <v>46149</v>
      </c>
      <c r="C1056" t="s">
        <v>1094</v>
      </c>
      <c r="D1056">
        <v>82400</v>
      </c>
      <c r="E1056" t="s">
        <v>42</v>
      </c>
      <c r="F1056">
        <v>5093.6499999999996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5093.6499999999996</v>
      </c>
      <c r="O1056">
        <v>0</v>
      </c>
      <c r="P1056" s="9">
        <v>25569.229166666668</v>
      </c>
    </row>
    <row r="1057" spans="1:16" hidden="1" x14ac:dyDescent="0.25">
      <c r="A1057" t="s">
        <v>9</v>
      </c>
      <c r="B1057" s="4">
        <v>46149</v>
      </c>
      <c r="C1057" t="s">
        <v>1095</v>
      </c>
      <c r="D1057">
        <v>82500</v>
      </c>
      <c r="E1057" t="s">
        <v>40</v>
      </c>
      <c r="F1057">
        <v>1.25</v>
      </c>
      <c r="G1057">
        <v>1564780</v>
      </c>
      <c r="H1057">
        <v>242840</v>
      </c>
      <c r="I1057">
        <v>326060</v>
      </c>
      <c r="J1057">
        <v>239440</v>
      </c>
      <c r="K1057">
        <v>4.45</v>
      </c>
      <c r="L1057">
        <v>4.7</v>
      </c>
      <c r="M1057">
        <v>1</v>
      </c>
      <c r="N1057">
        <v>5.35</v>
      </c>
      <c r="O1057">
        <v>0</v>
      </c>
      <c r="P1057" s="9">
        <v>46147.645821759259</v>
      </c>
    </row>
    <row r="1058" spans="1:16" hidden="1" x14ac:dyDescent="0.25">
      <c r="A1058" t="s">
        <v>9</v>
      </c>
      <c r="B1058" s="4">
        <v>46149</v>
      </c>
      <c r="C1058" t="s">
        <v>1096</v>
      </c>
      <c r="D1058">
        <v>82500</v>
      </c>
      <c r="E1058" t="s">
        <v>42</v>
      </c>
      <c r="F1058">
        <v>5193.55</v>
      </c>
      <c r="G1058">
        <v>0</v>
      </c>
      <c r="H1058">
        <v>1160</v>
      </c>
      <c r="I1058">
        <v>1160</v>
      </c>
      <c r="J1058">
        <v>1160</v>
      </c>
      <c r="K1058">
        <v>0</v>
      </c>
      <c r="L1058">
        <v>5670.1</v>
      </c>
      <c r="M1058">
        <v>5151</v>
      </c>
      <c r="N1058">
        <v>5193.55</v>
      </c>
      <c r="O1058">
        <v>0</v>
      </c>
      <c r="P1058" s="9">
        <v>46142.618009259262</v>
      </c>
    </row>
    <row r="1059" spans="1:16" hidden="1" x14ac:dyDescent="0.25">
      <c r="A1059" t="s">
        <v>9</v>
      </c>
      <c r="B1059" s="4">
        <v>46149</v>
      </c>
      <c r="C1059" t="s">
        <v>1097</v>
      </c>
      <c r="D1059">
        <v>82600</v>
      </c>
      <c r="E1059" t="s">
        <v>40</v>
      </c>
      <c r="F1059">
        <v>1.5</v>
      </c>
      <c r="G1059">
        <v>67400</v>
      </c>
      <c r="H1059">
        <v>8340</v>
      </c>
      <c r="I1059">
        <v>9580</v>
      </c>
      <c r="J1059">
        <v>7620</v>
      </c>
      <c r="K1059">
        <v>5.25</v>
      </c>
      <c r="L1059">
        <v>5.25</v>
      </c>
      <c r="M1059">
        <v>1.1499999999999999</v>
      </c>
      <c r="N1059">
        <v>5.25</v>
      </c>
      <c r="O1059">
        <v>0</v>
      </c>
      <c r="P1059" s="9">
        <v>46147.645509259259</v>
      </c>
    </row>
    <row r="1060" spans="1:16" hidden="1" x14ac:dyDescent="0.25">
      <c r="A1060" t="s">
        <v>9</v>
      </c>
      <c r="B1060" s="4">
        <v>46149</v>
      </c>
      <c r="C1060" t="s">
        <v>1098</v>
      </c>
      <c r="D1060">
        <v>82600</v>
      </c>
      <c r="E1060" t="s">
        <v>42</v>
      </c>
      <c r="F1060">
        <v>5293.45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5293.45</v>
      </c>
      <c r="O1060">
        <v>0</v>
      </c>
      <c r="P1060" s="9">
        <v>25569.229166666668</v>
      </c>
    </row>
    <row r="1061" spans="1:16" hidden="1" x14ac:dyDescent="0.25">
      <c r="A1061" t="s">
        <v>9</v>
      </c>
      <c r="B1061" s="4">
        <v>46149</v>
      </c>
      <c r="C1061" t="s">
        <v>1099</v>
      </c>
      <c r="D1061">
        <v>82700</v>
      </c>
      <c r="E1061" t="s">
        <v>40</v>
      </c>
      <c r="F1061">
        <v>1.3</v>
      </c>
      <c r="G1061">
        <v>58840</v>
      </c>
      <c r="H1061">
        <v>13680</v>
      </c>
      <c r="I1061">
        <v>13680</v>
      </c>
      <c r="J1061">
        <v>6960</v>
      </c>
      <c r="K1061">
        <v>4.05</v>
      </c>
      <c r="L1061">
        <v>4.5999999999999996</v>
      </c>
      <c r="M1061">
        <v>1.2</v>
      </c>
      <c r="N1061">
        <v>4.8</v>
      </c>
      <c r="O1061">
        <v>0</v>
      </c>
      <c r="P1061" s="9">
        <v>46147.645694444444</v>
      </c>
    </row>
    <row r="1062" spans="1:16" hidden="1" x14ac:dyDescent="0.25">
      <c r="A1062" t="s">
        <v>9</v>
      </c>
      <c r="B1062" s="4">
        <v>46149</v>
      </c>
      <c r="C1062" t="s">
        <v>1100</v>
      </c>
      <c r="D1062">
        <v>82700</v>
      </c>
      <c r="E1062" t="s">
        <v>42</v>
      </c>
      <c r="F1062">
        <v>5393.35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5393.35</v>
      </c>
      <c r="O1062">
        <v>0</v>
      </c>
      <c r="P1062" s="9">
        <v>25569.229166666668</v>
      </c>
    </row>
    <row r="1063" spans="1:16" hidden="1" x14ac:dyDescent="0.25">
      <c r="A1063" t="s">
        <v>9</v>
      </c>
      <c r="B1063" s="4">
        <v>46149</v>
      </c>
      <c r="C1063" t="s">
        <v>1101</v>
      </c>
      <c r="D1063">
        <v>82800</v>
      </c>
      <c r="E1063" t="s">
        <v>40</v>
      </c>
      <c r="F1063">
        <v>1.4</v>
      </c>
      <c r="G1063">
        <v>161540</v>
      </c>
      <c r="H1063">
        <v>33140</v>
      </c>
      <c r="I1063">
        <v>39700</v>
      </c>
      <c r="J1063">
        <v>16800</v>
      </c>
      <c r="K1063">
        <v>5.15</v>
      </c>
      <c r="L1063">
        <v>5.15</v>
      </c>
      <c r="M1063">
        <v>1.2</v>
      </c>
      <c r="N1063">
        <v>5.0999999999999996</v>
      </c>
      <c r="O1063">
        <v>0</v>
      </c>
      <c r="P1063" s="9">
        <v>46147.645752314813</v>
      </c>
    </row>
    <row r="1064" spans="1:16" hidden="1" x14ac:dyDescent="0.25">
      <c r="A1064" t="s">
        <v>9</v>
      </c>
      <c r="B1064" s="4">
        <v>46149</v>
      </c>
      <c r="C1064" t="s">
        <v>1102</v>
      </c>
      <c r="D1064">
        <v>82800</v>
      </c>
      <c r="E1064" t="s">
        <v>42</v>
      </c>
      <c r="F1064">
        <v>5493.3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5493.3</v>
      </c>
      <c r="O1064">
        <v>0</v>
      </c>
      <c r="P1064" s="9">
        <v>25569.229166666668</v>
      </c>
    </row>
    <row r="1065" spans="1:16" hidden="1" x14ac:dyDescent="0.25">
      <c r="A1065" t="s">
        <v>9</v>
      </c>
      <c r="B1065" s="4">
        <v>46149</v>
      </c>
      <c r="C1065" t="s">
        <v>1103</v>
      </c>
      <c r="D1065">
        <v>82900</v>
      </c>
      <c r="E1065" t="s">
        <v>40</v>
      </c>
      <c r="F1065">
        <v>1.1499999999999999</v>
      </c>
      <c r="G1065">
        <v>294300</v>
      </c>
      <c r="H1065">
        <v>26580</v>
      </c>
      <c r="I1065">
        <v>69360</v>
      </c>
      <c r="J1065">
        <v>23820</v>
      </c>
      <c r="K1065">
        <v>5</v>
      </c>
      <c r="L1065">
        <v>5</v>
      </c>
      <c r="M1065">
        <v>1.1499999999999999</v>
      </c>
      <c r="N1065">
        <v>4.8499999999999996</v>
      </c>
      <c r="O1065">
        <v>0</v>
      </c>
      <c r="P1065" s="9">
        <v>46147.645752314813</v>
      </c>
    </row>
    <row r="1066" spans="1:16" hidden="1" x14ac:dyDescent="0.25">
      <c r="A1066" t="s">
        <v>9</v>
      </c>
      <c r="B1066" s="4">
        <v>46149</v>
      </c>
      <c r="C1066" t="s">
        <v>1104</v>
      </c>
      <c r="D1066">
        <v>82900</v>
      </c>
      <c r="E1066" t="s">
        <v>42</v>
      </c>
      <c r="F1066">
        <v>5593.25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5593.25</v>
      </c>
      <c r="O1066">
        <v>0</v>
      </c>
      <c r="P1066" s="9">
        <v>25569.229166666668</v>
      </c>
    </row>
    <row r="1067" spans="1:16" hidden="1" x14ac:dyDescent="0.25">
      <c r="A1067" t="s">
        <v>9</v>
      </c>
      <c r="B1067" s="4">
        <v>46149</v>
      </c>
      <c r="C1067" t="s">
        <v>1105</v>
      </c>
      <c r="D1067">
        <v>83000</v>
      </c>
      <c r="E1067" t="s">
        <v>40</v>
      </c>
      <c r="F1067">
        <v>1</v>
      </c>
      <c r="G1067">
        <v>1623060</v>
      </c>
      <c r="H1067">
        <v>416720</v>
      </c>
      <c r="I1067">
        <v>453800</v>
      </c>
      <c r="J1067">
        <v>295780</v>
      </c>
      <c r="K1067">
        <v>3.85</v>
      </c>
      <c r="L1067">
        <v>3.9</v>
      </c>
      <c r="M1067">
        <v>0.95</v>
      </c>
      <c r="N1067">
        <v>4.2</v>
      </c>
      <c r="O1067">
        <v>0</v>
      </c>
      <c r="P1067" s="9">
        <v>46147.645821759259</v>
      </c>
    </row>
    <row r="1068" spans="1:16" hidden="1" x14ac:dyDescent="0.25">
      <c r="A1068" t="s">
        <v>9</v>
      </c>
      <c r="B1068" s="4">
        <v>46149</v>
      </c>
      <c r="C1068" t="s">
        <v>1106</v>
      </c>
      <c r="D1068">
        <v>83000</v>
      </c>
      <c r="E1068" t="s">
        <v>42</v>
      </c>
      <c r="F1068">
        <v>5821.95</v>
      </c>
      <c r="G1068">
        <v>320</v>
      </c>
      <c r="H1068">
        <v>16160</v>
      </c>
      <c r="I1068">
        <v>16380</v>
      </c>
      <c r="J1068">
        <v>16160</v>
      </c>
      <c r="K1068">
        <v>6305.05</v>
      </c>
      <c r="L1068">
        <v>6305.05</v>
      </c>
      <c r="M1068">
        <v>5816.35</v>
      </c>
      <c r="N1068">
        <v>5150</v>
      </c>
      <c r="O1068">
        <v>0</v>
      </c>
      <c r="P1068" s="9">
        <v>46147.643090277779</v>
      </c>
    </row>
    <row r="1069" spans="1:16" hidden="1" x14ac:dyDescent="0.25">
      <c r="A1069" t="s">
        <v>9</v>
      </c>
      <c r="B1069" s="4">
        <v>46149</v>
      </c>
      <c r="C1069" t="s">
        <v>1107</v>
      </c>
      <c r="D1069">
        <v>83100</v>
      </c>
      <c r="E1069" t="s">
        <v>40</v>
      </c>
      <c r="F1069">
        <v>1.35</v>
      </c>
      <c r="G1069">
        <v>358560</v>
      </c>
      <c r="H1069">
        <v>138920</v>
      </c>
      <c r="I1069">
        <v>143220</v>
      </c>
      <c r="J1069">
        <v>73740</v>
      </c>
      <c r="K1069">
        <v>4.25</v>
      </c>
      <c r="L1069">
        <v>4.25</v>
      </c>
      <c r="M1069">
        <v>1.2</v>
      </c>
      <c r="N1069">
        <v>4.3</v>
      </c>
      <c r="O1069">
        <v>0</v>
      </c>
      <c r="P1069" s="9">
        <v>46147.645787037036</v>
      </c>
    </row>
    <row r="1070" spans="1:16" hidden="1" x14ac:dyDescent="0.25">
      <c r="A1070" t="s">
        <v>9</v>
      </c>
      <c r="B1070" s="4">
        <v>46149</v>
      </c>
      <c r="C1070" t="s">
        <v>1108</v>
      </c>
      <c r="D1070">
        <v>83100</v>
      </c>
      <c r="E1070" t="s">
        <v>42</v>
      </c>
      <c r="F1070">
        <v>5793.1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5793.1</v>
      </c>
      <c r="O1070">
        <v>0</v>
      </c>
      <c r="P1070" s="9">
        <v>25569.229166666668</v>
      </c>
    </row>
    <row r="1071" spans="1:16" hidden="1" x14ac:dyDescent="0.25">
      <c r="A1071" t="s">
        <v>9</v>
      </c>
      <c r="B1071" s="4">
        <v>46149</v>
      </c>
      <c r="C1071" t="s">
        <v>1109</v>
      </c>
      <c r="D1071">
        <v>83200</v>
      </c>
      <c r="E1071" t="s">
        <v>40</v>
      </c>
      <c r="F1071">
        <v>1.35</v>
      </c>
      <c r="G1071">
        <v>228640</v>
      </c>
      <c r="H1071">
        <v>27500</v>
      </c>
      <c r="I1071">
        <v>52200</v>
      </c>
      <c r="J1071">
        <v>18660</v>
      </c>
      <c r="K1071">
        <v>4.95</v>
      </c>
      <c r="L1071">
        <v>4.95</v>
      </c>
      <c r="M1071">
        <v>0.95</v>
      </c>
      <c r="N1071">
        <v>3.85</v>
      </c>
      <c r="O1071">
        <v>0</v>
      </c>
      <c r="P1071" s="9">
        <v>46147.645752314813</v>
      </c>
    </row>
    <row r="1072" spans="1:16" hidden="1" x14ac:dyDescent="0.25">
      <c r="A1072" t="s">
        <v>9</v>
      </c>
      <c r="B1072" s="4">
        <v>46149</v>
      </c>
      <c r="C1072" t="s">
        <v>1110</v>
      </c>
      <c r="D1072">
        <v>83200</v>
      </c>
      <c r="E1072" t="s">
        <v>42</v>
      </c>
      <c r="F1072">
        <v>5893.05</v>
      </c>
      <c r="G1072">
        <v>0</v>
      </c>
      <c r="H1072">
        <v>100</v>
      </c>
      <c r="I1072">
        <v>100</v>
      </c>
      <c r="J1072">
        <v>100</v>
      </c>
      <c r="K1072">
        <v>0</v>
      </c>
      <c r="L1072">
        <v>4600</v>
      </c>
      <c r="M1072">
        <v>4600</v>
      </c>
      <c r="N1072">
        <v>5893.05</v>
      </c>
      <c r="O1072">
        <v>0</v>
      </c>
      <c r="P1072" s="9">
        <v>46134.432129629633</v>
      </c>
    </row>
    <row r="1073" spans="1:16" hidden="1" x14ac:dyDescent="0.25">
      <c r="A1073" t="s">
        <v>9</v>
      </c>
      <c r="B1073" s="4">
        <v>46149</v>
      </c>
      <c r="C1073" t="s">
        <v>1111</v>
      </c>
      <c r="D1073">
        <v>83300</v>
      </c>
      <c r="E1073" t="s">
        <v>40</v>
      </c>
      <c r="F1073">
        <v>1</v>
      </c>
      <c r="G1073">
        <v>41120</v>
      </c>
      <c r="H1073">
        <v>5520</v>
      </c>
      <c r="I1073">
        <v>10300</v>
      </c>
      <c r="J1073">
        <v>3120</v>
      </c>
      <c r="K1073">
        <v>4.95</v>
      </c>
      <c r="L1073">
        <v>4.95</v>
      </c>
      <c r="M1073">
        <v>0.85</v>
      </c>
      <c r="N1073">
        <v>3.7</v>
      </c>
      <c r="O1073">
        <v>0</v>
      </c>
      <c r="P1073" s="9">
        <v>46147.64570601852</v>
      </c>
    </row>
    <row r="1074" spans="1:16" hidden="1" x14ac:dyDescent="0.25">
      <c r="A1074" t="s">
        <v>9</v>
      </c>
      <c r="B1074" s="4">
        <v>46149</v>
      </c>
      <c r="C1074" t="s">
        <v>1112</v>
      </c>
      <c r="D1074">
        <v>83300</v>
      </c>
      <c r="E1074" t="s">
        <v>42</v>
      </c>
      <c r="F1074">
        <v>5993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5993</v>
      </c>
      <c r="O1074">
        <v>0</v>
      </c>
      <c r="P1074" s="9">
        <v>25569.229166666668</v>
      </c>
    </row>
    <row r="1075" spans="1:16" hidden="1" x14ac:dyDescent="0.25">
      <c r="A1075" t="s">
        <v>9</v>
      </c>
      <c r="B1075" s="4">
        <v>46149</v>
      </c>
      <c r="C1075" t="s">
        <v>1113</v>
      </c>
      <c r="D1075">
        <v>83400</v>
      </c>
      <c r="E1075" t="s">
        <v>40</v>
      </c>
      <c r="F1075">
        <v>0.8</v>
      </c>
      <c r="G1075">
        <v>47860</v>
      </c>
      <c r="H1075">
        <v>9320</v>
      </c>
      <c r="I1075">
        <v>12360</v>
      </c>
      <c r="J1075">
        <v>8580</v>
      </c>
      <c r="K1075">
        <v>3</v>
      </c>
      <c r="L1075">
        <v>3.3</v>
      </c>
      <c r="M1075">
        <v>0.8</v>
      </c>
      <c r="N1075">
        <v>3.4</v>
      </c>
      <c r="O1075">
        <v>0</v>
      </c>
      <c r="P1075" s="9">
        <v>46147.645694444444</v>
      </c>
    </row>
    <row r="1076" spans="1:16" hidden="1" x14ac:dyDescent="0.25">
      <c r="A1076" t="s">
        <v>9</v>
      </c>
      <c r="B1076" s="4">
        <v>46149</v>
      </c>
      <c r="C1076" t="s">
        <v>1114</v>
      </c>
      <c r="D1076">
        <v>83400</v>
      </c>
      <c r="E1076" t="s">
        <v>42</v>
      </c>
      <c r="F1076">
        <v>6092.95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6092.95</v>
      </c>
      <c r="O1076">
        <v>0</v>
      </c>
      <c r="P1076" s="9">
        <v>25569.229166666668</v>
      </c>
    </row>
    <row r="1077" spans="1:16" hidden="1" x14ac:dyDescent="0.25">
      <c r="A1077" t="s">
        <v>9</v>
      </c>
      <c r="B1077" s="4">
        <v>46149</v>
      </c>
      <c r="C1077" t="s">
        <v>1115</v>
      </c>
      <c r="D1077">
        <v>83500</v>
      </c>
      <c r="E1077" t="s">
        <v>40</v>
      </c>
      <c r="F1077">
        <v>0.8</v>
      </c>
      <c r="G1077">
        <v>536040</v>
      </c>
      <c r="H1077">
        <v>113560</v>
      </c>
      <c r="I1077">
        <v>113560</v>
      </c>
      <c r="J1077">
        <v>72180</v>
      </c>
      <c r="K1077">
        <v>3.35</v>
      </c>
      <c r="L1077">
        <v>3.35</v>
      </c>
      <c r="M1077">
        <v>0.75</v>
      </c>
      <c r="N1077">
        <v>3.3</v>
      </c>
      <c r="O1077">
        <v>0</v>
      </c>
      <c r="P1077" s="9">
        <v>46147.645775462966</v>
      </c>
    </row>
    <row r="1078" spans="1:16" hidden="1" x14ac:dyDescent="0.25">
      <c r="A1078" t="s">
        <v>9</v>
      </c>
      <c r="B1078" s="4">
        <v>46149</v>
      </c>
      <c r="C1078" t="s">
        <v>1116</v>
      </c>
      <c r="D1078">
        <v>83500</v>
      </c>
      <c r="E1078" t="s">
        <v>42</v>
      </c>
      <c r="F1078">
        <v>6192.9</v>
      </c>
      <c r="G1078">
        <v>0</v>
      </c>
      <c r="H1078">
        <v>40</v>
      </c>
      <c r="I1078">
        <v>40</v>
      </c>
      <c r="J1078">
        <v>40</v>
      </c>
      <c r="K1078">
        <v>0</v>
      </c>
      <c r="L1078">
        <v>6200</v>
      </c>
      <c r="M1078">
        <v>6166.2</v>
      </c>
      <c r="N1078">
        <v>6192.9</v>
      </c>
      <c r="O1078">
        <v>0</v>
      </c>
      <c r="P1078" s="9">
        <v>46142.58252314815</v>
      </c>
    </row>
    <row r="1079" spans="1:16" hidden="1" x14ac:dyDescent="0.25">
      <c r="A1079" t="s">
        <v>9</v>
      </c>
      <c r="B1079" s="4">
        <v>46149</v>
      </c>
      <c r="C1079" t="s">
        <v>1117</v>
      </c>
      <c r="D1079">
        <v>83600</v>
      </c>
      <c r="E1079" t="s">
        <v>40</v>
      </c>
      <c r="F1079">
        <v>0.9</v>
      </c>
      <c r="G1079">
        <v>35880</v>
      </c>
      <c r="H1079">
        <v>11980</v>
      </c>
      <c r="I1079">
        <v>12020</v>
      </c>
      <c r="J1079">
        <v>5220</v>
      </c>
      <c r="K1079">
        <v>3</v>
      </c>
      <c r="L1079">
        <v>3</v>
      </c>
      <c r="M1079">
        <v>0.9</v>
      </c>
      <c r="N1079">
        <v>3.45</v>
      </c>
      <c r="O1079">
        <v>0</v>
      </c>
      <c r="P1079" s="9">
        <v>46147.64571759259</v>
      </c>
    </row>
    <row r="1080" spans="1:16" hidden="1" x14ac:dyDescent="0.25">
      <c r="A1080" t="s">
        <v>9</v>
      </c>
      <c r="B1080" s="4">
        <v>46149</v>
      </c>
      <c r="C1080" t="s">
        <v>1118</v>
      </c>
      <c r="D1080">
        <v>83600</v>
      </c>
      <c r="E1080" t="s">
        <v>42</v>
      </c>
      <c r="F1080">
        <v>6292.85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6292.85</v>
      </c>
      <c r="O1080">
        <v>0</v>
      </c>
      <c r="P1080" s="9">
        <v>25569.229166666668</v>
      </c>
    </row>
    <row r="1081" spans="1:16" hidden="1" x14ac:dyDescent="0.25">
      <c r="A1081" t="s">
        <v>9</v>
      </c>
      <c r="B1081" s="4">
        <v>46149</v>
      </c>
      <c r="C1081" t="s">
        <v>1119</v>
      </c>
      <c r="D1081">
        <v>83700</v>
      </c>
      <c r="E1081" t="s">
        <v>40</v>
      </c>
      <c r="F1081">
        <v>0.8</v>
      </c>
      <c r="G1081">
        <v>31480</v>
      </c>
      <c r="H1081">
        <v>6740</v>
      </c>
      <c r="I1081">
        <v>7640</v>
      </c>
      <c r="J1081">
        <v>3940</v>
      </c>
      <c r="K1081">
        <v>2.2000000000000002</v>
      </c>
      <c r="L1081">
        <v>2.7</v>
      </c>
      <c r="M1081">
        <v>0.8</v>
      </c>
      <c r="N1081">
        <v>3.15</v>
      </c>
      <c r="O1081">
        <v>0</v>
      </c>
      <c r="P1081" s="9">
        <v>46147.64571759259</v>
      </c>
    </row>
    <row r="1082" spans="1:16" hidden="1" x14ac:dyDescent="0.25">
      <c r="A1082" t="s">
        <v>9</v>
      </c>
      <c r="B1082" s="4">
        <v>46149</v>
      </c>
      <c r="C1082" t="s">
        <v>1120</v>
      </c>
      <c r="D1082">
        <v>83700</v>
      </c>
      <c r="E1082" t="s">
        <v>42</v>
      </c>
      <c r="F1082">
        <v>6392.8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6392.8</v>
      </c>
      <c r="O1082">
        <v>0</v>
      </c>
      <c r="P1082" s="9">
        <v>25569.229166666668</v>
      </c>
    </row>
    <row r="1083" spans="1:16" hidden="1" x14ac:dyDescent="0.25">
      <c r="A1083" t="s">
        <v>9</v>
      </c>
      <c r="B1083" s="4">
        <v>46149</v>
      </c>
      <c r="C1083" t="s">
        <v>1121</v>
      </c>
      <c r="D1083">
        <v>83800</v>
      </c>
      <c r="E1083" t="s">
        <v>40</v>
      </c>
      <c r="F1083">
        <v>1</v>
      </c>
      <c r="G1083">
        <v>14340</v>
      </c>
      <c r="H1083">
        <v>2140</v>
      </c>
      <c r="I1083">
        <v>3180</v>
      </c>
      <c r="J1083">
        <v>1640</v>
      </c>
      <c r="K1083">
        <v>1.65</v>
      </c>
      <c r="L1083">
        <v>2.4500000000000002</v>
      </c>
      <c r="M1083">
        <v>0.9</v>
      </c>
      <c r="N1083">
        <v>2.9</v>
      </c>
      <c r="O1083">
        <v>0</v>
      </c>
      <c r="P1083" s="9">
        <v>46147.64571759259</v>
      </c>
    </row>
    <row r="1084" spans="1:16" hidden="1" x14ac:dyDescent="0.25">
      <c r="A1084" t="s">
        <v>9</v>
      </c>
      <c r="B1084" s="4">
        <v>46149</v>
      </c>
      <c r="C1084" t="s">
        <v>1122</v>
      </c>
      <c r="D1084">
        <v>83800</v>
      </c>
      <c r="E1084" t="s">
        <v>42</v>
      </c>
      <c r="F1084">
        <v>6492.75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6492.75</v>
      </c>
      <c r="O1084">
        <v>0</v>
      </c>
      <c r="P1084" s="9">
        <v>25569.229166666668</v>
      </c>
    </row>
    <row r="1085" spans="1:16" hidden="1" x14ac:dyDescent="0.25">
      <c r="A1085" t="s">
        <v>9</v>
      </c>
      <c r="B1085" s="4">
        <v>46149</v>
      </c>
      <c r="C1085" t="s">
        <v>1123</v>
      </c>
      <c r="D1085">
        <v>83900</v>
      </c>
      <c r="E1085" t="s">
        <v>40</v>
      </c>
      <c r="F1085">
        <v>1.1000000000000001</v>
      </c>
      <c r="G1085">
        <v>21740</v>
      </c>
      <c r="H1085">
        <v>5880</v>
      </c>
      <c r="I1085">
        <v>7600</v>
      </c>
      <c r="J1085">
        <v>3920</v>
      </c>
      <c r="K1085">
        <v>2.1</v>
      </c>
      <c r="L1085">
        <v>2.8</v>
      </c>
      <c r="M1085">
        <v>0.8</v>
      </c>
      <c r="N1085">
        <v>3.1</v>
      </c>
      <c r="O1085">
        <v>0</v>
      </c>
      <c r="P1085" s="9">
        <v>46147.64571759259</v>
      </c>
    </row>
    <row r="1086" spans="1:16" hidden="1" x14ac:dyDescent="0.25">
      <c r="A1086" t="s">
        <v>9</v>
      </c>
      <c r="B1086" s="4">
        <v>46149</v>
      </c>
      <c r="C1086" t="s">
        <v>1124</v>
      </c>
      <c r="D1086">
        <v>83900</v>
      </c>
      <c r="E1086" t="s">
        <v>42</v>
      </c>
      <c r="F1086">
        <v>6592.7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6592.7</v>
      </c>
      <c r="O1086">
        <v>0</v>
      </c>
      <c r="P1086" s="9">
        <v>25569.229166666668</v>
      </c>
    </row>
    <row r="1087" spans="1:16" hidden="1" x14ac:dyDescent="0.25">
      <c r="A1087" t="s">
        <v>9</v>
      </c>
      <c r="B1087" s="4">
        <v>46149</v>
      </c>
      <c r="C1087" t="s">
        <v>1125</v>
      </c>
      <c r="D1087">
        <v>84000</v>
      </c>
      <c r="E1087" t="s">
        <v>40</v>
      </c>
      <c r="F1087">
        <v>0.65</v>
      </c>
      <c r="G1087">
        <v>649540</v>
      </c>
      <c r="H1087">
        <v>107480</v>
      </c>
      <c r="I1087">
        <v>222860</v>
      </c>
      <c r="J1087">
        <v>105240</v>
      </c>
      <c r="K1087">
        <v>2.75</v>
      </c>
      <c r="L1087">
        <v>2.75</v>
      </c>
      <c r="M1087">
        <v>0.65</v>
      </c>
      <c r="N1087">
        <v>2.5499999999999998</v>
      </c>
      <c r="O1087">
        <v>0</v>
      </c>
      <c r="P1087" s="9">
        <v>46147.645798611113</v>
      </c>
    </row>
    <row r="1088" spans="1:16" hidden="1" x14ac:dyDescent="0.25">
      <c r="A1088" t="s">
        <v>9</v>
      </c>
      <c r="B1088" s="4">
        <v>46149</v>
      </c>
      <c r="C1088" t="s">
        <v>1126</v>
      </c>
      <c r="D1088">
        <v>84000</v>
      </c>
      <c r="E1088" t="s">
        <v>42</v>
      </c>
      <c r="F1088">
        <v>6692.65</v>
      </c>
      <c r="G1088">
        <v>0</v>
      </c>
      <c r="H1088">
        <v>600</v>
      </c>
      <c r="I1088">
        <v>600</v>
      </c>
      <c r="J1088">
        <v>600</v>
      </c>
      <c r="K1088">
        <v>0</v>
      </c>
      <c r="L1088">
        <v>7214.15</v>
      </c>
      <c r="M1088">
        <v>6653.75</v>
      </c>
      <c r="N1088">
        <v>6692.65</v>
      </c>
      <c r="O1088">
        <v>0</v>
      </c>
      <c r="P1088" s="9">
        <v>46142.624236111114</v>
      </c>
    </row>
    <row r="1089" spans="1:16" hidden="1" x14ac:dyDescent="0.25">
      <c r="A1089" t="s">
        <v>9</v>
      </c>
      <c r="B1089" s="4">
        <v>46149</v>
      </c>
      <c r="C1089" t="s">
        <v>1127</v>
      </c>
      <c r="D1089">
        <v>84100</v>
      </c>
      <c r="E1089" t="s">
        <v>40</v>
      </c>
      <c r="F1089">
        <v>0.6</v>
      </c>
      <c r="G1089">
        <v>7340</v>
      </c>
      <c r="H1089">
        <v>3680</v>
      </c>
      <c r="I1089">
        <v>4000</v>
      </c>
      <c r="J1089">
        <v>3240</v>
      </c>
      <c r="K1089">
        <v>2.8</v>
      </c>
      <c r="L1089">
        <v>2.8</v>
      </c>
      <c r="M1089">
        <v>0.6</v>
      </c>
      <c r="N1089">
        <v>2.75</v>
      </c>
      <c r="O1089">
        <v>0</v>
      </c>
      <c r="P1089" s="9">
        <v>46147.645011574074</v>
      </c>
    </row>
    <row r="1090" spans="1:16" hidden="1" x14ac:dyDescent="0.25">
      <c r="A1090" t="s">
        <v>9</v>
      </c>
      <c r="B1090" s="4">
        <v>46149</v>
      </c>
      <c r="C1090" t="s">
        <v>1128</v>
      </c>
      <c r="D1090">
        <v>84100</v>
      </c>
      <c r="E1090" t="s">
        <v>42</v>
      </c>
      <c r="F1090">
        <v>6792.6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6792.6</v>
      </c>
      <c r="O1090">
        <v>0</v>
      </c>
      <c r="P1090" s="9">
        <v>25569.229166666668</v>
      </c>
    </row>
    <row r="1091" spans="1:16" hidden="1" x14ac:dyDescent="0.25">
      <c r="A1091" t="s">
        <v>9</v>
      </c>
      <c r="B1091" s="4">
        <v>46149</v>
      </c>
      <c r="C1091" t="s">
        <v>1129</v>
      </c>
      <c r="D1091">
        <v>84200</v>
      </c>
      <c r="E1091" t="s">
        <v>40</v>
      </c>
      <c r="F1091">
        <v>1</v>
      </c>
      <c r="G1091">
        <v>15660</v>
      </c>
      <c r="H1091">
        <v>3160</v>
      </c>
      <c r="I1091">
        <v>6140</v>
      </c>
      <c r="J1091">
        <v>2780</v>
      </c>
      <c r="K1091">
        <v>1.85</v>
      </c>
      <c r="L1091">
        <v>2.5499999999999998</v>
      </c>
      <c r="M1091">
        <v>0.6</v>
      </c>
      <c r="N1091">
        <v>2.8</v>
      </c>
      <c r="O1091">
        <v>0</v>
      </c>
      <c r="P1091" s="9">
        <v>46147.645011574074</v>
      </c>
    </row>
    <row r="1092" spans="1:16" hidden="1" x14ac:dyDescent="0.25">
      <c r="A1092" t="s">
        <v>9</v>
      </c>
      <c r="B1092" s="4">
        <v>46149</v>
      </c>
      <c r="C1092" t="s">
        <v>1130</v>
      </c>
      <c r="D1092">
        <v>84200</v>
      </c>
      <c r="E1092" t="s">
        <v>42</v>
      </c>
      <c r="F1092">
        <v>6892.55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6892.55</v>
      </c>
      <c r="O1092">
        <v>0</v>
      </c>
      <c r="P1092" s="9">
        <v>25569.229166666668</v>
      </c>
    </row>
    <row r="1093" spans="1:16" hidden="1" x14ac:dyDescent="0.25">
      <c r="A1093" t="s">
        <v>9</v>
      </c>
      <c r="B1093" s="4">
        <v>46149</v>
      </c>
      <c r="C1093" t="s">
        <v>1131</v>
      </c>
      <c r="D1093">
        <v>84300</v>
      </c>
      <c r="E1093" t="s">
        <v>40</v>
      </c>
      <c r="F1093">
        <v>0.9</v>
      </c>
      <c r="G1093">
        <v>5380</v>
      </c>
      <c r="H1093">
        <v>2080</v>
      </c>
      <c r="I1093">
        <v>2640</v>
      </c>
      <c r="J1093">
        <v>1780</v>
      </c>
      <c r="K1093">
        <v>2.0499999999999998</v>
      </c>
      <c r="L1093">
        <v>2.35</v>
      </c>
      <c r="M1093">
        <v>0.8</v>
      </c>
      <c r="N1093">
        <v>2.8</v>
      </c>
      <c r="O1093">
        <v>0</v>
      </c>
      <c r="P1093" s="9">
        <v>46147.644594907404</v>
      </c>
    </row>
    <row r="1094" spans="1:16" hidden="1" x14ac:dyDescent="0.25">
      <c r="A1094" t="s">
        <v>9</v>
      </c>
      <c r="B1094" s="4">
        <v>46149</v>
      </c>
      <c r="C1094" t="s">
        <v>1132</v>
      </c>
      <c r="D1094">
        <v>84300</v>
      </c>
      <c r="E1094" t="s">
        <v>42</v>
      </c>
      <c r="F1094">
        <v>6992.5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6992.5</v>
      </c>
      <c r="O1094">
        <v>0</v>
      </c>
      <c r="P1094" s="9">
        <v>25569.229166666668</v>
      </c>
    </row>
    <row r="1095" spans="1:16" hidden="1" x14ac:dyDescent="0.25">
      <c r="A1095" t="s">
        <v>9</v>
      </c>
      <c r="B1095" s="4">
        <v>46149</v>
      </c>
      <c r="C1095" t="s">
        <v>1133</v>
      </c>
      <c r="D1095">
        <v>84400</v>
      </c>
      <c r="E1095" t="s">
        <v>40</v>
      </c>
      <c r="F1095">
        <v>0.6</v>
      </c>
      <c r="G1095">
        <v>13140</v>
      </c>
      <c r="H1095">
        <v>1520</v>
      </c>
      <c r="I1095">
        <v>4340</v>
      </c>
      <c r="J1095">
        <v>1380</v>
      </c>
      <c r="K1095">
        <v>2</v>
      </c>
      <c r="L1095">
        <v>2.6</v>
      </c>
      <c r="M1095">
        <v>0.6</v>
      </c>
      <c r="N1095">
        <v>2.65</v>
      </c>
      <c r="O1095">
        <v>0</v>
      </c>
      <c r="P1095" s="9">
        <v>46147.645567129628</v>
      </c>
    </row>
    <row r="1096" spans="1:16" hidden="1" x14ac:dyDescent="0.25">
      <c r="A1096" t="s">
        <v>9</v>
      </c>
      <c r="B1096" s="4">
        <v>46149</v>
      </c>
      <c r="C1096" t="s">
        <v>1134</v>
      </c>
      <c r="D1096">
        <v>84400</v>
      </c>
      <c r="E1096" t="s">
        <v>42</v>
      </c>
      <c r="F1096">
        <v>7092.45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7092.45</v>
      </c>
      <c r="O1096">
        <v>0</v>
      </c>
      <c r="P1096" s="9">
        <v>25569.229166666668</v>
      </c>
    </row>
    <row r="1097" spans="1:16" hidden="1" x14ac:dyDescent="0.25">
      <c r="A1097" t="s">
        <v>9</v>
      </c>
      <c r="B1097" s="4">
        <v>46149</v>
      </c>
      <c r="C1097" t="s">
        <v>1135</v>
      </c>
      <c r="D1097">
        <v>84500</v>
      </c>
      <c r="E1097" t="s">
        <v>40</v>
      </c>
      <c r="F1097">
        <v>0.75</v>
      </c>
      <c r="G1097">
        <v>81540</v>
      </c>
      <c r="H1097">
        <v>29200</v>
      </c>
      <c r="I1097">
        <v>29880</v>
      </c>
      <c r="J1097">
        <v>16100</v>
      </c>
      <c r="K1097">
        <v>3.3</v>
      </c>
      <c r="L1097">
        <v>3.3</v>
      </c>
      <c r="M1097">
        <v>0.65</v>
      </c>
      <c r="N1097">
        <v>2.5</v>
      </c>
      <c r="O1097">
        <v>0</v>
      </c>
      <c r="P1097" s="9">
        <v>46147.645682870374</v>
      </c>
    </row>
    <row r="1098" spans="1:16" hidden="1" x14ac:dyDescent="0.25">
      <c r="A1098" t="s">
        <v>9</v>
      </c>
      <c r="B1098" s="4">
        <v>46149</v>
      </c>
      <c r="C1098" t="s">
        <v>1136</v>
      </c>
      <c r="D1098">
        <v>84500</v>
      </c>
      <c r="E1098" t="s">
        <v>42</v>
      </c>
      <c r="F1098">
        <v>7192.4</v>
      </c>
      <c r="G1098">
        <v>0</v>
      </c>
      <c r="H1098">
        <v>640</v>
      </c>
      <c r="I1098">
        <v>640</v>
      </c>
      <c r="J1098">
        <v>640</v>
      </c>
      <c r="K1098">
        <v>0</v>
      </c>
      <c r="L1098">
        <v>7350</v>
      </c>
      <c r="M1098">
        <v>7080</v>
      </c>
      <c r="N1098">
        <v>7192.4</v>
      </c>
      <c r="O1098">
        <v>0</v>
      </c>
      <c r="P1098" s="9">
        <v>46142.620173611111</v>
      </c>
    </row>
    <row r="1099" spans="1:16" hidden="1" x14ac:dyDescent="0.25">
      <c r="A1099" t="s">
        <v>9</v>
      </c>
      <c r="B1099" s="4">
        <v>46149</v>
      </c>
      <c r="C1099" t="s">
        <v>1137</v>
      </c>
      <c r="D1099">
        <v>84600</v>
      </c>
      <c r="E1099" t="s">
        <v>40</v>
      </c>
      <c r="F1099">
        <v>0.8</v>
      </c>
      <c r="G1099">
        <v>9380</v>
      </c>
      <c r="H1099">
        <v>2080</v>
      </c>
      <c r="I1099">
        <v>2560</v>
      </c>
      <c r="J1099">
        <v>560</v>
      </c>
      <c r="K1099">
        <v>2.2000000000000002</v>
      </c>
      <c r="L1099">
        <v>2.7</v>
      </c>
      <c r="M1099">
        <v>0.55000000000000004</v>
      </c>
      <c r="N1099">
        <v>2.2000000000000002</v>
      </c>
      <c r="O1099">
        <v>0</v>
      </c>
      <c r="P1099" s="9">
        <v>46147.644571759258</v>
      </c>
    </row>
    <row r="1100" spans="1:16" hidden="1" x14ac:dyDescent="0.25">
      <c r="A1100" t="s">
        <v>9</v>
      </c>
      <c r="B1100" s="4">
        <v>46149</v>
      </c>
      <c r="C1100" t="s">
        <v>1138</v>
      </c>
      <c r="D1100">
        <v>84600</v>
      </c>
      <c r="E1100" t="s">
        <v>42</v>
      </c>
      <c r="F1100">
        <v>7292.35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7292.35</v>
      </c>
      <c r="O1100">
        <v>0</v>
      </c>
      <c r="P1100" s="9">
        <v>25569.229166666668</v>
      </c>
    </row>
    <row r="1101" spans="1:16" hidden="1" x14ac:dyDescent="0.25">
      <c r="A1101" t="s">
        <v>9</v>
      </c>
      <c r="B1101" s="4">
        <v>46149</v>
      </c>
      <c r="C1101" t="s">
        <v>1139</v>
      </c>
      <c r="D1101">
        <v>84700</v>
      </c>
      <c r="E1101" t="s">
        <v>40</v>
      </c>
      <c r="F1101">
        <v>0.85</v>
      </c>
      <c r="G1101">
        <v>29000</v>
      </c>
      <c r="H1101">
        <v>18620</v>
      </c>
      <c r="I1101">
        <v>18620</v>
      </c>
      <c r="J1101">
        <v>6020</v>
      </c>
      <c r="K1101">
        <v>3.05</v>
      </c>
      <c r="L1101">
        <v>3.05</v>
      </c>
      <c r="M1101">
        <v>0.7</v>
      </c>
      <c r="N1101">
        <v>2.6</v>
      </c>
      <c r="O1101">
        <v>0</v>
      </c>
      <c r="P1101" s="9">
        <v>46147.645509259259</v>
      </c>
    </row>
    <row r="1102" spans="1:16" hidden="1" x14ac:dyDescent="0.25">
      <c r="A1102" t="s">
        <v>9</v>
      </c>
      <c r="B1102" s="4">
        <v>46149</v>
      </c>
      <c r="C1102" t="s">
        <v>1140</v>
      </c>
      <c r="D1102">
        <v>84700</v>
      </c>
      <c r="E1102" t="s">
        <v>42</v>
      </c>
      <c r="F1102">
        <v>7392.3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7392.3</v>
      </c>
      <c r="O1102">
        <v>0</v>
      </c>
      <c r="P1102" s="9">
        <v>25569.229166666668</v>
      </c>
    </row>
    <row r="1103" spans="1:16" hidden="1" x14ac:dyDescent="0.25">
      <c r="A1103" t="s">
        <v>9</v>
      </c>
      <c r="B1103" s="4">
        <v>46149</v>
      </c>
      <c r="C1103" t="s">
        <v>1141</v>
      </c>
      <c r="D1103">
        <v>84800</v>
      </c>
      <c r="E1103" t="s">
        <v>40</v>
      </c>
      <c r="F1103">
        <v>0.7</v>
      </c>
      <c r="G1103">
        <v>6940</v>
      </c>
      <c r="H1103">
        <v>1580</v>
      </c>
      <c r="I1103">
        <v>2500</v>
      </c>
      <c r="J1103">
        <v>1580</v>
      </c>
      <c r="K1103">
        <v>3.1</v>
      </c>
      <c r="L1103">
        <v>3.1</v>
      </c>
      <c r="M1103">
        <v>0.7</v>
      </c>
      <c r="N1103">
        <v>2.6</v>
      </c>
      <c r="O1103">
        <v>0</v>
      </c>
      <c r="P1103" s="9">
        <v>46147.644444444442</v>
      </c>
    </row>
    <row r="1104" spans="1:16" hidden="1" x14ac:dyDescent="0.25">
      <c r="A1104" t="s">
        <v>9</v>
      </c>
      <c r="B1104" s="4">
        <v>46149</v>
      </c>
      <c r="C1104" t="s">
        <v>1142</v>
      </c>
      <c r="D1104">
        <v>84800</v>
      </c>
      <c r="E1104" t="s">
        <v>42</v>
      </c>
      <c r="F1104">
        <v>7492.3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7492.3</v>
      </c>
      <c r="O1104">
        <v>0</v>
      </c>
      <c r="P1104" s="9">
        <v>25569.229166666668</v>
      </c>
    </row>
    <row r="1105" spans="1:16" hidden="1" x14ac:dyDescent="0.25">
      <c r="A1105" t="s">
        <v>9</v>
      </c>
      <c r="B1105" s="4">
        <v>46149</v>
      </c>
      <c r="C1105" t="s">
        <v>1143</v>
      </c>
      <c r="D1105">
        <v>84900</v>
      </c>
      <c r="E1105" t="s">
        <v>40</v>
      </c>
      <c r="F1105">
        <v>0.6</v>
      </c>
      <c r="G1105">
        <v>2600</v>
      </c>
      <c r="H1105">
        <v>500</v>
      </c>
      <c r="I1105">
        <v>880</v>
      </c>
      <c r="J1105">
        <v>460</v>
      </c>
      <c r="K1105">
        <v>1.95</v>
      </c>
      <c r="L1105">
        <v>2</v>
      </c>
      <c r="M1105">
        <v>0.5</v>
      </c>
      <c r="N1105">
        <v>2.25</v>
      </c>
      <c r="O1105">
        <v>0</v>
      </c>
      <c r="P1105" s="9">
        <v>46147.644386574073</v>
      </c>
    </row>
    <row r="1106" spans="1:16" hidden="1" x14ac:dyDescent="0.25">
      <c r="A1106" t="s">
        <v>9</v>
      </c>
      <c r="B1106" s="4">
        <v>46149</v>
      </c>
      <c r="C1106" t="s">
        <v>1144</v>
      </c>
      <c r="D1106">
        <v>84900</v>
      </c>
      <c r="E1106" t="s">
        <v>42</v>
      </c>
      <c r="F1106">
        <v>7592.25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7592.25</v>
      </c>
      <c r="O1106">
        <v>0</v>
      </c>
      <c r="P1106" s="9">
        <v>25569.229166666668</v>
      </c>
    </row>
    <row r="1107" spans="1:16" hidden="1" x14ac:dyDescent="0.25">
      <c r="A1107" t="s">
        <v>9</v>
      </c>
      <c r="B1107" s="4">
        <v>46149</v>
      </c>
      <c r="C1107" t="s">
        <v>1145</v>
      </c>
      <c r="D1107">
        <v>85000</v>
      </c>
      <c r="E1107" t="s">
        <v>40</v>
      </c>
      <c r="F1107">
        <v>0.55000000000000004</v>
      </c>
      <c r="G1107">
        <v>411360</v>
      </c>
      <c r="H1107">
        <v>125720</v>
      </c>
      <c r="I1107">
        <v>133060</v>
      </c>
      <c r="J1107">
        <v>85200</v>
      </c>
      <c r="K1107">
        <v>2.25</v>
      </c>
      <c r="L1107">
        <v>2.25</v>
      </c>
      <c r="M1107">
        <v>0.5</v>
      </c>
      <c r="N1107">
        <v>2.35</v>
      </c>
      <c r="O1107">
        <v>0</v>
      </c>
      <c r="P1107" s="9">
        <v>46147.645787037036</v>
      </c>
    </row>
    <row r="1108" spans="1:16" hidden="1" x14ac:dyDescent="0.25">
      <c r="A1108" t="s">
        <v>9</v>
      </c>
      <c r="B1108" s="4">
        <v>46149</v>
      </c>
      <c r="C1108" t="s">
        <v>1146</v>
      </c>
      <c r="D1108">
        <v>85000</v>
      </c>
      <c r="E1108" t="s">
        <v>42</v>
      </c>
      <c r="F1108">
        <v>7821.2</v>
      </c>
      <c r="G1108">
        <v>3100</v>
      </c>
      <c r="H1108">
        <v>27100</v>
      </c>
      <c r="I1108">
        <v>28420</v>
      </c>
      <c r="J1108">
        <v>27100</v>
      </c>
      <c r="K1108">
        <v>8205.0499999999993</v>
      </c>
      <c r="L1108">
        <v>8357</v>
      </c>
      <c r="M1108">
        <v>7780</v>
      </c>
      <c r="N1108">
        <v>7492.65</v>
      </c>
      <c r="O1108">
        <v>0</v>
      </c>
      <c r="P1108" s="9">
        <v>46147.643229166664</v>
      </c>
    </row>
    <row r="1109" spans="1:16" hidden="1" x14ac:dyDescent="0.25">
      <c r="A1109" t="s">
        <v>9</v>
      </c>
      <c r="B1109" s="4">
        <v>46149</v>
      </c>
      <c r="C1109" t="s">
        <v>1147</v>
      </c>
      <c r="D1109">
        <v>85100</v>
      </c>
      <c r="E1109" t="s">
        <v>40</v>
      </c>
      <c r="F1109">
        <v>0.5</v>
      </c>
      <c r="G1109">
        <v>5000</v>
      </c>
      <c r="H1109">
        <v>1220</v>
      </c>
      <c r="I1109">
        <v>2040</v>
      </c>
      <c r="J1109">
        <v>900</v>
      </c>
      <c r="K1109">
        <v>1.2</v>
      </c>
      <c r="L1109">
        <v>2.1</v>
      </c>
      <c r="M1109">
        <v>0.5</v>
      </c>
      <c r="N1109">
        <v>2.25</v>
      </c>
      <c r="O1109">
        <v>0</v>
      </c>
      <c r="P1109" s="9">
        <v>46147.644467592596</v>
      </c>
    </row>
    <row r="1110" spans="1:16" hidden="1" x14ac:dyDescent="0.25">
      <c r="A1110" t="s">
        <v>9</v>
      </c>
      <c r="B1110" s="4">
        <v>46149</v>
      </c>
      <c r="C1110" t="s">
        <v>1148</v>
      </c>
      <c r="D1110">
        <v>85100</v>
      </c>
      <c r="E1110" t="s">
        <v>42</v>
      </c>
      <c r="F1110">
        <v>7792.15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7792.15</v>
      </c>
      <c r="O1110">
        <v>0</v>
      </c>
      <c r="P1110" s="9">
        <v>25569.229166666668</v>
      </c>
    </row>
    <row r="1111" spans="1:16" hidden="1" x14ac:dyDescent="0.25">
      <c r="A1111" t="s">
        <v>9</v>
      </c>
      <c r="B1111" s="4">
        <v>46149</v>
      </c>
      <c r="C1111" t="s">
        <v>1149</v>
      </c>
      <c r="D1111">
        <v>85200</v>
      </c>
      <c r="E1111" t="s">
        <v>40</v>
      </c>
      <c r="F1111">
        <v>0.55000000000000004</v>
      </c>
      <c r="G1111">
        <v>10300</v>
      </c>
      <c r="H1111">
        <v>7380</v>
      </c>
      <c r="I1111">
        <v>7380</v>
      </c>
      <c r="J1111">
        <v>4660</v>
      </c>
      <c r="K1111">
        <v>2.5</v>
      </c>
      <c r="L1111">
        <v>2.5499999999999998</v>
      </c>
      <c r="M1111">
        <v>0.55000000000000004</v>
      </c>
      <c r="N1111">
        <v>2.0499999999999998</v>
      </c>
      <c r="O1111">
        <v>0</v>
      </c>
      <c r="P1111" s="9">
        <v>46147.645358796297</v>
      </c>
    </row>
    <row r="1112" spans="1:16" hidden="1" x14ac:dyDescent="0.25">
      <c r="A1112" t="s">
        <v>9</v>
      </c>
      <c r="B1112" s="4">
        <v>46149</v>
      </c>
      <c r="C1112" t="s">
        <v>1150</v>
      </c>
      <c r="D1112">
        <v>85200</v>
      </c>
      <c r="E1112" t="s">
        <v>42</v>
      </c>
      <c r="F1112">
        <v>7892.1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7892.1</v>
      </c>
      <c r="O1112">
        <v>0</v>
      </c>
      <c r="P1112" s="9">
        <v>25569.229166666668</v>
      </c>
    </row>
    <row r="1113" spans="1:16" hidden="1" x14ac:dyDescent="0.25">
      <c r="A1113" t="s">
        <v>9</v>
      </c>
      <c r="B1113" s="4">
        <v>46149</v>
      </c>
      <c r="C1113" t="s">
        <v>1151</v>
      </c>
      <c r="D1113">
        <v>85300</v>
      </c>
      <c r="E1113" t="s">
        <v>40</v>
      </c>
      <c r="F1113">
        <v>0.7</v>
      </c>
      <c r="G1113">
        <v>19980</v>
      </c>
      <c r="H1113">
        <v>15780</v>
      </c>
      <c r="I1113">
        <v>16240</v>
      </c>
      <c r="J1113">
        <v>9460</v>
      </c>
      <c r="K1113">
        <v>0.65</v>
      </c>
      <c r="L1113">
        <v>1.9</v>
      </c>
      <c r="M1113">
        <v>0.45</v>
      </c>
      <c r="N1113">
        <v>2.0499999999999998</v>
      </c>
      <c r="O1113">
        <v>0</v>
      </c>
      <c r="P1113" s="9">
        <v>46147.645567129628</v>
      </c>
    </row>
    <row r="1114" spans="1:16" hidden="1" x14ac:dyDescent="0.25">
      <c r="A1114" t="s">
        <v>9</v>
      </c>
      <c r="B1114" s="4">
        <v>46149</v>
      </c>
      <c r="C1114" t="s">
        <v>1152</v>
      </c>
      <c r="D1114">
        <v>85300</v>
      </c>
      <c r="E1114" t="s">
        <v>42</v>
      </c>
      <c r="F1114">
        <v>7992.05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7992.05</v>
      </c>
      <c r="O1114">
        <v>0</v>
      </c>
      <c r="P1114" s="9">
        <v>25569.229166666668</v>
      </c>
    </row>
  </sheetData>
  <autoFilter ref="A1:P1114" xr:uid="{00000000-0001-0000-0400-000000000000}">
    <filterColumn colId="1">
      <filters>
        <dateGroupItem year="2026" month="5" day="5" dateTimeGrouping="day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>
    <row r="1" spans="1:1" x14ac:dyDescent="0.25">
      <c r="A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NIFTY</vt:lpstr>
      <vt:lpstr>BANKNIFTY</vt:lpstr>
      <vt:lpstr>SENSEX</vt:lpstr>
      <vt:lpstr>RawData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Sunny Bajaj</cp:lastModifiedBy>
  <dcterms:created xsi:type="dcterms:W3CDTF">2026-05-05T08:35:04Z</dcterms:created>
  <dcterms:modified xsi:type="dcterms:W3CDTF">2026-05-05T10:38:21Z</dcterms:modified>
</cp:coreProperties>
</file>