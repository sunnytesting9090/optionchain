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twitter\nsebse\"/>
    </mc:Choice>
  </mc:AlternateContent>
  <xr:revisionPtr revIDLastSave="0" documentId="13_ncr:1_{80BCF56A-9698-4AF6-83DE-40768643B187}" xr6:coauthVersionLast="47" xr6:coauthVersionMax="47" xr10:uidLastSave="{00000000-0000-0000-0000-000000000000}"/>
  <bookViews>
    <workbookView minimized="1" xWindow="1230" yWindow="4230" windowWidth="21600" windowHeight="11385" activeTab="4" xr2:uid="{00000000-000D-0000-FFFF-FFFF00000000}"/>
  </bookViews>
  <sheets>
    <sheet name="Summary" sheetId="1" r:id="rId1"/>
    <sheet name="NIFTY" sheetId="2" r:id="rId2"/>
    <sheet name="BANKNIFTY" sheetId="3" r:id="rId3"/>
    <sheet name="SENSEX" sheetId="4" r:id="rId4"/>
    <sheet name="RawData" sheetId="5" r:id="rId5"/>
    <sheet name="Meta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4" l="1"/>
  <c r="C8" i="4"/>
  <c r="D8" i="4"/>
  <c r="A9" i="4"/>
  <c r="C9" i="4"/>
  <c r="D9" i="4"/>
  <c r="A10" i="4"/>
  <c r="C10" i="4"/>
  <c r="D10" i="4"/>
  <c r="A11" i="4"/>
  <c r="C11" i="4"/>
  <c r="D11" i="4"/>
  <c r="A12" i="4"/>
  <c r="C12" i="4"/>
  <c r="D12" i="4"/>
  <c r="A13" i="4"/>
  <c r="C13" i="4"/>
  <c r="D13" i="4"/>
  <c r="A14" i="4"/>
  <c r="C14" i="4"/>
  <c r="D14" i="4"/>
  <c r="A15" i="4"/>
  <c r="C15" i="4"/>
  <c r="D15" i="4"/>
  <c r="A16" i="4"/>
  <c r="C16" i="4"/>
  <c r="D16" i="4"/>
  <c r="A17" i="4"/>
  <c r="C17" i="4"/>
  <c r="D17" i="4"/>
  <c r="A18" i="4"/>
  <c r="C18" i="4"/>
  <c r="D18" i="4"/>
  <c r="A19" i="4"/>
  <c r="C19" i="4"/>
  <c r="D19" i="4"/>
  <c r="A20" i="4"/>
  <c r="C20" i="4"/>
  <c r="D20" i="4"/>
  <c r="A21" i="4"/>
  <c r="C21" i="4"/>
  <c r="D21" i="4"/>
  <c r="A22" i="4"/>
  <c r="C22" i="4"/>
  <c r="D22" i="4"/>
  <c r="A23" i="4"/>
  <c r="C23" i="4"/>
  <c r="D23" i="4"/>
  <c r="A24" i="4"/>
  <c r="C24" i="4"/>
  <c r="D24" i="4"/>
  <c r="A25" i="4"/>
  <c r="C25" i="4"/>
  <c r="D25" i="4"/>
  <c r="A26" i="4"/>
  <c r="C26" i="4"/>
  <c r="D26" i="4"/>
  <c r="A27" i="4"/>
  <c r="C27" i="4"/>
  <c r="D27" i="4"/>
  <c r="A28" i="4"/>
  <c r="C28" i="4"/>
  <c r="D28" i="4"/>
  <c r="A29" i="4"/>
  <c r="C29" i="4"/>
  <c r="D29" i="4"/>
  <c r="A30" i="4"/>
  <c r="C30" i="4"/>
  <c r="D30" i="4"/>
  <c r="A31" i="4"/>
  <c r="C31" i="4"/>
  <c r="D31" i="4"/>
  <c r="A32" i="4"/>
  <c r="C32" i="4"/>
  <c r="D32" i="4"/>
  <c r="A33" i="4"/>
  <c r="C33" i="4"/>
  <c r="D33" i="4"/>
  <c r="A34" i="4"/>
  <c r="C34" i="4"/>
  <c r="D34" i="4"/>
  <c r="A35" i="4"/>
  <c r="C35" i="4"/>
  <c r="D35" i="4"/>
  <c r="A36" i="4"/>
  <c r="C36" i="4"/>
  <c r="D36" i="4"/>
  <c r="A37" i="4"/>
  <c r="C37" i="4"/>
  <c r="D37" i="4"/>
  <c r="A38" i="4"/>
  <c r="C38" i="4"/>
  <c r="D38" i="4"/>
  <c r="A39" i="4"/>
  <c r="C39" i="4"/>
  <c r="D39" i="4"/>
  <c r="A40" i="4"/>
  <c r="C40" i="4"/>
  <c r="D40" i="4"/>
  <c r="A41" i="4"/>
  <c r="C41" i="4"/>
  <c r="D41" i="4"/>
  <c r="A42" i="4"/>
  <c r="C42" i="4"/>
  <c r="D42" i="4"/>
  <c r="A43" i="4"/>
  <c r="C43" i="4"/>
  <c r="D43" i="4"/>
  <c r="A44" i="4"/>
  <c r="C44" i="4"/>
  <c r="D44" i="4"/>
  <c r="A45" i="4"/>
  <c r="C45" i="4"/>
  <c r="D45" i="4"/>
  <c r="A46" i="4"/>
  <c r="C46" i="4"/>
  <c r="D46" i="4"/>
  <c r="A47" i="4"/>
  <c r="C47" i="4"/>
  <c r="D47" i="4"/>
  <c r="A48" i="4"/>
  <c r="C48" i="4"/>
  <c r="D48" i="4"/>
  <c r="A49" i="4"/>
  <c r="C49" i="4"/>
  <c r="D49" i="4"/>
  <c r="A50" i="4"/>
  <c r="C50" i="4"/>
  <c r="D50" i="4"/>
  <c r="A51" i="4"/>
  <c r="C51" i="4"/>
  <c r="D51" i="4"/>
  <c r="A52" i="4"/>
  <c r="C52" i="4"/>
  <c r="D52" i="4"/>
  <c r="A53" i="4"/>
  <c r="C53" i="4"/>
  <c r="D53" i="4"/>
  <c r="A54" i="4"/>
  <c r="C54" i="4"/>
  <c r="D54" i="4"/>
  <c r="A55" i="4"/>
  <c r="C55" i="4"/>
  <c r="D55" i="4"/>
  <c r="A56" i="4"/>
  <c r="C56" i="4"/>
  <c r="D56" i="4"/>
  <c r="A57" i="4"/>
  <c r="C57" i="4"/>
  <c r="D57" i="4"/>
  <c r="A58" i="4"/>
  <c r="C58" i="4"/>
  <c r="D58" i="4"/>
  <c r="A59" i="4"/>
  <c r="C59" i="4"/>
  <c r="D59" i="4"/>
  <c r="A60" i="4"/>
  <c r="C60" i="4"/>
  <c r="D60" i="4"/>
  <c r="A61" i="4"/>
  <c r="C61" i="4"/>
  <c r="D61" i="4"/>
  <c r="A62" i="4"/>
  <c r="C62" i="4"/>
  <c r="D62" i="4"/>
  <c r="A63" i="4"/>
  <c r="C63" i="4"/>
  <c r="D63" i="4"/>
  <c r="A64" i="4"/>
  <c r="C64" i="4"/>
  <c r="D64" i="4"/>
  <c r="A65" i="4"/>
  <c r="C65" i="4"/>
  <c r="D65" i="4"/>
  <c r="A66" i="4"/>
  <c r="C66" i="4"/>
  <c r="D66" i="4"/>
  <c r="A67" i="4"/>
  <c r="C67" i="4"/>
  <c r="D67" i="4"/>
  <c r="A68" i="4"/>
  <c r="C68" i="4"/>
  <c r="D68" i="4"/>
  <c r="A69" i="4"/>
  <c r="C69" i="4"/>
  <c r="D69" i="4"/>
  <c r="A70" i="4"/>
  <c r="C70" i="4"/>
  <c r="D70" i="4"/>
  <c r="A71" i="4"/>
  <c r="C71" i="4"/>
  <c r="D71" i="4"/>
  <c r="A72" i="4"/>
  <c r="C72" i="4"/>
  <c r="D72" i="4"/>
  <c r="A73" i="4"/>
  <c r="C73" i="4"/>
  <c r="D73" i="4"/>
  <c r="A74" i="4"/>
  <c r="C74" i="4"/>
  <c r="D74" i="4"/>
  <c r="A75" i="4"/>
  <c r="C75" i="4"/>
  <c r="D75" i="4"/>
  <c r="A76" i="4"/>
  <c r="C76" i="4"/>
  <c r="D76" i="4"/>
  <c r="A77" i="4"/>
  <c r="C77" i="4"/>
  <c r="D77" i="4"/>
  <c r="A78" i="4"/>
  <c r="C78" i="4"/>
  <c r="D78" i="4"/>
  <c r="A79" i="4"/>
  <c r="C79" i="4"/>
  <c r="D79" i="4"/>
  <c r="A80" i="4"/>
  <c r="C80" i="4"/>
  <c r="D80" i="4"/>
  <c r="A81" i="4"/>
  <c r="C81" i="4"/>
  <c r="D81" i="4"/>
  <c r="A82" i="4"/>
  <c r="C82" i="4"/>
  <c r="D82" i="4"/>
  <c r="A83" i="4"/>
  <c r="C83" i="4"/>
  <c r="D83" i="4"/>
  <c r="A84" i="4"/>
  <c r="C84" i="4"/>
  <c r="D84" i="4"/>
  <c r="A85" i="4"/>
  <c r="C85" i="4"/>
  <c r="D85" i="4"/>
  <c r="A86" i="4"/>
  <c r="C86" i="4"/>
  <c r="D86" i="4"/>
  <c r="A87" i="4"/>
  <c r="C87" i="4"/>
  <c r="D87" i="4"/>
  <c r="A88" i="4"/>
  <c r="C88" i="4"/>
  <c r="D88" i="4"/>
  <c r="A89" i="4"/>
  <c r="C89" i="4"/>
  <c r="D89" i="4"/>
  <c r="A90" i="4"/>
  <c r="C90" i="4"/>
  <c r="D90" i="4"/>
  <c r="A91" i="4"/>
  <c r="C91" i="4"/>
  <c r="D91" i="4"/>
  <c r="A92" i="4"/>
  <c r="C92" i="4"/>
  <c r="D92" i="4"/>
  <c r="A93" i="4"/>
  <c r="C93" i="4"/>
  <c r="D93" i="4"/>
  <c r="A94" i="4"/>
  <c r="C94" i="4"/>
  <c r="D94" i="4"/>
  <c r="A95" i="4"/>
  <c r="C95" i="4"/>
  <c r="D95" i="4"/>
  <c r="A96" i="4"/>
  <c r="C96" i="4"/>
  <c r="D96" i="4"/>
  <c r="A97" i="4"/>
  <c r="C97" i="4"/>
  <c r="D97" i="4"/>
  <c r="A98" i="4"/>
  <c r="C98" i="4"/>
  <c r="D98" i="4"/>
  <c r="A99" i="4"/>
  <c r="C99" i="4"/>
  <c r="D99" i="4"/>
  <c r="A100" i="4"/>
  <c r="C100" i="4"/>
  <c r="D100" i="4"/>
  <c r="A101" i="4"/>
  <c r="C101" i="4"/>
  <c r="D101" i="4"/>
  <c r="A102" i="4"/>
  <c r="C102" i="4"/>
  <c r="D102" i="4"/>
  <c r="A103" i="4"/>
  <c r="C103" i="4"/>
  <c r="D103" i="4"/>
  <c r="A104" i="4"/>
  <c r="C104" i="4"/>
  <c r="D104" i="4"/>
  <c r="A105" i="4"/>
  <c r="C105" i="4"/>
  <c r="D105" i="4"/>
  <c r="A106" i="4"/>
  <c r="C106" i="4"/>
  <c r="D106" i="4"/>
  <c r="A107" i="4"/>
  <c r="C107" i="4"/>
  <c r="D107" i="4"/>
  <c r="A108" i="4"/>
  <c r="C108" i="4"/>
  <c r="D108" i="4"/>
  <c r="A109" i="4"/>
  <c r="C109" i="4"/>
  <c r="D109" i="4"/>
  <c r="A110" i="4"/>
  <c r="C110" i="4"/>
  <c r="D110" i="4"/>
  <c r="A111" i="4"/>
  <c r="C111" i="4"/>
  <c r="D111" i="4"/>
  <c r="A112" i="4"/>
  <c r="C112" i="4"/>
  <c r="D112" i="4"/>
  <c r="A113" i="4"/>
  <c r="C113" i="4"/>
  <c r="D113" i="4"/>
  <c r="A114" i="4"/>
  <c r="C114" i="4"/>
  <c r="D114" i="4"/>
  <c r="A115" i="4"/>
  <c r="C115" i="4"/>
  <c r="D115" i="4"/>
  <c r="A116" i="4"/>
  <c r="C116" i="4"/>
  <c r="D116" i="4"/>
  <c r="A117" i="4"/>
  <c r="C117" i="4"/>
  <c r="D117" i="4"/>
  <c r="A118" i="4"/>
  <c r="C118" i="4"/>
  <c r="D118" i="4"/>
  <c r="A119" i="4"/>
  <c r="C119" i="4"/>
  <c r="D119" i="4"/>
  <c r="A120" i="4"/>
  <c r="C120" i="4"/>
  <c r="D120" i="4"/>
  <c r="A121" i="4"/>
  <c r="C121" i="4"/>
  <c r="D121" i="4"/>
  <c r="A122" i="4"/>
  <c r="C122" i="4"/>
  <c r="D122" i="4"/>
  <c r="A123" i="4"/>
  <c r="C123" i="4"/>
  <c r="D123" i="4"/>
  <c r="A124" i="4"/>
  <c r="C124" i="4"/>
  <c r="D124" i="4"/>
  <c r="A125" i="4"/>
  <c r="C125" i="4"/>
  <c r="D125" i="4"/>
  <c r="A126" i="4"/>
  <c r="C126" i="4"/>
  <c r="D126" i="4"/>
  <c r="A127" i="4"/>
  <c r="C127" i="4"/>
  <c r="D127" i="4"/>
  <c r="A128" i="4"/>
  <c r="C128" i="4"/>
  <c r="D128" i="4"/>
  <c r="A129" i="4"/>
  <c r="C129" i="4"/>
  <c r="D129" i="4"/>
  <c r="A130" i="4"/>
  <c r="C130" i="4"/>
  <c r="D130" i="4"/>
  <c r="A131" i="4"/>
  <c r="C131" i="4"/>
  <c r="D131" i="4"/>
  <c r="A132" i="4"/>
  <c r="C132" i="4"/>
  <c r="D132" i="4"/>
  <c r="A133" i="4"/>
  <c r="C133" i="4"/>
  <c r="D133" i="4"/>
  <c r="A134" i="4"/>
  <c r="C134" i="4"/>
  <c r="D134" i="4"/>
  <c r="A135" i="4"/>
  <c r="C135" i="4"/>
  <c r="D135" i="4"/>
  <c r="A136" i="4"/>
  <c r="C136" i="4"/>
  <c r="D136" i="4"/>
  <c r="A137" i="4"/>
  <c r="C137" i="4"/>
  <c r="D137" i="4"/>
  <c r="A138" i="4"/>
  <c r="C138" i="4"/>
  <c r="D138" i="4"/>
  <c r="A139" i="4"/>
  <c r="C139" i="4"/>
  <c r="D139" i="4"/>
  <c r="A140" i="4"/>
  <c r="C140" i="4"/>
  <c r="D140" i="4"/>
  <c r="A141" i="4"/>
  <c r="C141" i="4"/>
  <c r="D141" i="4"/>
  <c r="A142" i="4"/>
  <c r="C142" i="4"/>
  <c r="D142" i="4"/>
  <c r="A143" i="4"/>
  <c r="C143" i="4"/>
  <c r="D143" i="4"/>
  <c r="A144" i="4"/>
  <c r="C144" i="4"/>
  <c r="D144" i="4"/>
  <c r="A145" i="4"/>
  <c r="C145" i="4"/>
  <c r="D145" i="4"/>
  <c r="A146" i="4"/>
  <c r="C146" i="4"/>
  <c r="D146" i="4"/>
  <c r="A147" i="4"/>
  <c r="C147" i="4"/>
  <c r="D147" i="4"/>
  <c r="A148" i="4"/>
  <c r="C148" i="4"/>
  <c r="D148" i="4"/>
  <c r="A149" i="4"/>
  <c r="C149" i="4"/>
  <c r="D149" i="4"/>
  <c r="A150" i="4"/>
  <c r="C150" i="4"/>
  <c r="D150" i="4"/>
  <c r="A151" i="4"/>
  <c r="C151" i="4"/>
  <c r="D151" i="4"/>
  <c r="A152" i="4"/>
  <c r="C152" i="4"/>
  <c r="D152" i="4"/>
  <c r="A153" i="4"/>
  <c r="C153" i="4"/>
  <c r="D153" i="4"/>
  <c r="A154" i="4"/>
  <c r="C154" i="4"/>
  <c r="D154" i="4"/>
  <c r="A155" i="4"/>
  <c r="C155" i="4"/>
  <c r="D155" i="4"/>
  <c r="A156" i="4"/>
  <c r="C156" i="4"/>
  <c r="D156" i="4"/>
  <c r="A157" i="4"/>
  <c r="C157" i="4"/>
  <c r="D157" i="4"/>
  <c r="A158" i="4"/>
  <c r="C158" i="4"/>
  <c r="D158" i="4"/>
  <c r="A159" i="4"/>
  <c r="C159" i="4"/>
  <c r="D159" i="4"/>
  <c r="A160" i="4"/>
  <c r="C160" i="4"/>
  <c r="D160" i="4"/>
  <c r="A161" i="4"/>
  <c r="C161" i="4"/>
  <c r="D161" i="4"/>
  <c r="A162" i="4"/>
  <c r="C162" i="4"/>
  <c r="D162" i="4"/>
  <c r="A163" i="4"/>
  <c r="C163" i="4"/>
  <c r="D163" i="4"/>
  <c r="A164" i="4"/>
  <c r="C164" i="4"/>
  <c r="D164" i="4"/>
  <c r="A165" i="4"/>
  <c r="C165" i="4"/>
  <c r="D165" i="4"/>
  <c r="A166" i="4"/>
  <c r="C166" i="4"/>
  <c r="D166" i="4"/>
  <c r="A167" i="4"/>
  <c r="C167" i="4"/>
  <c r="D167" i="4"/>
  <c r="A168" i="4"/>
  <c r="C168" i="4"/>
  <c r="D168" i="4"/>
  <c r="A169" i="4"/>
  <c r="C169" i="4"/>
  <c r="D169" i="4"/>
  <c r="A170" i="4"/>
  <c r="C170" i="4"/>
  <c r="D170" i="4"/>
  <c r="A171" i="4"/>
  <c r="C171" i="4"/>
  <c r="D171" i="4"/>
  <c r="A172" i="4"/>
  <c r="C172" i="4"/>
  <c r="D172" i="4"/>
  <c r="A173" i="4"/>
  <c r="C173" i="4"/>
  <c r="D173" i="4"/>
  <c r="A174" i="4"/>
  <c r="C174" i="4"/>
  <c r="D174" i="4"/>
  <c r="A175" i="4"/>
  <c r="C175" i="4"/>
  <c r="D175" i="4"/>
  <c r="A176" i="4"/>
  <c r="C176" i="4"/>
  <c r="D176" i="4"/>
  <c r="A177" i="4"/>
  <c r="C177" i="4"/>
  <c r="D177" i="4"/>
  <c r="A178" i="4"/>
  <c r="C178" i="4"/>
  <c r="D178" i="4"/>
  <c r="A179" i="4"/>
  <c r="C179" i="4"/>
  <c r="D179" i="4"/>
  <c r="A180" i="4"/>
  <c r="C180" i="4"/>
  <c r="D180" i="4"/>
  <c r="A181" i="4"/>
  <c r="C181" i="4"/>
  <c r="D181" i="4"/>
  <c r="A182" i="4"/>
  <c r="C182" i="4"/>
  <c r="D182" i="4"/>
  <c r="A183" i="4"/>
  <c r="C183" i="4"/>
  <c r="D183" i="4"/>
  <c r="A184" i="4"/>
  <c r="C184" i="4"/>
  <c r="D184" i="4"/>
  <c r="A185" i="4"/>
  <c r="C185" i="4"/>
  <c r="D185" i="4"/>
  <c r="A186" i="4"/>
  <c r="C186" i="4"/>
  <c r="D186" i="4"/>
  <c r="A187" i="4"/>
  <c r="C187" i="4"/>
  <c r="D187" i="4"/>
  <c r="A188" i="4"/>
  <c r="C188" i="4"/>
  <c r="D188" i="4"/>
  <c r="A189" i="4"/>
  <c r="C189" i="4"/>
  <c r="D189" i="4"/>
  <c r="A190" i="4"/>
  <c r="C190" i="4"/>
  <c r="D190" i="4"/>
  <c r="A191" i="4"/>
  <c r="C191" i="4"/>
  <c r="D191" i="4"/>
  <c r="A192" i="4"/>
  <c r="C192" i="4"/>
  <c r="D192" i="4"/>
  <c r="A193" i="4"/>
  <c r="C193" i="4"/>
  <c r="D193" i="4"/>
  <c r="A194" i="4"/>
  <c r="C194" i="4"/>
  <c r="D194" i="4"/>
  <c r="A195" i="4"/>
  <c r="C195" i="4"/>
  <c r="D195" i="4"/>
  <c r="A196" i="4"/>
  <c r="C196" i="4"/>
  <c r="D196" i="4"/>
  <c r="A197" i="4"/>
  <c r="C197" i="4"/>
  <c r="D197" i="4"/>
  <c r="A198" i="4"/>
  <c r="C198" i="4"/>
  <c r="D198" i="4"/>
  <c r="A199" i="4"/>
  <c r="C199" i="4"/>
  <c r="D199" i="4"/>
  <c r="A200" i="4"/>
  <c r="C200" i="4"/>
  <c r="D200" i="4"/>
  <c r="A201" i="4"/>
  <c r="C201" i="4"/>
  <c r="D201" i="4"/>
  <c r="A202" i="4"/>
  <c r="C202" i="4"/>
  <c r="D202" i="4"/>
  <c r="A203" i="4"/>
  <c r="C203" i="4"/>
  <c r="D203" i="4"/>
  <c r="A204" i="4"/>
  <c r="C204" i="4"/>
  <c r="D204" i="4"/>
  <c r="A205" i="4"/>
  <c r="C205" i="4"/>
  <c r="D205" i="4"/>
  <c r="A206" i="4"/>
  <c r="C206" i="4"/>
  <c r="D206" i="4"/>
  <c r="A207" i="4"/>
  <c r="C207" i="4"/>
  <c r="D207" i="4"/>
  <c r="A208" i="4"/>
  <c r="C208" i="4"/>
  <c r="D208" i="4"/>
  <c r="A209" i="4"/>
  <c r="C209" i="4"/>
  <c r="D209" i="4"/>
  <c r="A210" i="4"/>
  <c r="C210" i="4"/>
  <c r="D210" i="4"/>
  <c r="A211" i="4"/>
  <c r="C211" i="4"/>
  <c r="D211" i="4"/>
  <c r="A212" i="4"/>
  <c r="C212" i="4"/>
  <c r="D212" i="4"/>
  <c r="A8" i="3"/>
  <c r="C8" i="3"/>
  <c r="D8" i="3"/>
  <c r="A9" i="3"/>
  <c r="C9" i="3"/>
  <c r="D9" i="3"/>
  <c r="A10" i="3"/>
  <c r="C10" i="3"/>
  <c r="D10" i="3"/>
  <c r="A11" i="3"/>
  <c r="C11" i="3"/>
  <c r="D11" i="3"/>
  <c r="A12" i="3"/>
  <c r="C12" i="3"/>
  <c r="D12" i="3"/>
  <c r="A13" i="3"/>
  <c r="C13" i="3"/>
  <c r="D13" i="3"/>
  <c r="A14" i="3"/>
  <c r="C14" i="3"/>
  <c r="D14" i="3"/>
  <c r="A15" i="3"/>
  <c r="C15" i="3"/>
  <c r="D15" i="3"/>
  <c r="A16" i="3"/>
  <c r="C16" i="3"/>
  <c r="D16" i="3"/>
  <c r="A17" i="3"/>
  <c r="C17" i="3"/>
  <c r="D17" i="3"/>
  <c r="A18" i="3"/>
  <c r="C18" i="3"/>
  <c r="D18" i="3"/>
  <c r="A19" i="3"/>
  <c r="C19" i="3"/>
  <c r="D19" i="3"/>
  <c r="A20" i="3"/>
  <c r="C20" i="3"/>
  <c r="D20" i="3"/>
  <c r="A21" i="3"/>
  <c r="C21" i="3"/>
  <c r="D21" i="3"/>
  <c r="A22" i="3"/>
  <c r="C22" i="3"/>
  <c r="D22" i="3"/>
  <c r="A23" i="3"/>
  <c r="C23" i="3"/>
  <c r="D23" i="3"/>
  <c r="A24" i="3"/>
  <c r="C24" i="3"/>
  <c r="D24" i="3"/>
  <c r="A25" i="3"/>
  <c r="C25" i="3"/>
  <c r="D25" i="3"/>
  <c r="A26" i="3"/>
  <c r="C26" i="3"/>
  <c r="D26" i="3"/>
  <c r="A27" i="3"/>
  <c r="C27" i="3"/>
  <c r="D27" i="3"/>
  <c r="A28" i="3"/>
  <c r="C28" i="3"/>
  <c r="D28" i="3"/>
  <c r="A29" i="3"/>
  <c r="C29" i="3"/>
  <c r="D29" i="3"/>
  <c r="A30" i="3"/>
  <c r="C30" i="3"/>
  <c r="D30" i="3"/>
  <c r="A31" i="3"/>
  <c r="C31" i="3"/>
  <c r="D31" i="3"/>
  <c r="A32" i="3"/>
  <c r="C32" i="3"/>
  <c r="D32" i="3"/>
  <c r="A33" i="3"/>
  <c r="C33" i="3"/>
  <c r="D33" i="3"/>
  <c r="A34" i="3"/>
  <c r="C34" i="3"/>
  <c r="E34" i="3" s="1"/>
  <c r="D34" i="3"/>
  <c r="A35" i="3"/>
  <c r="C35" i="3"/>
  <c r="D35" i="3"/>
  <c r="A36" i="3"/>
  <c r="C36" i="3"/>
  <c r="D36" i="3"/>
  <c r="A37" i="3"/>
  <c r="C37" i="3"/>
  <c r="D37" i="3"/>
  <c r="A38" i="3"/>
  <c r="C38" i="3"/>
  <c r="D38" i="3"/>
  <c r="A39" i="3"/>
  <c r="C39" i="3"/>
  <c r="E39" i="3" s="1"/>
  <c r="D39" i="3"/>
  <c r="A40" i="3"/>
  <c r="C40" i="3"/>
  <c r="D40" i="3"/>
  <c r="A41" i="3"/>
  <c r="C41" i="3"/>
  <c r="D41" i="3"/>
  <c r="A42" i="3"/>
  <c r="C42" i="3"/>
  <c r="D42" i="3"/>
  <c r="A43" i="3"/>
  <c r="C43" i="3"/>
  <c r="D43" i="3"/>
  <c r="A44" i="3"/>
  <c r="C44" i="3"/>
  <c r="D44" i="3"/>
  <c r="A45" i="3"/>
  <c r="C45" i="3"/>
  <c r="D45" i="3"/>
  <c r="A46" i="3"/>
  <c r="C46" i="3"/>
  <c r="D46" i="3"/>
  <c r="A47" i="3"/>
  <c r="C47" i="3"/>
  <c r="D47" i="3"/>
  <c r="A48" i="3"/>
  <c r="C48" i="3"/>
  <c r="D48" i="3"/>
  <c r="A49" i="3"/>
  <c r="C49" i="3"/>
  <c r="D49" i="3"/>
  <c r="A50" i="3"/>
  <c r="C50" i="3"/>
  <c r="D50" i="3"/>
  <c r="A51" i="3"/>
  <c r="C51" i="3"/>
  <c r="D51" i="3"/>
  <c r="A52" i="3"/>
  <c r="C52" i="3"/>
  <c r="D52" i="3"/>
  <c r="A53" i="3"/>
  <c r="C53" i="3"/>
  <c r="D53" i="3"/>
  <c r="A54" i="3"/>
  <c r="C54" i="3"/>
  <c r="D54" i="3"/>
  <c r="A55" i="3"/>
  <c r="C55" i="3"/>
  <c r="D55" i="3"/>
  <c r="A56" i="3"/>
  <c r="C56" i="3"/>
  <c r="D56" i="3"/>
  <c r="A57" i="3"/>
  <c r="C57" i="3"/>
  <c r="D57" i="3"/>
  <c r="A58" i="3"/>
  <c r="C58" i="3"/>
  <c r="D58" i="3"/>
  <c r="A59" i="3"/>
  <c r="C59" i="3"/>
  <c r="D59" i="3"/>
  <c r="A60" i="3"/>
  <c r="C60" i="3"/>
  <c r="D60" i="3"/>
  <c r="A61" i="3"/>
  <c r="C61" i="3"/>
  <c r="D61" i="3"/>
  <c r="A62" i="3"/>
  <c r="C62" i="3"/>
  <c r="D62" i="3"/>
  <c r="A63" i="3"/>
  <c r="C63" i="3"/>
  <c r="D63" i="3"/>
  <c r="A64" i="3"/>
  <c r="C64" i="3"/>
  <c r="D64" i="3"/>
  <c r="A65" i="3"/>
  <c r="C65" i="3"/>
  <c r="D65" i="3"/>
  <c r="A66" i="3"/>
  <c r="C66" i="3"/>
  <c r="D66" i="3"/>
  <c r="A67" i="3"/>
  <c r="C67" i="3"/>
  <c r="D67" i="3"/>
  <c r="A68" i="3"/>
  <c r="C68" i="3"/>
  <c r="D68" i="3"/>
  <c r="A69" i="3"/>
  <c r="C69" i="3"/>
  <c r="D69" i="3"/>
  <c r="A70" i="3"/>
  <c r="C70" i="3"/>
  <c r="D70" i="3"/>
  <c r="A71" i="3"/>
  <c r="C71" i="3"/>
  <c r="D71" i="3"/>
  <c r="A72" i="3"/>
  <c r="C72" i="3"/>
  <c r="D72" i="3"/>
  <c r="A73" i="3"/>
  <c r="C73" i="3"/>
  <c r="D73" i="3"/>
  <c r="A74" i="3"/>
  <c r="C74" i="3"/>
  <c r="D74" i="3"/>
  <c r="A75" i="3"/>
  <c r="C75" i="3"/>
  <c r="D75" i="3"/>
  <c r="A76" i="3"/>
  <c r="C76" i="3"/>
  <c r="D76" i="3"/>
  <c r="A77" i="3"/>
  <c r="C77" i="3"/>
  <c r="D77" i="3"/>
  <c r="A78" i="3"/>
  <c r="C78" i="3"/>
  <c r="D78" i="3"/>
  <c r="A79" i="3"/>
  <c r="C79" i="3"/>
  <c r="D79" i="3"/>
  <c r="A80" i="3"/>
  <c r="C80" i="3"/>
  <c r="D80" i="3"/>
  <c r="A81" i="3"/>
  <c r="C81" i="3"/>
  <c r="D81" i="3"/>
  <c r="A82" i="3"/>
  <c r="C82" i="3"/>
  <c r="D82" i="3"/>
  <c r="A83" i="3"/>
  <c r="C83" i="3"/>
  <c r="D83" i="3"/>
  <c r="A84" i="3"/>
  <c r="C84" i="3"/>
  <c r="D84" i="3"/>
  <c r="A85" i="3"/>
  <c r="C85" i="3"/>
  <c r="D85" i="3"/>
  <c r="A86" i="3"/>
  <c r="C86" i="3"/>
  <c r="D86" i="3"/>
  <c r="A87" i="3"/>
  <c r="C87" i="3"/>
  <c r="D87" i="3"/>
  <c r="A88" i="3"/>
  <c r="C88" i="3"/>
  <c r="D88" i="3"/>
  <c r="A89" i="3"/>
  <c r="C89" i="3"/>
  <c r="D89" i="3"/>
  <c r="A90" i="3"/>
  <c r="C90" i="3"/>
  <c r="D90" i="3"/>
  <c r="A91" i="3"/>
  <c r="C91" i="3"/>
  <c r="D91" i="3"/>
  <c r="A92" i="3"/>
  <c r="C92" i="3"/>
  <c r="D92" i="3"/>
  <c r="A93" i="3"/>
  <c r="C93" i="3"/>
  <c r="D93" i="3"/>
  <c r="A94" i="3"/>
  <c r="C94" i="3"/>
  <c r="D94" i="3"/>
  <c r="A95" i="3"/>
  <c r="C95" i="3"/>
  <c r="D95" i="3"/>
  <c r="A96" i="3"/>
  <c r="C96" i="3"/>
  <c r="D96" i="3"/>
  <c r="A97" i="3"/>
  <c r="C97" i="3"/>
  <c r="D97" i="3"/>
  <c r="A98" i="3"/>
  <c r="C98" i="3"/>
  <c r="D98" i="3"/>
  <c r="A99" i="3"/>
  <c r="C99" i="3"/>
  <c r="D99" i="3"/>
  <c r="A100" i="3"/>
  <c r="C100" i="3"/>
  <c r="D100" i="3"/>
  <c r="A101" i="3"/>
  <c r="C101" i="3"/>
  <c r="D101" i="3"/>
  <c r="A102" i="3"/>
  <c r="C102" i="3"/>
  <c r="D102" i="3"/>
  <c r="A103" i="3"/>
  <c r="C103" i="3"/>
  <c r="D103" i="3"/>
  <c r="A104" i="3"/>
  <c r="C104" i="3"/>
  <c r="D104" i="3"/>
  <c r="A105" i="3"/>
  <c r="C105" i="3"/>
  <c r="D105" i="3"/>
  <c r="A106" i="3"/>
  <c r="C106" i="3"/>
  <c r="D106" i="3"/>
  <c r="A107" i="3"/>
  <c r="C107" i="3"/>
  <c r="D107" i="3"/>
  <c r="A108" i="3"/>
  <c r="C108" i="3"/>
  <c r="D108" i="3"/>
  <c r="A109" i="3"/>
  <c r="C109" i="3"/>
  <c r="D109" i="3"/>
  <c r="A110" i="3"/>
  <c r="C110" i="3"/>
  <c r="D110" i="3"/>
  <c r="A111" i="3"/>
  <c r="C111" i="3"/>
  <c r="D111" i="3"/>
  <c r="A112" i="3"/>
  <c r="C112" i="3"/>
  <c r="D112" i="3"/>
  <c r="A113" i="3"/>
  <c r="C113" i="3"/>
  <c r="D113" i="3"/>
  <c r="A114" i="3"/>
  <c r="C114" i="3"/>
  <c r="D114" i="3"/>
  <c r="A115" i="3"/>
  <c r="C115" i="3"/>
  <c r="D115" i="3"/>
  <c r="A116" i="3"/>
  <c r="C116" i="3"/>
  <c r="D116" i="3"/>
  <c r="A117" i="3"/>
  <c r="C117" i="3"/>
  <c r="D117" i="3"/>
  <c r="A118" i="3"/>
  <c r="C118" i="3"/>
  <c r="D118" i="3"/>
  <c r="A119" i="3"/>
  <c r="C119" i="3"/>
  <c r="D119" i="3"/>
  <c r="A120" i="3"/>
  <c r="C120" i="3"/>
  <c r="D120" i="3"/>
  <c r="A121" i="3"/>
  <c r="C121" i="3"/>
  <c r="D121" i="3"/>
  <c r="A122" i="3"/>
  <c r="C122" i="3"/>
  <c r="D122" i="3"/>
  <c r="A123" i="3"/>
  <c r="C123" i="3"/>
  <c r="D123" i="3"/>
  <c r="A124" i="3"/>
  <c r="C124" i="3"/>
  <c r="D124" i="3"/>
  <c r="A125" i="3"/>
  <c r="C125" i="3"/>
  <c r="D125" i="3"/>
  <c r="A126" i="3"/>
  <c r="C126" i="3"/>
  <c r="D126" i="3"/>
  <c r="A127" i="3"/>
  <c r="C127" i="3"/>
  <c r="D127" i="3"/>
  <c r="A128" i="3"/>
  <c r="C128" i="3"/>
  <c r="D128" i="3"/>
  <c r="A129" i="3"/>
  <c r="C129" i="3"/>
  <c r="D129" i="3"/>
  <c r="A130" i="3"/>
  <c r="C130" i="3"/>
  <c r="D130" i="3"/>
  <c r="A131" i="3"/>
  <c r="C131" i="3"/>
  <c r="D131" i="3"/>
  <c r="A132" i="3"/>
  <c r="C132" i="3"/>
  <c r="D132" i="3"/>
  <c r="A133" i="3"/>
  <c r="C133" i="3"/>
  <c r="D133" i="3"/>
  <c r="A134" i="3"/>
  <c r="C134" i="3"/>
  <c r="D134" i="3"/>
  <c r="A135" i="3"/>
  <c r="C135" i="3"/>
  <c r="D135" i="3"/>
  <c r="A136" i="3"/>
  <c r="C136" i="3"/>
  <c r="D136" i="3"/>
  <c r="A137" i="3"/>
  <c r="C137" i="3"/>
  <c r="D137" i="3"/>
  <c r="A138" i="3"/>
  <c r="C138" i="3"/>
  <c r="D138" i="3"/>
  <c r="A139" i="3"/>
  <c r="C139" i="3"/>
  <c r="D139" i="3"/>
  <c r="A140" i="3"/>
  <c r="C140" i="3"/>
  <c r="D140" i="3"/>
  <c r="A141" i="3"/>
  <c r="C141" i="3"/>
  <c r="D141" i="3"/>
  <c r="A142" i="3"/>
  <c r="C142" i="3"/>
  <c r="D142" i="3"/>
  <c r="A143" i="3"/>
  <c r="C143" i="3"/>
  <c r="D143" i="3"/>
  <c r="A144" i="3"/>
  <c r="C144" i="3"/>
  <c r="D144" i="3"/>
  <c r="A145" i="3"/>
  <c r="C145" i="3"/>
  <c r="D145" i="3"/>
  <c r="A146" i="3"/>
  <c r="C146" i="3"/>
  <c r="D146" i="3"/>
  <c r="A147" i="3"/>
  <c r="C147" i="3"/>
  <c r="D147" i="3"/>
  <c r="A148" i="3"/>
  <c r="C148" i="3"/>
  <c r="D148" i="3"/>
  <c r="A149" i="3"/>
  <c r="C149" i="3"/>
  <c r="D149" i="3"/>
  <c r="A150" i="3"/>
  <c r="C150" i="3"/>
  <c r="D150" i="3"/>
  <c r="A151" i="3"/>
  <c r="C151" i="3"/>
  <c r="D151" i="3"/>
  <c r="A152" i="3"/>
  <c r="C152" i="3"/>
  <c r="D152" i="3"/>
  <c r="A153" i="3"/>
  <c r="C153" i="3"/>
  <c r="D153" i="3"/>
  <c r="A154" i="3"/>
  <c r="C154" i="3"/>
  <c r="D154" i="3"/>
  <c r="A155" i="3"/>
  <c r="C155" i="3"/>
  <c r="D155" i="3"/>
  <c r="A156" i="3"/>
  <c r="C156" i="3"/>
  <c r="D156" i="3"/>
  <c r="A157" i="3"/>
  <c r="C157" i="3"/>
  <c r="D157" i="3"/>
  <c r="A158" i="3"/>
  <c r="C158" i="3"/>
  <c r="D158" i="3"/>
  <c r="A159" i="3"/>
  <c r="C159" i="3"/>
  <c r="D159" i="3"/>
  <c r="A160" i="3"/>
  <c r="C160" i="3"/>
  <c r="D160" i="3"/>
  <c r="A161" i="3"/>
  <c r="C161" i="3"/>
  <c r="D161" i="3"/>
  <c r="A162" i="3"/>
  <c r="C162" i="3"/>
  <c r="D162" i="3"/>
  <c r="A163" i="3"/>
  <c r="C163" i="3"/>
  <c r="D163" i="3"/>
  <c r="A164" i="3"/>
  <c r="C164" i="3"/>
  <c r="D164" i="3"/>
  <c r="A165" i="3"/>
  <c r="C165" i="3"/>
  <c r="D165" i="3"/>
  <c r="A166" i="3"/>
  <c r="C166" i="3"/>
  <c r="D166" i="3"/>
  <c r="A167" i="3"/>
  <c r="C167" i="3"/>
  <c r="D167" i="3"/>
  <c r="A168" i="3"/>
  <c r="C168" i="3"/>
  <c r="D168" i="3"/>
  <c r="A169" i="3"/>
  <c r="C169" i="3"/>
  <c r="D169" i="3"/>
  <c r="A170" i="3"/>
  <c r="C170" i="3"/>
  <c r="D170" i="3"/>
  <c r="A171" i="3"/>
  <c r="C171" i="3"/>
  <c r="D171" i="3"/>
  <c r="A172" i="3"/>
  <c r="C172" i="3"/>
  <c r="D172" i="3"/>
  <c r="A173" i="3"/>
  <c r="C173" i="3"/>
  <c r="D173" i="3"/>
  <c r="A174" i="3"/>
  <c r="C174" i="3"/>
  <c r="D174" i="3"/>
  <c r="A175" i="3"/>
  <c r="C175" i="3"/>
  <c r="D175" i="3"/>
  <c r="A176" i="3"/>
  <c r="C176" i="3"/>
  <c r="D176" i="3"/>
  <c r="A177" i="3"/>
  <c r="C177" i="3"/>
  <c r="D177" i="3"/>
  <c r="A178" i="3"/>
  <c r="C178" i="3"/>
  <c r="D178" i="3"/>
  <c r="A179" i="3"/>
  <c r="C179" i="3"/>
  <c r="D179" i="3"/>
  <c r="A180" i="3"/>
  <c r="C180" i="3"/>
  <c r="D180" i="3"/>
  <c r="A181" i="3"/>
  <c r="C181" i="3"/>
  <c r="D181" i="3"/>
  <c r="A182" i="3"/>
  <c r="C182" i="3"/>
  <c r="D182" i="3"/>
  <c r="A183" i="3"/>
  <c r="C183" i="3"/>
  <c r="D183" i="3"/>
  <c r="A184" i="3"/>
  <c r="C184" i="3"/>
  <c r="D184" i="3"/>
  <c r="A185" i="3"/>
  <c r="C185" i="3"/>
  <c r="D185" i="3"/>
  <c r="A186" i="3"/>
  <c r="C186" i="3"/>
  <c r="D186" i="3"/>
  <c r="A187" i="3"/>
  <c r="C187" i="3"/>
  <c r="D187" i="3"/>
  <c r="A188" i="3"/>
  <c r="C188" i="3"/>
  <c r="D188" i="3"/>
  <c r="A189" i="3"/>
  <c r="C189" i="3"/>
  <c r="D189" i="3"/>
  <c r="A190" i="3"/>
  <c r="C190" i="3"/>
  <c r="D190" i="3"/>
  <c r="A191" i="3"/>
  <c r="C191" i="3"/>
  <c r="D191" i="3"/>
  <c r="A192" i="3"/>
  <c r="C192" i="3"/>
  <c r="D192" i="3"/>
  <c r="A193" i="3"/>
  <c r="C193" i="3"/>
  <c r="D193" i="3"/>
  <c r="A194" i="3"/>
  <c r="C194" i="3"/>
  <c r="D194" i="3"/>
  <c r="A195" i="3"/>
  <c r="C195" i="3"/>
  <c r="D195" i="3"/>
  <c r="A196" i="3"/>
  <c r="C196" i="3"/>
  <c r="D196" i="3"/>
  <c r="A197" i="3"/>
  <c r="C197" i="3"/>
  <c r="D197" i="3"/>
  <c r="A198" i="3"/>
  <c r="C198" i="3"/>
  <c r="D198" i="3"/>
  <c r="A199" i="3"/>
  <c r="C199" i="3"/>
  <c r="D199" i="3"/>
  <c r="A200" i="3"/>
  <c r="C200" i="3"/>
  <c r="D200" i="3"/>
  <c r="A201" i="3"/>
  <c r="C201" i="3"/>
  <c r="D201" i="3"/>
  <c r="A202" i="3"/>
  <c r="C202" i="3"/>
  <c r="D202" i="3"/>
  <c r="A203" i="3"/>
  <c r="C203" i="3"/>
  <c r="D203" i="3"/>
  <c r="A204" i="3"/>
  <c r="C204" i="3"/>
  <c r="D204" i="3"/>
  <c r="A205" i="3"/>
  <c r="C205" i="3"/>
  <c r="D205" i="3"/>
  <c r="A206" i="3"/>
  <c r="C206" i="3"/>
  <c r="D206" i="3"/>
  <c r="A207" i="3"/>
  <c r="C207" i="3"/>
  <c r="D207" i="3"/>
  <c r="A208" i="3"/>
  <c r="C208" i="3"/>
  <c r="D208" i="3"/>
  <c r="A209" i="3"/>
  <c r="C209" i="3"/>
  <c r="D209" i="3"/>
  <c r="A210" i="3"/>
  <c r="C210" i="3"/>
  <c r="D210" i="3"/>
  <c r="A211" i="3"/>
  <c r="C211" i="3"/>
  <c r="D211" i="3"/>
  <c r="A212" i="3"/>
  <c r="C212" i="3"/>
  <c r="D212" i="3"/>
  <c r="A213" i="3"/>
  <c r="C213" i="3"/>
  <c r="D213" i="3"/>
  <c r="A214" i="3"/>
  <c r="C214" i="3"/>
  <c r="D214" i="3"/>
  <c r="A215" i="3"/>
  <c r="C215" i="3"/>
  <c r="D215" i="3"/>
  <c r="A216" i="3"/>
  <c r="C216" i="3"/>
  <c r="D216" i="3"/>
  <c r="A217" i="3"/>
  <c r="C217" i="3"/>
  <c r="D217" i="3"/>
  <c r="A218" i="3"/>
  <c r="C218" i="3"/>
  <c r="D218" i="3"/>
  <c r="A219" i="3"/>
  <c r="C219" i="3"/>
  <c r="D219" i="3"/>
  <c r="E219" i="3" s="1"/>
  <c r="A220" i="3"/>
  <c r="C220" i="3"/>
  <c r="D220" i="3"/>
  <c r="A221" i="3"/>
  <c r="C221" i="3"/>
  <c r="D221" i="3"/>
  <c r="A222" i="3"/>
  <c r="C222" i="3"/>
  <c r="D222" i="3"/>
  <c r="A223" i="3"/>
  <c r="C223" i="3"/>
  <c r="D223" i="3"/>
  <c r="A224" i="3"/>
  <c r="C224" i="3"/>
  <c r="D224" i="3"/>
  <c r="A225" i="3"/>
  <c r="C225" i="3"/>
  <c r="D225" i="3"/>
  <c r="A226" i="3"/>
  <c r="C226" i="3"/>
  <c r="D226" i="3"/>
  <c r="A227" i="3"/>
  <c r="C227" i="3"/>
  <c r="D227" i="3"/>
  <c r="A8" i="2"/>
  <c r="C8" i="2"/>
  <c r="D8" i="2"/>
  <c r="A9" i="2"/>
  <c r="C9" i="2"/>
  <c r="D9" i="2"/>
  <c r="A10" i="2"/>
  <c r="C10" i="2"/>
  <c r="D10" i="2"/>
  <c r="A11" i="2"/>
  <c r="C11" i="2"/>
  <c r="D11" i="2"/>
  <c r="A12" i="2"/>
  <c r="C12" i="2"/>
  <c r="D12" i="2"/>
  <c r="A13" i="2"/>
  <c r="C13" i="2"/>
  <c r="D13" i="2"/>
  <c r="A14" i="2"/>
  <c r="C14" i="2"/>
  <c r="D14" i="2"/>
  <c r="A15" i="2"/>
  <c r="C15" i="2"/>
  <c r="D15" i="2"/>
  <c r="A16" i="2"/>
  <c r="C16" i="2"/>
  <c r="D16" i="2"/>
  <c r="A17" i="2"/>
  <c r="C17" i="2"/>
  <c r="D17" i="2"/>
  <c r="A18" i="2"/>
  <c r="C18" i="2"/>
  <c r="D18" i="2"/>
  <c r="A19" i="2"/>
  <c r="C19" i="2"/>
  <c r="D19" i="2"/>
  <c r="A20" i="2"/>
  <c r="C20" i="2"/>
  <c r="D20" i="2"/>
  <c r="A21" i="2"/>
  <c r="C21" i="2"/>
  <c r="D21" i="2"/>
  <c r="A22" i="2"/>
  <c r="C22" i="2"/>
  <c r="D22" i="2"/>
  <c r="A23" i="2"/>
  <c r="C23" i="2"/>
  <c r="D23" i="2"/>
  <c r="A24" i="2"/>
  <c r="C24" i="2"/>
  <c r="D24" i="2"/>
  <c r="A25" i="2"/>
  <c r="C25" i="2"/>
  <c r="D25" i="2"/>
  <c r="A26" i="2"/>
  <c r="C26" i="2"/>
  <c r="D26" i="2"/>
  <c r="A27" i="2"/>
  <c r="C27" i="2"/>
  <c r="D27" i="2"/>
  <c r="A28" i="2"/>
  <c r="C28" i="2"/>
  <c r="D28" i="2"/>
  <c r="A29" i="2"/>
  <c r="C29" i="2"/>
  <c r="D29" i="2"/>
  <c r="A30" i="2"/>
  <c r="C30" i="2"/>
  <c r="D30" i="2"/>
  <c r="A31" i="2"/>
  <c r="C31" i="2"/>
  <c r="D31" i="2"/>
  <c r="A32" i="2"/>
  <c r="C32" i="2"/>
  <c r="D32" i="2"/>
  <c r="A33" i="2"/>
  <c r="C33" i="2"/>
  <c r="D33" i="2"/>
  <c r="A34" i="2"/>
  <c r="C34" i="2"/>
  <c r="D34" i="2"/>
  <c r="A35" i="2"/>
  <c r="C35" i="2"/>
  <c r="D35" i="2"/>
  <c r="A36" i="2"/>
  <c r="C36" i="2"/>
  <c r="D36" i="2"/>
  <c r="A37" i="2"/>
  <c r="C37" i="2"/>
  <c r="D37" i="2"/>
  <c r="A38" i="2"/>
  <c r="C38" i="2"/>
  <c r="D38" i="2"/>
  <c r="A39" i="2"/>
  <c r="C39" i="2"/>
  <c r="D39" i="2"/>
  <c r="A40" i="2"/>
  <c r="C40" i="2"/>
  <c r="D40" i="2"/>
  <c r="A41" i="2"/>
  <c r="C41" i="2"/>
  <c r="D41" i="2"/>
  <c r="A42" i="2"/>
  <c r="C42" i="2"/>
  <c r="D42" i="2"/>
  <c r="A43" i="2"/>
  <c r="C43" i="2"/>
  <c r="D43" i="2"/>
  <c r="A44" i="2"/>
  <c r="C44" i="2"/>
  <c r="D44" i="2"/>
  <c r="A45" i="2"/>
  <c r="C45" i="2"/>
  <c r="D45" i="2"/>
  <c r="A46" i="2"/>
  <c r="C46" i="2"/>
  <c r="D46" i="2"/>
  <c r="A47" i="2"/>
  <c r="C47" i="2"/>
  <c r="D47" i="2"/>
  <c r="A48" i="2"/>
  <c r="C48" i="2"/>
  <c r="D48" i="2"/>
  <c r="A49" i="2"/>
  <c r="C49" i="2"/>
  <c r="D49" i="2"/>
  <c r="A50" i="2"/>
  <c r="C50" i="2"/>
  <c r="D50" i="2"/>
  <c r="A51" i="2"/>
  <c r="C51" i="2"/>
  <c r="D51" i="2"/>
  <c r="A52" i="2"/>
  <c r="C52" i="2"/>
  <c r="D52" i="2"/>
  <c r="A53" i="2"/>
  <c r="C53" i="2"/>
  <c r="D53" i="2"/>
  <c r="A54" i="2"/>
  <c r="C54" i="2"/>
  <c r="D54" i="2"/>
  <c r="A55" i="2"/>
  <c r="C55" i="2"/>
  <c r="D55" i="2"/>
  <c r="A56" i="2"/>
  <c r="C56" i="2"/>
  <c r="D56" i="2"/>
  <c r="A57" i="2"/>
  <c r="C57" i="2"/>
  <c r="D57" i="2"/>
  <c r="A58" i="2"/>
  <c r="C58" i="2"/>
  <c r="D58" i="2"/>
  <c r="A59" i="2"/>
  <c r="C59" i="2"/>
  <c r="D59" i="2"/>
  <c r="A60" i="2"/>
  <c r="C60" i="2"/>
  <c r="D60" i="2"/>
  <c r="A61" i="2"/>
  <c r="C61" i="2"/>
  <c r="D61" i="2"/>
  <c r="A62" i="2"/>
  <c r="C62" i="2"/>
  <c r="D62" i="2"/>
  <c r="A63" i="2"/>
  <c r="C63" i="2"/>
  <c r="D63" i="2"/>
  <c r="A64" i="2"/>
  <c r="C64" i="2"/>
  <c r="D64" i="2"/>
  <c r="A65" i="2"/>
  <c r="C65" i="2"/>
  <c r="D65" i="2"/>
  <c r="A66" i="2"/>
  <c r="C66" i="2"/>
  <c r="D66" i="2"/>
  <c r="A67" i="2"/>
  <c r="C67" i="2"/>
  <c r="D67" i="2"/>
  <c r="A68" i="2"/>
  <c r="C68" i="2"/>
  <c r="D68" i="2"/>
  <c r="A69" i="2"/>
  <c r="C69" i="2"/>
  <c r="D69" i="2"/>
  <c r="A70" i="2"/>
  <c r="C70" i="2"/>
  <c r="D70" i="2"/>
  <c r="A71" i="2"/>
  <c r="C71" i="2"/>
  <c r="D71" i="2"/>
  <c r="A72" i="2"/>
  <c r="C72" i="2"/>
  <c r="D72" i="2"/>
  <c r="A73" i="2"/>
  <c r="C73" i="2"/>
  <c r="D73" i="2"/>
  <c r="A74" i="2"/>
  <c r="C74" i="2"/>
  <c r="D74" i="2"/>
  <c r="A75" i="2"/>
  <c r="C75" i="2"/>
  <c r="D75" i="2"/>
  <c r="A76" i="2"/>
  <c r="C76" i="2"/>
  <c r="D76" i="2"/>
  <c r="A77" i="2"/>
  <c r="C77" i="2"/>
  <c r="D77" i="2"/>
  <c r="A78" i="2"/>
  <c r="C78" i="2"/>
  <c r="D78" i="2"/>
  <c r="A79" i="2"/>
  <c r="C79" i="2"/>
  <c r="D79" i="2"/>
  <c r="A80" i="2"/>
  <c r="C80" i="2"/>
  <c r="D80" i="2"/>
  <c r="A81" i="2"/>
  <c r="C81" i="2"/>
  <c r="D81" i="2"/>
  <c r="A82" i="2"/>
  <c r="C82" i="2"/>
  <c r="D82" i="2"/>
  <c r="A83" i="2"/>
  <c r="C83" i="2"/>
  <c r="D83" i="2"/>
  <c r="A84" i="2"/>
  <c r="C84" i="2"/>
  <c r="D84" i="2"/>
  <c r="A85" i="2"/>
  <c r="C85" i="2"/>
  <c r="D85" i="2"/>
  <c r="A86" i="2"/>
  <c r="C86" i="2"/>
  <c r="D86" i="2"/>
  <c r="A87" i="2"/>
  <c r="C87" i="2"/>
  <c r="D87" i="2"/>
  <c r="A88" i="2"/>
  <c r="C88" i="2"/>
  <c r="D88" i="2"/>
  <c r="A89" i="2"/>
  <c r="C89" i="2"/>
  <c r="D89" i="2"/>
  <c r="A90" i="2"/>
  <c r="C90" i="2"/>
  <c r="D90" i="2"/>
  <c r="A91" i="2"/>
  <c r="C91" i="2"/>
  <c r="D91" i="2"/>
  <c r="A92" i="2"/>
  <c r="C92" i="2"/>
  <c r="D92" i="2"/>
  <c r="A93" i="2"/>
  <c r="C93" i="2"/>
  <c r="D93" i="2"/>
  <c r="A94" i="2"/>
  <c r="C94" i="2"/>
  <c r="D94" i="2"/>
  <c r="A95" i="2"/>
  <c r="C95" i="2"/>
  <c r="D95" i="2"/>
  <c r="A96" i="2"/>
  <c r="C96" i="2"/>
  <c r="D96" i="2"/>
  <c r="A97" i="2"/>
  <c r="C97" i="2"/>
  <c r="D97" i="2"/>
  <c r="A98" i="2"/>
  <c r="C98" i="2"/>
  <c r="D98" i="2"/>
  <c r="A99" i="2"/>
  <c r="C99" i="2"/>
  <c r="D99" i="2"/>
  <c r="A100" i="2"/>
  <c r="C100" i="2"/>
  <c r="D100" i="2"/>
  <c r="A101" i="2"/>
  <c r="C101" i="2"/>
  <c r="D101" i="2"/>
  <c r="A102" i="2"/>
  <c r="C102" i="2"/>
  <c r="D102" i="2"/>
  <c r="A103" i="2"/>
  <c r="C103" i="2"/>
  <c r="D103" i="2"/>
  <c r="A104" i="2"/>
  <c r="C104" i="2"/>
  <c r="D104" i="2"/>
  <c r="A105" i="2"/>
  <c r="C105" i="2"/>
  <c r="D105" i="2"/>
  <c r="A106" i="2"/>
  <c r="C106" i="2"/>
  <c r="D106" i="2"/>
  <c r="A107" i="2"/>
  <c r="C107" i="2"/>
  <c r="D107" i="2"/>
  <c r="A108" i="2"/>
  <c r="C108" i="2"/>
  <c r="D108" i="2"/>
  <c r="A109" i="2"/>
  <c r="C109" i="2"/>
  <c r="D109" i="2"/>
  <c r="A110" i="2"/>
  <c r="C110" i="2"/>
  <c r="D110" i="2"/>
  <c r="A111" i="2"/>
  <c r="C111" i="2"/>
  <c r="D111" i="2"/>
  <c r="A112" i="2"/>
  <c r="C112" i="2"/>
  <c r="D112" i="2"/>
  <c r="A113" i="2"/>
  <c r="C113" i="2"/>
  <c r="D113" i="2"/>
  <c r="A114" i="2"/>
  <c r="C114" i="2"/>
  <c r="D114" i="2"/>
  <c r="A115" i="2"/>
  <c r="C115" i="2"/>
  <c r="D115" i="2"/>
  <c r="A116" i="2"/>
  <c r="C116" i="2"/>
  <c r="D116" i="2"/>
  <c r="A117" i="2"/>
  <c r="C117" i="2"/>
  <c r="D117" i="2"/>
  <c r="A118" i="2"/>
  <c r="C118" i="2"/>
  <c r="D118" i="2"/>
  <c r="A119" i="2"/>
  <c r="C119" i="2"/>
  <c r="D119" i="2"/>
  <c r="A120" i="2"/>
  <c r="C120" i="2"/>
  <c r="D120" i="2"/>
  <c r="A121" i="2"/>
  <c r="C121" i="2"/>
  <c r="D121" i="2"/>
  <c r="A122" i="2"/>
  <c r="C122" i="2"/>
  <c r="D122" i="2"/>
  <c r="A123" i="2"/>
  <c r="C123" i="2"/>
  <c r="D123" i="2"/>
  <c r="A124" i="2"/>
  <c r="C124" i="2"/>
  <c r="D124" i="2"/>
  <c r="A125" i="2"/>
  <c r="C125" i="2"/>
  <c r="D125" i="2"/>
  <c r="A126" i="2"/>
  <c r="C126" i="2"/>
  <c r="D126" i="2"/>
  <c r="A127" i="2"/>
  <c r="C127" i="2"/>
  <c r="D127" i="2"/>
  <c r="A128" i="2"/>
  <c r="C128" i="2"/>
  <c r="D128" i="2"/>
  <c r="A129" i="2"/>
  <c r="C129" i="2"/>
  <c r="D129" i="2"/>
  <c r="A130" i="2"/>
  <c r="C130" i="2"/>
  <c r="D130" i="2"/>
  <c r="A131" i="2"/>
  <c r="C131" i="2"/>
  <c r="D131" i="2"/>
  <c r="A132" i="2"/>
  <c r="C132" i="2"/>
  <c r="D132" i="2"/>
  <c r="A133" i="2"/>
  <c r="C133" i="2"/>
  <c r="D133" i="2"/>
  <c r="A134" i="2"/>
  <c r="C134" i="2"/>
  <c r="D134" i="2"/>
  <c r="A135" i="2"/>
  <c r="C135" i="2"/>
  <c r="D135" i="2"/>
  <c r="A136" i="2"/>
  <c r="C136" i="2"/>
  <c r="D136" i="2"/>
  <c r="A137" i="2"/>
  <c r="C137" i="2"/>
  <c r="D137" i="2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E36" i="3" l="1"/>
  <c r="E192" i="3"/>
  <c r="E117" i="2"/>
  <c r="E198" i="3"/>
  <c r="E57" i="3"/>
  <c r="E192" i="4"/>
  <c r="E113" i="2"/>
  <c r="E215" i="3"/>
  <c r="E207" i="3"/>
  <c r="E205" i="3"/>
  <c r="E201" i="3"/>
  <c r="E196" i="3"/>
  <c r="E189" i="3"/>
  <c r="E167" i="3"/>
  <c r="E161" i="3"/>
  <c r="E153" i="3"/>
  <c r="E25" i="4"/>
  <c r="E45" i="3"/>
  <c r="E25" i="3"/>
  <c r="E13" i="3"/>
  <c r="E131" i="2"/>
  <c r="E13" i="2"/>
  <c r="E183" i="4"/>
  <c r="E187" i="3"/>
  <c r="E149" i="3"/>
  <c r="E210" i="4"/>
  <c r="E190" i="4"/>
  <c r="E9" i="3"/>
  <c r="E135" i="2"/>
  <c r="E174" i="4"/>
  <c r="E172" i="4"/>
  <c r="E170" i="4"/>
  <c r="E166" i="4"/>
  <c r="E59" i="2"/>
  <c r="E31" i="4"/>
  <c r="E201" i="4"/>
  <c r="E179" i="3"/>
  <c r="E54" i="3"/>
  <c r="E88" i="2"/>
  <c r="E70" i="2"/>
  <c r="E95" i="2"/>
  <c r="E81" i="2"/>
  <c r="E77" i="2"/>
  <c r="E112" i="2"/>
  <c r="E94" i="2"/>
  <c r="E108" i="2"/>
  <c r="E98" i="2"/>
  <c r="E90" i="2"/>
  <c r="E62" i="2"/>
  <c r="E58" i="2"/>
  <c r="E50" i="2"/>
  <c r="E41" i="2"/>
  <c r="E208" i="4"/>
  <c r="E165" i="4"/>
  <c r="E163" i="4"/>
  <c r="E161" i="4"/>
  <c r="E157" i="4"/>
  <c r="E89" i="4"/>
  <c r="E39" i="4"/>
  <c r="E88" i="4"/>
  <c r="E70" i="4"/>
  <c r="E58" i="4"/>
  <c r="E52" i="4"/>
  <c r="E50" i="4"/>
  <c r="E43" i="3"/>
  <c r="E29" i="3"/>
  <c r="E27" i="3"/>
  <c r="E147" i="4"/>
  <c r="E145" i="4"/>
  <c r="E143" i="4"/>
  <c r="E129" i="4"/>
  <c r="E127" i="4"/>
  <c r="E121" i="4"/>
  <c r="E111" i="4"/>
  <c r="E109" i="4"/>
  <c r="E107" i="4"/>
  <c r="E19" i="3"/>
  <c r="E130" i="2"/>
  <c r="E8" i="2"/>
  <c r="E97" i="4"/>
  <c r="E85" i="4"/>
  <c r="E79" i="4"/>
  <c r="E61" i="4"/>
  <c r="E34" i="4"/>
  <c r="E32" i="4"/>
  <c r="E224" i="3"/>
  <c r="E84" i="3"/>
  <c r="E199" i="4"/>
  <c r="E184" i="4"/>
  <c r="E142" i="4"/>
  <c r="E124" i="4"/>
  <c r="E122" i="4"/>
  <c r="E106" i="4"/>
  <c r="E156" i="3"/>
  <c r="E143" i="3"/>
  <c r="E126" i="2"/>
  <c r="E124" i="2"/>
  <c r="E47" i="2"/>
  <c r="E42" i="2"/>
  <c r="E36" i="2"/>
  <c r="E179" i="4"/>
  <c r="E71" i="4"/>
  <c r="E37" i="4"/>
  <c r="E63" i="3"/>
  <c r="E19" i="2"/>
  <c r="E30" i="4"/>
  <c r="E21" i="4"/>
  <c r="E18" i="4"/>
  <c r="E222" i="3"/>
  <c r="E210" i="3"/>
  <c r="E174" i="3"/>
  <c r="E151" i="3"/>
  <c r="E97" i="3"/>
  <c r="E99" i="3"/>
  <c r="E81" i="3"/>
  <c r="E75" i="3"/>
  <c r="E122" i="2"/>
  <c r="E35" i="2"/>
  <c r="E33" i="2"/>
  <c r="E212" i="4"/>
  <c r="E211" i="4"/>
  <c r="E196" i="4"/>
  <c r="E194" i="4"/>
  <c r="E181" i="4"/>
  <c r="E178" i="4"/>
  <c r="E175" i="4"/>
  <c r="E93" i="4"/>
  <c r="E91" i="4"/>
  <c r="E84" i="4"/>
  <c r="E73" i="4"/>
  <c r="E67" i="4"/>
  <c r="E66" i="4"/>
  <c r="E57" i="4"/>
  <c r="E55" i="4"/>
  <c r="E48" i="4"/>
  <c r="E45" i="4"/>
  <c r="E13" i="4"/>
  <c r="E213" i="3"/>
  <c r="E169" i="3"/>
  <c r="E171" i="3"/>
  <c r="E131" i="3"/>
  <c r="E120" i="3"/>
  <c r="E106" i="3"/>
  <c r="E88" i="3"/>
  <c r="E90" i="3"/>
  <c r="E111" i="3"/>
  <c r="E72" i="3"/>
  <c r="E52" i="3"/>
  <c r="E48" i="3"/>
  <c r="E129" i="2"/>
  <c r="E57" i="2"/>
  <c r="E23" i="2"/>
  <c r="E202" i="4"/>
  <c r="E187" i="4"/>
  <c r="E156" i="4"/>
  <c r="E151" i="4"/>
  <c r="E115" i="4"/>
  <c r="E154" i="4"/>
  <c r="E148" i="4"/>
  <c r="E138" i="4"/>
  <c r="E136" i="4"/>
  <c r="E130" i="4"/>
  <c r="E120" i="4"/>
  <c r="E118" i="4"/>
  <c r="E112" i="4"/>
  <c r="E82" i="4"/>
  <c r="E76" i="4"/>
  <c r="E75" i="4"/>
  <c r="E64" i="4"/>
  <c r="E62" i="4"/>
  <c r="E49" i="4"/>
  <c r="E46" i="4"/>
  <c r="E40" i="4"/>
  <c r="E23" i="4"/>
  <c r="E22" i="4"/>
  <c r="E20" i="4"/>
  <c r="E19" i="4"/>
  <c r="E17" i="4"/>
  <c r="E10" i="4"/>
  <c r="E8" i="4"/>
  <c r="E138" i="3"/>
  <c r="E135" i="3"/>
  <c r="E108" i="3"/>
  <c r="E115" i="3"/>
  <c r="E93" i="3"/>
  <c r="E70" i="3"/>
  <c r="E61" i="3"/>
  <c r="E134" i="2"/>
  <c r="E133" i="2"/>
  <c r="E119" i="2"/>
  <c r="E101" i="2"/>
  <c r="E83" i="2"/>
  <c r="E97" i="2"/>
  <c r="E93" i="2"/>
  <c r="E79" i="2"/>
  <c r="E104" i="2"/>
  <c r="E86" i="2"/>
  <c r="E72" i="2"/>
  <c r="E63" i="2"/>
  <c r="E53" i="2"/>
  <c r="E46" i="2"/>
  <c r="E44" i="2"/>
  <c r="E39" i="2"/>
  <c r="E32" i="2"/>
  <c r="E205" i="4"/>
  <c r="E203" i="4"/>
  <c r="E193" i="4"/>
  <c r="E185" i="4"/>
  <c r="E169" i="4"/>
  <c r="E160" i="4"/>
  <c r="E152" i="4"/>
  <c r="E139" i="4"/>
  <c r="E134" i="4"/>
  <c r="E133" i="4"/>
  <c r="E113" i="4"/>
  <c r="E103" i="4"/>
  <c r="E102" i="4"/>
  <c r="E100" i="4"/>
  <c r="E94" i="4"/>
  <c r="E80" i="4"/>
  <c r="E12" i="4"/>
  <c r="E185" i="3"/>
  <c r="E133" i="3"/>
  <c r="E125" i="3"/>
  <c r="E117" i="3"/>
  <c r="E102" i="3"/>
  <c r="E79" i="3"/>
  <c r="E66" i="3"/>
  <c r="E137" i="2"/>
  <c r="E116" i="2"/>
  <c r="E115" i="2"/>
  <c r="E111" i="2"/>
  <c r="E106" i="2"/>
  <c r="E99" i="2"/>
  <c r="E80" i="2"/>
  <c r="E76" i="2"/>
  <c r="E75" i="2"/>
  <c r="E68" i="2"/>
  <c r="E65" i="2"/>
  <c r="E61" i="2"/>
  <c r="E48" i="2"/>
  <c r="E28" i="2"/>
  <c r="E128" i="2"/>
  <c r="E110" i="2"/>
  <c r="E92" i="2"/>
  <c r="E74" i="2"/>
  <c r="E56" i="2"/>
  <c r="E45" i="2"/>
  <c r="E22" i="2"/>
  <c r="E14" i="2"/>
  <c r="E12" i="2"/>
  <c r="E197" i="3"/>
  <c r="E195" i="3"/>
  <c r="E183" i="3"/>
  <c r="E165" i="3"/>
  <c r="E147" i="3"/>
  <c r="E129" i="3"/>
  <c r="E119" i="3"/>
  <c r="E113" i="3"/>
  <c r="E100" i="3"/>
  <c r="E96" i="3"/>
  <c r="E92" i="3"/>
  <c r="E86" i="3"/>
  <c r="E69" i="3"/>
  <c r="E65" i="3"/>
  <c r="E59" i="3"/>
  <c r="E42" i="3"/>
  <c r="E38" i="3"/>
  <c r="E32" i="3"/>
  <c r="E30" i="3"/>
  <c r="E24" i="3"/>
  <c r="E22" i="3"/>
  <c r="E16" i="3"/>
  <c r="E10" i="3"/>
  <c r="E198" i="4"/>
  <c r="E173" i="4"/>
  <c r="E171" i="4"/>
  <c r="E146" i="4"/>
  <c r="E144" i="4"/>
  <c r="E117" i="4"/>
  <c r="E92" i="4"/>
  <c r="E90" i="4"/>
  <c r="E63" i="4"/>
  <c r="E36" i="4"/>
  <c r="E11" i="4"/>
  <c r="E9" i="4"/>
  <c r="E43" i="4"/>
  <c r="E41" i="4"/>
  <c r="E28" i="4"/>
  <c r="E16" i="4"/>
  <c r="E120" i="2"/>
  <c r="E102" i="2"/>
  <c r="E84" i="2"/>
  <c r="E66" i="2"/>
  <c r="E31" i="2"/>
  <c r="E29" i="2"/>
  <c r="E17" i="2"/>
  <c r="E9" i="2"/>
  <c r="E216" i="3"/>
  <c r="E214" i="3"/>
  <c r="E212" i="3"/>
  <c r="E206" i="3"/>
  <c r="E109" i="3"/>
  <c r="E101" i="3"/>
  <c r="E95" i="3"/>
  <c r="E74" i="3"/>
  <c r="E68" i="3"/>
  <c r="E51" i="3"/>
  <c r="E47" i="3"/>
  <c r="E41" i="3"/>
  <c r="E207" i="4"/>
  <c r="E180" i="4"/>
  <c r="E155" i="4"/>
  <c r="E153" i="4"/>
  <c r="E128" i="4"/>
  <c r="E126" i="4"/>
  <c r="E99" i="4"/>
  <c r="E74" i="4"/>
  <c r="E72" i="4"/>
  <c r="E132" i="2"/>
  <c r="E125" i="2"/>
  <c r="E123" i="2"/>
  <c r="E114" i="2"/>
  <c r="E107" i="2"/>
  <c r="E105" i="2"/>
  <c r="E96" i="2"/>
  <c r="E89" i="2"/>
  <c r="E87" i="2"/>
  <c r="E78" i="2"/>
  <c r="E71" i="2"/>
  <c r="E69" i="2"/>
  <c r="E60" i="2"/>
  <c r="E51" i="2"/>
  <c r="E40" i="2"/>
  <c r="E38" i="2"/>
  <c r="E26" i="2"/>
  <c r="E24" i="2"/>
  <c r="E225" i="3"/>
  <c r="E223" i="3"/>
  <c r="E188" i="3"/>
  <c r="E186" i="3"/>
  <c r="E180" i="3"/>
  <c r="E178" i="3"/>
  <c r="E176" i="3"/>
  <c r="E170" i="3"/>
  <c r="E162" i="3"/>
  <c r="E160" i="3"/>
  <c r="E158" i="3"/>
  <c r="E152" i="3"/>
  <c r="E144" i="3"/>
  <c r="E142" i="3"/>
  <c r="E140" i="3"/>
  <c r="E134" i="3"/>
  <c r="E126" i="3"/>
  <c r="E124" i="3"/>
  <c r="E122" i="3"/>
  <c r="E110" i="3"/>
  <c r="E104" i="3"/>
  <c r="E83" i="3"/>
  <c r="E77" i="3"/>
  <c r="E60" i="3"/>
  <c r="E56" i="3"/>
  <c r="E50" i="3"/>
  <c r="E33" i="3"/>
  <c r="E189" i="4"/>
  <c r="E164" i="4"/>
  <c r="E162" i="4"/>
  <c r="E137" i="4"/>
  <c r="E135" i="4"/>
  <c r="E108" i="4"/>
  <c r="E83" i="4"/>
  <c r="E81" i="4"/>
  <c r="E56" i="4"/>
  <c r="E54" i="4"/>
  <c r="E27" i="4"/>
  <c r="E82" i="2"/>
  <c r="E64" i="2"/>
  <c r="E54" i="2"/>
  <c r="E159" i="3"/>
  <c r="E123" i="3"/>
  <c r="E100" i="2"/>
  <c r="E49" i="2"/>
  <c r="E37" i="2"/>
  <c r="E11" i="2"/>
  <c r="E204" i="3"/>
  <c r="E177" i="3"/>
  <c r="E141" i="3"/>
  <c r="E121" i="2"/>
  <c r="E103" i="2"/>
  <c r="E85" i="2"/>
  <c r="E67" i="2"/>
  <c r="E52" i="2"/>
  <c r="E27" i="2"/>
  <c r="E20" i="2"/>
  <c r="E18" i="2"/>
  <c r="E221" i="3"/>
  <c r="E194" i="3"/>
  <c r="E105" i="3"/>
  <c r="E78" i="3"/>
  <c r="E136" i="2"/>
  <c r="E118" i="2"/>
  <c r="E127" i="2"/>
  <c r="E109" i="2"/>
  <c r="E91" i="2"/>
  <c r="E73" i="2"/>
  <c r="E55" i="2"/>
  <c r="E10" i="2"/>
  <c r="E203" i="3"/>
  <c r="E168" i="3"/>
  <c r="E150" i="3"/>
  <c r="E132" i="3"/>
  <c r="E114" i="3"/>
  <c r="E87" i="3"/>
  <c r="E15" i="2"/>
  <c r="E226" i="3"/>
  <c r="E217" i="3"/>
  <c r="E208" i="3"/>
  <c r="E199" i="3"/>
  <c r="E190" i="3"/>
  <c r="E181" i="3"/>
  <c r="E172" i="3"/>
  <c r="E163" i="3"/>
  <c r="E154" i="3"/>
  <c r="E145" i="3"/>
  <c r="E136" i="3"/>
  <c r="E127" i="3"/>
  <c r="E118" i="3"/>
  <c r="E116" i="3"/>
  <c r="E107" i="3"/>
  <c r="E98" i="3"/>
  <c r="E91" i="3"/>
  <c r="E89" i="3"/>
  <c r="E82" i="3"/>
  <c r="E80" i="3"/>
  <c r="E73" i="3"/>
  <c r="E71" i="3"/>
  <c r="E64" i="3"/>
  <c r="E62" i="3"/>
  <c r="E55" i="3"/>
  <c r="E53" i="3"/>
  <c r="E46" i="3"/>
  <c r="E44" i="3"/>
  <c r="E37" i="3"/>
  <c r="E35" i="3"/>
  <c r="E220" i="3"/>
  <c r="E211" i="3"/>
  <c r="E202" i="3"/>
  <c r="E193" i="3"/>
  <c r="E184" i="3"/>
  <c r="E175" i="3"/>
  <c r="E166" i="3"/>
  <c r="E157" i="3"/>
  <c r="E148" i="3"/>
  <c r="E139" i="3"/>
  <c r="E130" i="3"/>
  <c r="E121" i="3"/>
  <c r="E112" i="3"/>
  <c r="E103" i="3"/>
  <c r="E94" i="3"/>
  <c r="E85" i="3"/>
  <c r="E76" i="3"/>
  <c r="E67" i="3"/>
  <c r="E58" i="3"/>
  <c r="E49" i="3"/>
  <c r="E40" i="3"/>
  <c r="E31" i="3"/>
  <c r="E23" i="3"/>
  <c r="E21" i="3"/>
  <c r="E17" i="3"/>
  <c r="E15" i="3"/>
  <c r="E11" i="3"/>
  <c r="E176" i="4"/>
  <c r="E167" i="4"/>
  <c r="E158" i="4"/>
  <c r="E149" i="4"/>
  <c r="E140" i="4"/>
  <c r="E131" i="4"/>
  <c r="E104" i="4"/>
  <c r="E95" i="4"/>
  <c r="E86" i="4"/>
  <c r="E77" i="4"/>
  <c r="E68" i="4"/>
  <c r="E59" i="4"/>
  <c r="E14" i="4"/>
  <c r="E43" i="2"/>
  <c r="E34" i="2"/>
  <c r="E30" i="2"/>
  <c r="E25" i="2"/>
  <c r="E21" i="2"/>
  <c r="E16" i="2"/>
  <c r="E227" i="3"/>
  <c r="E218" i="3"/>
  <c r="E209" i="3"/>
  <c r="E200" i="3"/>
  <c r="E191" i="3"/>
  <c r="E182" i="3"/>
  <c r="E173" i="3"/>
  <c r="E164" i="3"/>
  <c r="E155" i="3"/>
  <c r="E146" i="3"/>
  <c r="E137" i="3"/>
  <c r="E128" i="3"/>
  <c r="E206" i="4"/>
  <c r="E197" i="4"/>
  <c r="E188" i="4"/>
  <c r="E125" i="4"/>
  <c r="E116" i="4"/>
  <c r="E98" i="4"/>
  <c r="E53" i="4"/>
  <c r="E44" i="4"/>
  <c r="E35" i="4"/>
  <c r="E26" i="4"/>
  <c r="E28" i="3"/>
  <c r="E26" i="3"/>
  <c r="E20" i="3"/>
  <c r="E18" i="3"/>
  <c r="E14" i="3"/>
  <c r="E12" i="3"/>
  <c r="E8" i="3"/>
  <c r="E209" i="4"/>
  <c r="E204" i="4"/>
  <c r="E200" i="4"/>
  <c r="E195" i="4"/>
  <c r="E191" i="4"/>
  <c r="E186" i="4"/>
  <c r="E182" i="4"/>
  <c r="E177" i="4"/>
  <c r="E168" i="4"/>
  <c r="E159" i="4"/>
  <c r="E150" i="4"/>
  <c r="E141" i="4"/>
  <c r="E132" i="4"/>
  <c r="E123" i="4"/>
  <c r="E119" i="4"/>
  <c r="E114" i="4"/>
  <c r="E110" i="4"/>
  <c r="E105" i="4"/>
  <c r="E101" i="4"/>
  <c r="E96" i="4"/>
  <c r="E87" i="4"/>
  <c r="E78" i="4"/>
  <c r="E69" i="4"/>
  <c r="E65" i="4"/>
  <c r="E60" i="4"/>
  <c r="E51" i="4"/>
  <c r="E47" i="4"/>
  <c r="E42" i="4"/>
  <c r="E38" i="4"/>
  <c r="E33" i="4"/>
  <c r="E29" i="4"/>
  <c r="E24" i="4"/>
  <c r="E15" i="4"/>
</calcChain>
</file>

<file path=xl/sharedStrings.xml><?xml version="1.0" encoding="utf-8"?>
<sst xmlns="http://schemas.openxmlformats.org/spreadsheetml/2006/main" count="6759" uniqueCount="1178">
  <si>
    <t>Tick Option Chain Summary</t>
  </si>
  <si>
    <t>Index</t>
  </si>
  <si>
    <t>Nearest Expiry</t>
  </si>
  <si>
    <t>Spot</t>
  </si>
  <si>
    <t>ATM Strike</t>
  </si>
  <si>
    <t>ATM Straddle</t>
  </si>
  <si>
    <t>Status</t>
  </si>
  <si>
    <t>NIFTY</t>
  </si>
  <si>
    <t>BANKNIFTY</t>
  </si>
  <si>
    <t>SENSEX</t>
  </si>
  <si>
    <t>Last Updated</t>
  </si>
  <si>
    <t>Mode</t>
  </si>
  <si>
    <t>Autosave</t>
  </si>
  <si>
    <t>60 seconds</t>
  </si>
  <si>
    <t>NIFTY Option Chain</t>
  </si>
  <si>
    <t>ATM</t>
  </si>
  <si>
    <t>Strike</t>
  </si>
  <si>
    <t>Call LTP</t>
  </si>
  <si>
    <t>Put LTP</t>
  </si>
  <si>
    <t>Straddle Sum</t>
  </si>
  <si>
    <t>BANKNIFTY Option Chain</t>
  </si>
  <si>
    <t>SENSEX Option Chain</t>
  </si>
  <si>
    <t>Expiry</t>
  </si>
  <si>
    <t>Row Type</t>
  </si>
  <si>
    <t>Tradingsymbol</t>
  </si>
  <si>
    <t>Instrument Token</t>
  </si>
  <si>
    <t>Exchange</t>
  </si>
  <si>
    <t>Segment</t>
  </si>
  <si>
    <t>Option Type</t>
  </si>
  <si>
    <t>Last Price</t>
  </si>
  <si>
    <t>Change %</t>
  </si>
  <si>
    <t>Last Qty</t>
  </si>
  <si>
    <t>Avg Price</t>
  </si>
  <si>
    <t>Volume</t>
  </si>
  <si>
    <t>Buy Qty</t>
  </si>
  <si>
    <t>Sell Qty</t>
  </si>
  <si>
    <t>OI</t>
  </si>
  <si>
    <t>OI Day High</t>
  </si>
  <si>
    <t>OI Day Low</t>
  </si>
  <si>
    <t>Open</t>
  </si>
  <si>
    <t>High</t>
  </si>
  <si>
    <t>Low</t>
  </si>
  <si>
    <t>Close</t>
  </si>
  <si>
    <t>Best Bid Price</t>
  </si>
  <si>
    <t>Best Bid Qty</t>
  </si>
  <si>
    <t>Best Ask Price</t>
  </si>
  <si>
    <t>Best Ask Qty</t>
  </si>
  <si>
    <t>Exchange Timestamp</t>
  </si>
  <si>
    <t>Last Trade Time</t>
  </si>
  <si>
    <t>simple-option-chain-v2</t>
  </si>
  <si>
    <t>SPOT</t>
  </si>
  <si>
    <t>NSE:NIFTY 50</t>
  </si>
  <si>
    <t>NSE</t>
  </si>
  <si>
    <t>INDEX</t>
  </si>
  <si>
    <t>OPTION</t>
  </si>
  <si>
    <t>NIFTY2650520100CE</t>
  </si>
  <si>
    <t>NFO</t>
  </si>
  <si>
    <t>NFO-OPT</t>
  </si>
  <si>
    <t>CE</t>
  </si>
  <si>
    <t>NIFTY2650520100PE</t>
  </si>
  <si>
    <t>PE</t>
  </si>
  <si>
    <t>NIFTY2650520150CE</t>
  </si>
  <si>
    <t>NIFTY2650520150PE</t>
  </si>
  <si>
    <t>NIFTY2650520200CE</t>
  </si>
  <si>
    <t>NIFTY2650520200PE</t>
  </si>
  <si>
    <t>NIFTY2650520250CE</t>
  </si>
  <si>
    <t>NIFTY2650520250PE</t>
  </si>
  <si>
    <t>NIFTY2650520300CE</t>
  </si>
  <si>
    <t>NIFTY2650520300PE</t>
  </si>
  <si>
    <t>NIFTY2650520350CE</t>
  </si>
  <si>
    <t>NIFTY2650520350PE</t>
  </si>
  <si>
    <t>NIFTY2650520400CE</t>
  </si>
  <si>
    <t>NIFTY2650520400PE</t>
  </si>
  <si>
    <t>NIFTY2650520450CE</t>
  </si>
  <si>
    <t>NIFTY2650520450PE</t>
  </si>
  <si>
    <t>NIFTY2650520500CE</t>
  </si>
  <si>
    <t>NIFTY2650520500PE</t>
  </si>
  <si>
    <t>NIFTY2650520550CE</t>
  </si>
  <si>
    <t>NIFTY2650520550PE</t>
  </si>
  <si>
    <t>NIFTY2650520600CE</t>
  </si>
  <si>
    <t>NIFTY2650520600PE</t>
  </si>
  <si>
    <t>NIFTY2650520650CE</t>
  </si>
  <si>
    <t>NIFTY2650520650PE</t>
  </si>
  <si>
    <t>NIFTY2650520700CE</t>
  </si>
  <si>
    <t>NIFTY2650520700PE</t>
  </si>
  <si>
    <t>NIFTY2650520750CE</t>
  </si>
  <si>
    <t>NIFTY2650520750PE</t>
  </si>
  <si>
    <t>NIFTY2650520800CE</t>
  </si>
  <si>
    <t>NIFTY2650520800PE</t>
  </si>
  <si>
    <t>NIFTY2650520850CE</t>
  </si>
  <si>
    <t>NIFTY2650520850PE</t>
  </si>
  <si>
    <t>NIFTY2650520900CE</t>
  </si>
  <si>
    <t>NIFTY2650520900PE</t>
  </si>
  <si>
    <t>NIFTY2650520950CE</t>
  </si>
  <si>
    <t>NIFTY2650520950PE</t>
  </si>
  <si>
    <t>NIFTY2650521000CE</t>
  </si>
  <si>
    <t>NIFTY2650521000PE</t>
  </si>
  <si>
    <t>NIFTY2650521050CE</t>
  </si>
  <si>
    <t>NIFTY2650521050PE</t>
  </si>
  <si>
    <t>NIFTY2650521100CE</t>
  </si>
  <si>
    <t>NIFTY2650521100PE</t>
  </si>
  <si>
    <t>NIFTY2650521150CE</t>
  </si>
  <si>
    <t>NIFTY2650521150PE</t>
  </si>
  <si>
    <t>NIFTY2650521200CE</t>
  </si>
  <si>
    <t>NIFTY2650521200PE</t>
  </si>
  <si>
    <t>NIFTY2650521250CE</t>
  </si>
  <si>
    <t>NIFTY2650521250PE</t>
  </si>
  <si>
    <t>NIFTY2650521300CE</t>
  </si>
  <si>
    <t>NIFTY2650521300PE</t>
  </si>
  <si>
    <t>NIFTY2650521350CE</t>
  </si>
  <si>
    <t>NIFTY2650521350PE</t>
  </si>
  <si>
    <t>NIFTY2650521400CE</t>
  </si>
  <si>
    <t>NIFTY2650521400PE</t>
  </si>
  <si>
    <t>NIFTY2650521450CE</t>
  </si>
  <si>
    <t>NIFTY2650521450PE</t>
  </si>
  <si>
    <t>NIFTY2650521500CE</t>
  </si>
  <si>
    <t>NIFTY2650521500PE</t>
  </si>
  <si>
    <t>NIFTY2650521550CE</t>
  </si>
  <si>
    <t>NIFTY2650521550PE</t>
  </si>
  <si>
    <t>NIFTY2650521600CE</t>
  </si>
  <si>
    <t>NIFTY2650521600PE</t>
  </si>
  <si>
    <t>NIFTY2650521650CE</t>
  </si>
  <si>
    <t>NIFTY2650521650PE</t>
  </si>
  <si>
    <t>NIFTY2650521700CE</t>
  </si>
  <si>
    <t>NIFTY2650521700PE</t>
  </si>
  <si>
    <t>NIFTY2650521750CE</t>
  </si>
  <si>
    <t>NIFTY2650521750PE</t>
  </si>
  <si>
    <t>NIFTY2650521800CE</t>
  </si>
  <si>
    <t>NIFTY2650521800PE</t>
  </si>
  <si>
    <t>NIFTY2650521850CE</t>
  </si>
  <si>
    <t>NIFTY2650521850PE</t>
  </si>
  <si>
    <t>NIFTY2650521900CE</t>
  </si>
  <si>
    <t>NIFTY2650521900PE</t>
  </si>
  <si>
    <t>NIFTY2650521950CE</t>
  </si>
  <si>
    <t>NIFTY2650521950PE</t>
  </si>
  <si>
    <t>NIFTY2650522000CE</t>
  </si>
  <si>
    <t>NIFTY2650522000PE</t>
  </si>
  <si>
    <t>NIFTY2650522050CE</t>
  </si>
  <si>
    <t>NIFTY2650522050PE</t>
  </si>
  <si>
    <t>NIFTY2650522100CE</t>
  </si>
  <si>
    <t>NIFTY2650522100PE</t>
  </si>
  <si>
    <t>NIFTY2650522150CE</t>
  </si>
  <si>
    <t>NIFTY2650522150PE</t>
  </si>
  <si>
    <t>NIFTY2650522200CE</t>
  </si>
  <si>
    <t>NIFTY2650522200PE</t>
  </si>
  <si>
    <t>NIFTY2650522250CE</t>
  </si>
  <si>
    <t>NIFTY2650522250PE</t>
  </si>
  <si>
    <t>NIFTY2650522300CE</t>
  </si>
  <si>
    <t>NIFTY2650522300PE</t>
  </si>
  <si>
    <t>NIFTY2650522350CE</t>
  </si>
  <si>
    <t>NIFTY2650522350PE</t>
  </si>
  <si>
    <t>NIFTY2650522400CE</t>
  </si>
  <si>
    <t>NIFTY2650522400PE</t>
  </si>
  <si>
    <t>NIFTY2650522450CE</t>
  </si>
  <si>
    <t>NIFTY2650522450PE</t>
  </si>
  <si>
    <t>NIFTY2650522500CE</t>
  </si>
  <si>
    <t>NIFTY2650522500PE</t>
  </si>
  <si>
    <t>NIFTY2650522550CE</t>
  </si>
  <si>
    <t>NIFTY2650522550PE</t>
  </si>
  <si>
    <t>NIFTY2650522600CE</t>
  </si>
  <si>
    <t>NIFTY2650522600PE</t>
  </si>
  <si>
    <t>NIFTY2650522650CE</t>
  </si>
  <si>
    <t>NIFTY2650522650PE</t>
  </si>
  <si>
    <t>NIFTY2650522700CE</t>
  </si>
  <si>
    <t>NIFTY2650522700PE</t>
  </si>
  <si>
    <t>NIFTY2650522750CE</t>
  </si>
  <si>
    <t>NIFTY2650522750PE</t>
  </si>
  <si>
    <t>NIFTY2650522800CE</t>
  </si>
  <si>
    <t>NIFTY2650522800PE</t>
  </si>
  <si>
    <t>NIFTY2650522850CE</t>
  </si>
  <si>
    <t>NIFTY2650522850PE</t>
  </si>
  <si>
    <t>NIFTY2650522900CE</t>
  </si>
  <si>
    <t>NIFTY2650522900PE</t>
  </si>
  <si>
    <t>NIFTY2650522950CE</t>
  </si>
  <si>
    <t>NIFTY2650522950PE</t>
  </si>
  <si>
    <t>NIFTY2650523000CE</t>
  </si>
  <si>
    <t>NIFTY2650523000PE</t>
  </si>
  <si>
    <t>NIFTY2650523050CE</t>
  </si>
  <si>
    <t>NIFTY2650523050PE</t>
  </si>
  <si>
    <t>NIFTY2650523100CE</t>
  </si>
  <si>
    <t>NIFTY2650523100PE</t>
  </si>
  <si>
    <t>NIFTY2650523150CE</t>
  </si>
  <si>
    <t>NIFTY2650523150PE</t>
  </si>
  <si>
    <t>NIFTY2650523200CE</t>
  </si>
  <si>
    <t>NIFTY2650523200PE</t>
  </si>
  <si>
    <t>NIFTY2650523250CE</t>
  </si>
  <si>
    <t>NIFTY2650523250PE</t>
  </si>
  <si>
    <t>NIFTY2650523300CE</t>
  </si>
  <si>
    <t>NIFTY2650523300PE</t>
  </si>
  <si>
    <t>NIFTY2650523350CE</t>
  </si>
  <si>
    <t>NIFTY2650523350PE</t>
  </si>
  <si>
    <t>NIFTY2650523400CE</t>
  </si>
  <si>
    <t>NIFTY2650523400PE</t>
  </si>
  <si>
    <t>NIFTY2650523450CE</t>
  </si>
  <si>
    <t>NIFTY2650523450PE</t>
  </si>
  <si>
    <t>NIFTY2650523500CE</t>
  </si>
  <si>
    <t>NIFTY2650523500PE</t>
  </si>
  <si>
    <t>NIFTY2650523550CE</t>
  </si>
  <si>
    <t>NIFTY2650523550PE</t>
  </si>
  <si>
    <t>NIFTY2650523600CE</t>
  </si>
  <si>
    <t>NIFTY2650523600PE</t>
  </si>
  <si>
    <t>NIFTY2650523650CE</t>
  </si>
  <si>
    <t>NIFTY2650523650PE</t>
  </si>
  <si>
    <t>NIFTY2650523700CE</t>
  </si>
  <si>
    <t>NIFTY2650523700PE</t>
  </si>
  <si>
    <t>NIFTY2650523750CE</t>
  </si>
  <si>
    <t>NIFTY2650523750PE</t>
  </si>
  <si>
    <t>NIFTY2650523800CE</t>
  </si>
  <si>
    <t>NIFTY2650523800PE</t>
  </si>
  <si>
    <t>NIFTY2650523850CE</t>
  </si>
  <si>
    <t>NIFTY2650523850PE</t>
  </si>
  <si>
    <t>NIFTY2650523900CE</t>
  </si>
  <si>
    <t>NIFTY2650523900PE</t>
  </si>
  <si>
    <t>NIFTY2650523950CE</t>
  </si>
  <si>
    <t>NIFTY2650523950PE</t>
  </si>
  <si>
    <t>NIFTY2650524000CE</t>
  </si>
  <si>
    <t>NIFTY2650524000PE</t>
  </si>
  <si>
    <t>NIFTY2650524050CE</t>
  </si>
  <si>
    <t>NIFTY2650524050PE</t>
  </si>
  <si>
    <t>NIFTY2650524100CE</t>
  </si>
  <si>
    <t>NIFTY2650524100PE</t>
  </si>
  <si>
    <t>NIFTY2650524150CE</t>
  </si>
  <si>
    <t>NIFTY2650524150PE</t>
  </si>
  <si>
    <t>NIFTY2650524200CE</t>
  </si>
  <si>
    <t>NIFTY2650524200PE</t>
  </si>
  <si>
    <t>NIFTY2650524250CE</t>
  </si>
  <si>
    <t>NIFTY2650524250PE</t>
  </si>
  <si>
    <t>NIFTY2650524300CE</t>
  </si>
  <si>
    <t>NIFTY2650524300PE</t>
  </si>
  <si>
    <t>NIFTY2650524350CE</t>
  </si>
  <si>
    <t>NIFTY2650524350PE</t>
  </si>
  <si>
    <t>NIFTY2650524400CE</t>
  </si>
  <si>
    <t>NIFTY2650524400PE</t>
  </si>
  <si>
    <t>NIFTY2650524450CE</t>
  </si>
  <si>
    <t>NIFTY2650524450PE</t>
  </si>
  <si>
    <t>NIFTY2650524500CE</t>
  </si>
  <si>
    <t>NIFTY2650524500PE</t>
  </si>
  <si>
    <t>NIFTY2650524550CE</t>
  </si>
  <si>
    <t>NIFTY2650524550PE</t>
  </si>
  <si>
    <t>NIFTY2650524600CE</t>
  </si>
  <si>
    <t>NIFTY2650524600PE</t>
  </si>
  <si>
    <t>NIFTY2650524650CE</t>
  </si>
  <si>
    <t>NIFTY2650524650PE</t>
  </si>
  <si>
    <t>NIFTY2650524700CE</t>
  </si>
  <si>
    <t>NIFTY2650524700PE</t>
  </si>
  <si>
    <t>NIFTY2650524750CE</t>
  </si>
  <si>
    <t>NIFTY2650524750PE</t>
  </si>
  <si>
    <t>NIFTY2650524800CE</t>
  </si>
  <si>
    <t>NIFTY2650524800PE</t>
  </si>
  <si>
    <t>NIFTY2650524850CE</t>
  </si>
  <si>
    <t>NIFTY2650524850PE</t>
  </si>
  <si>
    <t>NIFTY2650524900CE</t>
  </si>
  <si>
    <t>NIFTY2650524900PE</t>
  </si>
  <si>
    <t>NIFTY2650524950CE</t>
  </si>
  <si>
    <t>NIFTY2650524950PE</t>
  </si>
  <si>
    <t>NIFTY2650525000CE</t>
  </si>
  <si>
    <t>NIFTY2650525000PE</t>
  </si>
  <si>
    <t>NIFTY2650525050CE</t>
  </si>
  <si>
    <t>NIFTY2650525050PE</t>
  </si>
  <si>
    <t>NIFTY2650525100CE</t>
  </si>
  <si>
    <t>NIFTY2650525100PE</t>
  </si>
  <si>
    <t>NIFTY2650525150CE</t>
  </si>
  <si>
    <t>NIFTY2650525150PE</t>
  </si>
  <si>
    <t>NIFTY2650525200CE</t>
  </si>
  <si>
    <t>NIFTY2650525200PE</t>
  </si>
  <si>
    <t>NIFTY2650525250CE</t>
  </si>
  <si>
    <t>NIFTY2650525250PE</t>
  </si>
  <si>
    <t>NIFTY2650525300CE</t>
  </si>
  <si>
    <t>NIFTY2650525300PE</t>
  </si>
  <si>
    <t>NIFTY2650525350CE</t>
  </si>
  <si>
    <t>NIFTY2650525350PE</t>
  </si>
  <si>
    <t>NIFTY2650525400CE</t>
  </si>
  <si>
    <t>NIFTY2650525400PE</t>
  </si>
  <si>
    <t>NIFTY2650525450CE</t>
  </si>
  <si>
    <t>NIFTY2650525450PE</t>
  </si>
  <si>
    <t>NIFTY2650525500CE</t>
  </si>
  <si>
    <t>NIFTY2650525500PE</t>
  </si>
  <si>
    <t>NIFTY2650525550CE</t>
  </si>
  <si>
    <t>NIFTY2650525550PE</t>
  </si>
  <si>
    <t>NIFTY2650525600CE</t>
  </si>
  <si>
    <t>NIFTY2650525600PE</t>
  </si>
  <si>
    <t>NIFTY2650525650CE</t>
  </si>
  <si>
    <t>NIFTY2650525650PE</t>
  </si>
  <si>
    <t>NIFTY2650525700CE</t>
  </si>
  <si>
    <t>NIFTY2650525700PE</t>
  </si>
  <si>
    <t>NIFTY2650525750CE</t>
  </si>
  <si>
    <t>NIFTY2650525750PE</t>
  </si>
  <si>
    <t>NIFTY2650525800CE</t>
  </si>
  <si>
    <t>NIFTY2650525800PE</t>
  </si>
  <si>
    <t>NIFTY2650525850CE</t>
  </si>
  <si>
    <t>NIFTY2650525850PE</t>
  </si>
  <si>
    <t>NIFTY2650525900CE</t>
  </si>
  <si>
    <t>NIFTY2650525900PE</t>
  </si>
  <si>
    <t>NIFTY2650525950CE</t>
  </si>
  <si>
    <t>NIFTY2650525950PE</t>
  </si>
  <si>
    <t>NIFTY2650526000CE</t>
  </si>
  <si>
    <t>NIFTY2650526000PE</t>
  </si>
  <si>
    <t>NIFTY2650526050CE</t>
  </si>
  <si>
    <t>NIFTY2650526050PE</t>
  </si>
  <si>
    <t>NIFTY2650526100CE</t>
  </si>
  <si>
    <t>NIFTY2650526100PE</t>
  </si>
  <si>
    <t>NIFTY2650526150CE</t>
  </si>
  <si>
    <t>NIFTY2650526150PE</t>
  </si>
  <si>
    <t>NIFTY2650526200CE</t>
  </si>
  <si>
    <t>NIFTY2650526200PE</t>
  </si>
  <si>
    <t>NIFTY2650526250CE</t>
  </si>
  <si>
    <t>NIFTY2650526250PE</t>
  </si>
  <si>
    <t>NIFTY2650526300CE</t>
  </si>
  <si>
    <t>NIFTY2650526300PE</t>
  </si>
  <si>
    <t>NIFTY2650526350CE</t>
  </si>
  <si>
    <t>NIFTY2650526350PE</t>
  </si>
  <si>
    <t>NIFTY2650526400CE</t>
  </si>
  <si>
    <t>NIFTY2650526400PE</t>
  </si>
  <si>
    <t>NIFTY2650526450CE</t>
  </si>
  <si>
    <t>NIFTY2650526450PE</t>
  </si>
  <si>
    <t>NIFTY2650526500CE</t>
  </si>
  <si>
    <t>NIFTY2650526500PE</t>
  </si>
  <si>
    <t>NIFTY2650526550CE</t>
  </si>
  <si>
    <t>NIFTY2650526550PE</t>
  </si>
  <si>
    <t>NSE:NIFTY BANK</t>
  </si>
  <si>
    <t>BANKNIFTY26MAY43000CE</t>
  </si>
  <si>
    <t>BANKNIFTY26MAY43000PE</t>
  </si>
  <si>
    <t>BANKNIFTY26MAY43500CE</t>
  </si>
  <si>
    <t>BANKNIFTY26MAY43500PE</t>
  </si>
  <si>
    <t>BANKNIFTY26MAY44000CE</t>
  </si>
  <si>
    <t>BANKNIFTY26MAY44000PE</t>
  </si>
  <si>
    <t>BANKNIFTY26MAY44500CE</t>
  </si>
  <si>
    <t>BANKNIFTY26MAY44500PE</t>
  </si>
  <si>
    <t>BANKNIFTY26MAY45000CE</t>
  </si>
  <si>
    <t>BANKNIFTY26MAY45000PE</t>
  </si>
  <si>
    <t>BANKNIFTY26MAY45300CE</t>
  </si>
  <si>
    <t>BANKNIFTY26MAY45300PE</t>
  </si>
  <si>
    <t>BANKNIFTY26MAY45400CE</t>
  </si>
  <si>
    <t>BANKNIFTY26MAY45400PE</t>
  </si>
  <si>
    <t>BANKNIFTY26MAY45500CE</t>
  </si>
  <si>
    <t>BANKNIFTY26MAY45500PE</t>
  </si>
  <si>
    <t>BANKNIFTY26MAY45600CE</t>
  </si>
  <si>
    <t>BANKNIFTY26MAY45600PE</t>
  </si>
  <si>
    <t>BANKNIFTY26MAY45700CE</t>
  </si>
  <si>
    <t>BANKNIFTY26MAY45700PE</t>
  </si>
  <si>
    <t>BANKNIFTY26MAY45800CE</t>
  </si>
  <si>
    <t>BANKNIFTY26MAY45800PE</t>
  </si>
  <si>
    <t>BANKNIFTY26MAY45900CE</t>
  </si>
  <si>
    <t>BANKNIFTY26MAY45900PE</t>
  </si>
  <si>
    <t>BANKNIFTY26MAY46000CE</t>
  </si>
  <si>
    <t>BANKNIFTY26MAY46000PE</t>
  </si>
  <si>
    <t>BANKNIFTY26MAY46100CE</t>
  </si>
  <si>
    <t>BANKNIFTY26MAY46100PE</t>
  </si>
  <si>
    <t>BANKNIFTY26MAY46200CE</t>
  </si>
  <si>
    <t>BANKNIFTY26MAY46200PE</t>
  </si>
  <si>
    <t>BANKNIFTY26MAY46300CE</t>
  </si>
  <si>
    <t>BANKNIFTY26MAY46300PE</t>
  </si>
  <si>
    <t>BANKNIFTY26MAY46400CE</t>
  </si>
  <si>
    <t>BANKNIFTY26MAY46400PE</t>
  </si>
  <si>
    <t>BANKNIFTY26MAY46500CE</t>
  </si>
  <si>
    <t>BANKNIFTY26MAY46500PE</t>
  </si>
  <si>
    <t>BANKNIFTY26MAY46600CE</t>
  </si>
  <si>
    <t>BANKNIFTY26MAY46600PE</t>
  </si>
  <si>
    <t>BANKNIFTY26MAY46700CE</t>
  </si>
  <si>
    <t>BANKNIFTY26MAY46700PE</t>
  </si>
  <si>
    <t>BANKNIFTY26MAY46800CE</t>
  </si>
  <si>
    <t>BANKNIFTY26MAY46800PE</t>
  </si>
  <si>
    <t>BANKNIFTY26MAY46900CE</t>
  </si>
  <si>
    <t>BANKNIFTY26MAY46900PE</t>
  </si>
  <si>
    <t>BANKNIFTY26MAY47000CE</t>
  </si>
  <si>
    <t>BANKNIFTY26MAY47000PE</t>
  </si>
  <si>
    <t>BANKNIFTY26MAY47100CE</t>
  </si>
  <si>
    <t>BANKNIFTY26MAY47100PE</t>
  </si>
  <si>
    <t>BANKNIFTY26MAY47200CE</t>
  </si>
  <si>
    <t>BANKNIFTY26MAY47200PE</t>
  </si>
  <si>
    <t>BANKNIFTY26MAY47300CE</t>
  </si>
  <si>
    <t>BANKNIFTY26MAY47300PE</t>
  </si>
  <si>
    <t>BANKNIFTY26MAY47400CE</t>
  </si>
  <si>
    <t>BANKNIFTY26MAY47400PE</t>
  </si>
  <si>
    <t>BANKNIFTY26MAY47500CE</t>
  </si>
  <si>
    <t>BANKNIFTY26MAY47500PE</t>
  </si>
  <si>
    <t>BANKNIFTY26MAY47600CE</t>
  </si>
  <si>
    <t>BANKNIFTY26MAY47600PE</t>
  </si>
  <si>
    <t>BANKNIFTY26MAY47700CE</t>
  </si>
  <si>
    <t>BANKNIFTY26MAY47700PE</t>
  </si>
  <si>
    <t>BANKNIFTY26MAY47800CE</t>
  </si>
  <si>
    <t>BANKNIFTY26MAY47800PE</t>
  </si>
  <si>
    <t>BANKNIFTY26MAY47900CE</t>
  </si>
  <si>
    <t>BANKNIFTY26MAY47900PE</t>
  </si>
  <si>
    <t>BANKNIFTY26MAY48000CE</t>
  </si>
  <si>
    <t>BANKNIFTY26MAY48000PE</t>
  </si>
  <si>
    <t>BANKNIFTY26MAY48100CE</t>
  </si>
  <si>
    <t>BANKNIFTY26MAY48100PE</t>
  </si>
  <si>
    <t>BANKNIFTY26MAY48200CE</t>
  </si>
  <si>
    <t>BANKNIFTY26MAY48200PE</t>
  </si>
  <si>
    <t>BANKNIFTY26MAY48300CE</t>
  </si>
  <si>
    <t>BANKNIFTY26MAY48300PE</t>
  </si>
  <si>
    <t>BANKNIFTY26MAY48400CE</t>
  </si>
  <si>
    <t>BANKNIFTY26MAY48400PE</t>
  </si>
  <si>
    <t>BANKNIFTY26MAY48500CE</t>
  </si>
  <si>
    <t>BANKNIFTY26MAY48500PE</t>
  </si>
  <si>
    <t>BANKNIFTY26MAY48600CE</t>
  </si>
  <si>
    <t>BANKNIFTY26MAY48600PE</t>
  </si>
  <si>
    <t>BANKNIFTY26MAY48700CE</t>
  </si>
  <si>
    <t>BANKNIFTY26MAY48700PE</t>
  </si>
  <si>
    <t>BANKNIFTY26MAY48800CE</t>
  </si>
  <si>
    <t>BANKNIFTY26MAY48800PE</t>
  </si>
  <si>
    <t>BANKNIFTY26MAY48900CE</t>
  </si>
  <si>
    <t>BANKNIFTY26MAY48900PE</t>
  </si>
  <si>
    <t>BANKNIFTY26MAY49000CE</t>
  </si>
  <si>
    <t>BANKNIFTY26MAY49000PE</t>
  </si>
  <si>
    <t>BANKNIFTY26MAY49100CE</t>
  </si>
  <si>
    <t>BANKNIFTY26MAY49100PE</t>
  </si>
  <si>
    <t>BANKNIFTY26MAY49200CE</t>
  </si>
  <si>
    <t>BANKNIFTY26MAY49200PE</t>
  </si>
  <si>
    <t>BANKNIFTY26MAY49300CE</t>
  </si>
  <si>
    <t>BANKNIFTY26MAY49300PE</t>
  </si>
  <si>
    <t>BANKNIFTY26MAY49400CE</t>
  </si>
  <si>
    <t>BANKNIFTY26MAY49400PE</t>
  </si>
  <si>
    <t>BANKNIFTY26MAY49500CE</t>
  </si>
  <si>
    <t>BANKNIFTY26MAY49500PE</t>
  </si>
  <si>
    <t>BANKNIFTY26MAY49600CE</t>
  </si>
  <si>
    <t>BANKNIFTY26MAY49600PE</t>
  </si>
  <si>
    <t>BANKNIFTY26MAY49700CE</t>
  </si>
  <si>
    <t>BANKNIFTY26MAY49700PE</t>
  </si>
  <si>
    <t>BANKNIFTY26MAY49800CE</t>
  </si>
  <si>
    <t>BANKNIFTY26MAY49800PE</t>
  </si>
  <si>
    <t>BANKNIFTY26MAY49900CE</t>
  </si>
  <si>
    <t>BANKNIFTY26MAY49900PE</t>
  </si>
  <si>
    <t>BANKNIFTY26MAY50000CE</t>
  </si>
  <si>
    <t>BANKNIFTY26MAY50000PE</t>
  </si>
  <si>
    <t>BANKNIFTY26MAY50100CE</t>
  </si>
  <si>
    <t>BANKNIFTY26MAY50100PE</t>
  </si>
  <si>
    <t>BANKNIFTY26MAY50200CE</t>
  </si>
  <si>
    <t>BANKNIFTY26MAY50200PE</t>
  </si>
  <si>
    <t>BANKNIFTY26MAY50300CE</t>
  </si>
  <si>
    <t>BANKNIFTY26MAY50300PE</t>
  </si>
  <si>
    <t>BANKNIFTY26MAY50400CE</t>
  </si>
  <si>
    <t>BANKNIFTY26MAY50400PE</t>
  </si>
  <si>
    <t>BANKNIFTY26MAY50500CE</t>
  </si>
  <si>
    <t>BANKNIFTY26MAY50500PE</t>
  </si>
  <si>
    <t>BANKNIFTY26MAY50600CE</t>
  </si>
  <si>
    <t>BANKNIFTY26MAY50600PE</t>
  </si>
  <si>
    <t>BANKNIFTY26MAY50700CE</t>
  </si>
  <si>
    <t>BANKNIFTY26MAY50700PE</t>
  </si>
  <si>
    <t>BANKNIFTY26MAY50800CE</t>
  </si>
  <si>
    <t>BANKNIFTY26MAY50800PE</t>
  </si>
  <si>
    <t>BANKNIFTY26MAY50900CE</t>
  </si>
  <si>
    <t>BANKNIFTY26MAY50900PE</t>
  </si>
  <si>
    <t>BANKNIFTY26MAY51000CE</t>
  </si>
  <si>
    <t>BANKNIFTY26MAY51000PE</t>
  </si>
  <si>
    <t>BANKNIFTY26MAY51100CE</t>
  </si>
  <si>
    <t>BANKNIFTY26MAY51100PE</t>
  </si>
  <si>
    <t>BANKNIFTY26MAY51200CE</t>
  </si>
  <si>
    <t>BANKNIFTY26MAY51200PE</t>
  </si>
  <si>
    <t>BANKNIFTY26MAY51300CE</t>
  </si>
  <si>
    <t>BANKNIFTY26MAY51300PE</t>
  </si>
  <si>
    <t>BANKNIFTY26MAY51400CE</t>
  </si>
  <si>
    <t>BANKNIFTY26MAY51400PE</t>
  </si>
  <si>
    <t>BANKNIFTY26MAY51500CE</t>
  </si>
  <si>
    <t>BANKNIFTY26MAY51500PE</t>
  </si>
  <si>
    <t>BANKNIFTY26MAY51600CE</t>
  </si>
  <si>
    <t>BANKNIFTY26MAY51600PE</t>
  </si>
  <si>
    <t>BANKNIFTY26MAY51700CE</t>
  </si>
  <si>
    <t>BANKNIFTY26MAY51700PE</t>
  </si>
  <si>
    <t>BANKNIFTY26MAY51800CE</t>
  </si>
  <si>
    <t>BANKNIFTY26MAY51800PE</t>
  </si>
  <si>
    <t>BANKNIFTY26MAY51900CE</t>
  </si>
  <si>
    <t>BANKNIFTY26MAY51900PE</t>
  </si>
  <si>
    <t>BANKNIFTY26MAY52000CE</t>
  </si>
  <si>
    <t>BANKNIFTY26MAY52000PE</t>
  </si>
  <si>
    <t>BANKNIFTY26MAY52100CE</t>
  </si>
  <si>
    <t>BANKNIFTY26MAY52100PE</t>
  </si>
  <si>
    <t>BANKNIFTY26MAY52200CE</t>
  </si>
  <si>
    <t>BANKNIFTY26MAY52200PE</t>
  </si>
  <si>
    <t>BANKNIFTY26MAY52300CE</t>
  </si>
  <si>
    <t>BANKNIFTY26MAY52300PE</t>
  </si>
  <si>
    <t>BANKNIFTY26MAY52400CE</t>
  </si>
  <si>
    <t>BANKNIFTY26MAY52400PE</t>
  </si>
  <si>
    <t>BANKNIFTY26MAY52500CE</t>
  </si>
  <si>
    <t>BANKNIFTY26MAY52500PE</t>
  </si>
  <si>
    <t>BANKNIFTY26MAY52600CE</t>
  </si>
  <si>
    <t>BANKNIFTY26MAY52600PE</t>
  </si>
  <si>
    <t>BANKNIFTY26MAY52700CE</t>
  </si>
  <si>
    <t>BANKNIFTY26MAY52700PE</t>
  </si>
  <si>
    <t>BANKNIFTY26MAY52800CE</t>
  </si>
  <si>
    <t>BANKNIFTY26MAY52800PE</t>
  </si>
  <si>
    <t>BANKNIFTY26MAY52900CE</t>
  </si>
  <si>
    <t>BANKNIFTY26MAY52900PE</t>
  </si>
  <si>
    <t>BANKNIFTY26MAY53000CE</t>
  </si>
  <si>
    <t>BANKNIFTY26MAY53000PE</t>
  </si>
  <si>
    <t>BANKNIFTY26MAY53100CE</t>
  </si>
  <si>
    <t>BANKNIFTY26MAY53100PE</t>
  </si>
  <si>
    <t>BANKNIFTY26MAY53200CE</t>
  </si>
  <si>
    <t>BANKNIFTY26MAY53200PE</t>
  </si>
  <si>
    <t>BANKNIFTY26MAY53300CE</t>
  </si>
  <si>
    <t>BANKNIFTY26MAY53300PE</t>
  </si>
  <si>
    <t>BANKNIFTY26MAY53400CE</t>
  </si>
  <si>
    <t>BANKNIFTY26MAY53400PE</t>
  </si>
  <si>
    <t>BANKNIFTY26MAY53500CE</t>
  </si>
  <si>
    <t>BANKNIFTY26MAY53500PE</t>
  </si>
  <si>
    <t>BANKNIFTY26MAY53600CE</t>
  </si>
  <si>
    <t>BANKNIFTY26MAY53600PE</t>
  </si>
  <si>
    <t>BANKNIFTY26MAY53700CE</t>
  </si>
  <si>
    <t>BANKNIFTY26MAY53700PE</t>
  </si>
  <si>
    <t>BANKNIFTY26MAY53800CE</t>
  </si>
  <si>
    <t>BANKNIFTY26MAY53800PE</t>
  </si>
  <si>
    <t>BANKNIFTY26MAY53900CE</t>
  </si>
  <si>
    <t>BANKNIFTY26MAY53900PE</t>
  </si>
  <si>
    <t>BANKNIFTY26MAY54000CE</t>
  </si>
  <si>
    <t>BANKNIFTY26MAY54000PE</t>
  </si>
  <si>
    <t>BANKNIFTY26MAY54100CE</t>
  </si>
  <si>
    <t>BANKNIFTY26MAY54100PE</t>
  </si>
  <si>
    <t>BANKNIFTY26MAY54200CE</t>
  </si>
  <si>
    <t>BANKNIFTY26MAY54200PE</t>
  </si>
  <si>
    <t>BANKNIFTY26MAY54300CE</t>
  </si>
  <si>
    <t>BANKNIFTY26MAY54300PE</t>
  </si>
  <si>
    <t>BANKNIFTY26MAY54400CE</t>
  </si>
  <si>
    <t>BANKNIFTY26MAY54400PE</t>
  </si>
  <si>
    <t>BANKNIFTY26MAY54500CE</t>
  </si>
  <si>
    <t>BANKNIFTY26MAY54500PE</t>
  </si>
  <si>
    <t>BANKNIFTY26MAY54600CE</t>
  </si>
  <si>
    <t>BANKNIFTY26MAY54600PE</t>
  </si>
  <si>
    <t>BANKNIFTY26MAY54700CE</t>
  </si>
  <si>
    <t>BANKNIFTY26MAY54700PE</t>
  </si>
  <si>
    <t>BANKNIFTY26MAY54800CE</t>
  </si>
  <si>
    <t>BANKNIFTY26MAY54800PE</t>
  </si>
  <si>
    <t>BANKNIFTY26MAY54900CE</t>
  </si>
  <si>
    <t>BANKNIFTY26MAY54900PE</t>
  </si>
  <si>
    <t>BANKNIFTY26MAY55000CE</t>
  </si>
  <si>
    <t>BANKNIFTY26MAY55000PE</t>
  </si>
  <si>
    <t>BANKNIFTY26MAY55100CE</t>
  </si>
  <si>
    <t>BANKNIFTY26MAY55100PE</t>
  </si>
  <si>
    <t>BANKNIFTY26MAY55200CE</t>
  </si>
  <si>
    <t>BANKNIFTY26MAY55200PE</t>
  </si>
  <si>
    <t>BANKNIFTY26MAY55300CE</t>
  </si>
  <si>
    <t>BANKNIFTY26MAY55300PE</t>
  </si>
  <si>
    <t>BANKNIFTY26MAY55400CE</t>
  </si>
  <si>
    <t>BANKNIFTY26MAY55400PE</t>
  </si>
  <si>
    <t>BANKNIFTY26MAY55500CE</t>
  </si>
  <si>
    <t>BANKNIFTY26MAY55500PE</t>
  </si>
  <si>
    <t>BANKNIFTY26MAY55600CE</t>
  </si>
  <si>
    <t>BANKNIFTY26MAY55600PE</t>
  </si>
  <si>
    <t>BANKNIFTY26MAY55700CE</t>
  </si>
  <si>
    <t>BANKNIFTY26MAY55700PE</t>
  </si>
  <si>
    <t>BANKNIFTY26MAY55800CE</t>
  </si>
  <si>
    <t>BANKNIFTY26MAY55800PE</t>
  </si>
  <si>
    <t>BANKNIFTY26MAY55900CE</t>
  </si>
  <si>
    <t>BANKNIFTY26MAY55900PE</t>
  </si>
  <si>
    <t>BANKNIFTY26MAY56000CE</t>
  </si>
  <si>
    <t>BANKNIFTY26MAY56000PE</t>
  </si>
  <si>
    <t>BANKNIFTY26MAY56100CE</t>
  </si>
  <si>
    <t>BANKNIFTY26MAY56100PE</t>
  </si>
  <si>
    <t>BANKNIFTY26MAY56200CE</t>
  </si>
  <si>
    <t>BANKNIFTY26MAY56200PE</t>
  </si>
  <si>
    <t>BANKNIFTY26MAY56300CE</t>
  </si>
  <si>
    <t>BANKNIFTY26MAY56300PE</t>
  </si>
  <si>
    <t>BANKNIFTY26MAY56400CE</t>
  </si>
  <si>
    <t>BANKNIFTY26MAY56400PE</t>
  </si>
  <si>
    <t>BANKNIFTY26MAY56500CE</t>
  </si>
  <si>
    <t>BANKNIFTY26MAY56500PE</t>
  </si>
  <si>
    <t>BANKNIFTY26MAY56600CE</t>
  </si>
  <si>
    <t>BANKNIFTY26MAY56600PE</t>
  </si>
  <si>
    <t>BANKNIFTY26MAY56700CE</t>
  </si>
  <si>
    <t>BANKNIFTY26MAY56700PE</t>
  </si>
  <si>
    <t>BANKNIFTY26MAY56800CE</t>
  </si>
  <si>
    <t>BANKNIFTY26MAY56800PE</t>
  </si>
  <si>
    <t>BANKNIFTY26MAY56900CE</t>
  </si>
  <si>
    <t>BANKNIFTY26MAY56900PE</t>
  </si>
  <si>
    <t>BANKNIFTY26MAY57000CE</t>
  </si>
  <si>
    <t>BANKNIFTY26MAY57000PE</t>
  </si>
  <si>
    <t>BANKNIFTY26MAY57100CE</t>
  </si>
  <si>
    <t>BANKNIFTY26MAY57100PE</t>
  </si>
  <si>
    <t>BANKNIFTY26MAY57200CE</t>
  </si>
  <si>
    <t>BANKNIFTY26MAY57200PE</t>
  </si>
  <si>
    <t>BANKNIFTY26MAY57300CE</t>
  </si>
  <si>
    <t>BANKNIFTY26MAY57300PE</t>
  </si>
  <si>
    <t>BANKNIFTY26MAY57400CE</t>
  </si>
  <si>
    <t>BANKNIFTY26MAY57400PE</t>
  </si>
  <si>
    <t>BANKNIFTY26MAY57500CE</t>
  </si>
  <si>
    <t>BANKNIFTY26MAY57500PE</t>
  </si>
  <si>
    <t>BANKNIFTY26MAY57600CE</t>
  </si>
  <si>
    <t>BANKNIFTY26MAY57600PE</t>
  </si>
  <si>
    <t>BANKNIFTY26MAY57700CE</t>
  </si>
  <si>
    <t>BANKNIFTY26MAY57700PE</t>
  </si>
  <si>
    <t>BANKNIFTY26MAY57800CE</t>
  </si>
  <si>
    <t>BANKNIFTY26MAY57800PE</t>
  </si>
  <si>
    <t>BANKNIFTY26MAY57900CE</t>
  </si>
  <si>
    <t>BANKNIFTY26MAY57900PE</t>
  </si>
  <si>
    <t>BANKNIFTY26MAY58000CE</t>
  </si>
  <si>
    <t>BANKNIFTY26MAY58000PE</t>
  </si>
  <si>
    <t>BANKNIFTY26MAY58100CE</t>
  </si>
  <si>
    <t>BANKNIFTY26MAY58100PE</t>
  </si>
  <si>
    <t>BANKNIFTY26MAY58200CE</t>
  </si>
  <si>
    <t>BANKNIFTY26MAY58200PE</t>
  </si>
  <si>
    <t>BANKNIFTY26MAY58300CE</t>
  </si>
  <si>
    <t>BANKNIFTY26MAY58300PE</t>
  </si>
  <si>
    <t>BANKNIFTY26MAY58400CE</t>
  </si>
  <si>
    <t>BANKNIFTY26MAY58400PE</t>
  </si>
  <si>
    <t>BANKNIFTY26MAY58500CE</t>
  </si>
  <si>
    <t>BANKNIFTY26MAY58500PE</t>
  </si>
  <si>
    <t>BANKNIFTY26MAY58600CE</t>
  </si>
  <si>
    <t>BANKNIFTY26MAY58600PE</t>
  </si>
  <si>
    <t>BANKNIFTY26MAY58700CE</t>
  </si>
  <si>
    <t>BANKNIFTY26MAY58700PE</t>
  </si>
  <si>
    <t>BANKNIFTY26MAY58800CE</t>
  </si>
  <si>
    <t>BANKNIFTY26MAY58800PE</t>
  </si>
  <si>
    <t>BANKNIFTY26MAY58900CE</t>
  </si>
  <si>
    <t>BANKNIFTY26MAY58900PE</t>
  </si>
  <si>
    <t>BANKNIFTY26MAY59000CE</t>
  </si>
  <si>
    <t>BANKNIFTY26MAY59000PE</t>
  </si>
  <si>
    <t>BANKNIFTY26MAY59100CE</t>
  </si>
  <si>
    <t>BANKNIFTY26MAY59100PE</t>
  </si>
  <si>
    <t>BANKNIFTY26MAY59200CE</t>
  </si>
  <si>
    <t>BANKNIFTY26MAY59200PE</t>
  </si>
  <si>
    <t>BANKNIFTY26MAY59300CE</t>
  </si>
  <si>
    <t>BANKNIFTY26MAY59300PE</t>
  </si>
  <si>
    <t>BANKNIFTY26MAY59400CE</t>
  </si>
  <si>
    <t>BANKNIFTY26MAY59400PE</t>
  </si>
  <si>
    <t>BANKNIFTY26MAY59500CE</t>
  </si>
  <si>
    <t>BANKNIFTY26MAY59500PE</t>
  </si>
  <si>
    <t>BANKNIFTY26MAY59600CE</t>
  </si>
  <si>
    <t>BANKNIFTY26MAY59600PE</t>
  </si>
  <si>
    <t>BANKNIFTY26MAY59700CE</t>
  </si>
  <si>
    <t>BANKNIFTY26MAY59700PE</t>
  </si>
  <si>
    <t>BANKNIFTY26MAY59800CE</t>
  </si>
  <si>
    <t>BANKNIFTY26MAY59800PE</t>
  </si>
  <si>
    <t>BANKNIFTY26MAY59900CE</t>
  </si>
  <si>
    <t>BANKNIFTY26MAY59900PE</t>
  </si>
  <si>
    <t>BANKNIFTY26MAY60000CE</t>
  </si>
  <si>
    <t>BANKNIFTY26MAY60000PE</t>
  </si>
  <si>
    <t>BANKNIFTY26MAY60100CE</t>
  </si>
  <si>
    <t>BANKNIFTY26MAY60100PE</t>
  </si>
  <si>
    <t>BANKNIFTY26MAY60200CE</t>
  </si>
  <si>
    <t>BANKNIFTY26MAY60200PE</t>
  </si>
  <si>
    <t>BANKNIFTY26MAY60300CE</t>
  </si>
  <si>
    <t>BANKNIFTY26MAY60300PE</t>
  </si>
  <si>
    <t>BANKNIFTY26MAY60400CE</t>
  </si>
  <si>
    <t>BANKNIFTY26MAY60400PE</t>
  </si>
  <si>
    <t>BANKNIFTY26MAY60500CE</t>
  </si>
  <si>
    <t>BANKNIFTY26MAY60500PE</t>
  </si>
  <si>
    <t>BANKNIFTY26MAY60600CE</t>
  </si>
  <si>
    <t>BANKNIFTY26MAY60600PE</t>
  </si>
  <si>
    <t>BANKNIFTY26MAY60700CE</t>
  </si>
  <si>
    <t>BANKNIFTY26MAY60700PE</t>
  </si>
  <si>
    <t>BANKNIFTY26MAY60800CE</t>
  </si>
  <si>
    <t>BANKNIFTY26MAY60800PE</t>
  </si>
  <si>
    <t>BANKNIFTY26MAY60900CE</t>
  </si>
  <si>
    <t>BANKNIFTY26MAY60900PE</t>
  </si>
  <si>
    <t>BANKNIFTY26MAY61000CE</t>
  </si>
  <si>
    <t>BANKNIFTY26MAY61000PE</t>
  </si>
  <si>
    <t>BANKNIFTY26MAY61100CE</t>
  </si>
  <si>
    <t>BANKNIFTY26MAY61100PE</t>
  </si>
  <si>
    <t>BANKNIFTY26MAY61200CE</t>
  </si>
  <si>
    <t>BANKNIFTY26MAY61200PE</t>
  </si>
  <si>
    <t>BANKNIFTY26MAY61300CE</t>
  </si>
  <si>
    <t>BANKNIFTY26MAY61300PE</t>
  </si>
  <si>
    <t>BANKNIFTY26MAY61400CE</t>
  </si>
  <si>
    <t>BANKNIFTY26MAY61400PE</t>
  </si>
  <si>
    <t>BANKNIFTY26MAY61500CE</t>
  </si>
  <si>
    <t>BANKNIFTY26MAY61500PE</t>
  </si>
  <si>
    <t>BANKNIFTY26MAY61600CE</t>
  </si>
  <si>
    <t>BANKNIFTY26MAY61600PE</t>
  </si>
  <si>
    <t>BANKNIFTY26MAY61700CE</t>
  </si>
  <si>
    <t>BANKNIFTY26MAY61700PE</t>
  </si>
  <si>
    <t>BANKNIFTY26MAY61800CE</t>
  </si>
  <si>
    <t>BANKNIFTY26MAY61800PE</t>
  </si>
  <si>
    <t>BANKNIFTY26MAY61900CE</t>
  </si>
  <si>
    <t>BANKNIFTY26MAY61900PE</t>
  </si>
  <si>
    <t>BANKNIFTY26MAY62000CE</t>
  </si>
  <si>
    <t>BANKNIFTY26MAY62000PE</t>
  </si>
  <si>
    <t>BANKNIFTY26MAY62100CE</t>
  </si>
  <si>
    <t>BANKNIFTY26MAY62100PE</t>
  </si>
  <si>
    <t>BANKNIFTY26MAY62200CE</t>
  </si>
  <si>
    <t>BANKNIFTY26MAY62200PE</t>
  </si>
  <si>
    <t>BANKNIFTY26MAY62300CE</t>
  </si>
  <si>
    <t>BANKNIFTY26MAY62300PE</t>
  </si>
  <si>
    <t>BANKNIFTY26MAY62400CE</t>
  </si>
  <si>
    <t>BANKNIFTY26MAY62400PE</t>
  </si>
  <si>
    <t>BANKNIFTY26MAY62500CE</t>
  </si>
  <si>
    <t>BANKNIFTY26MAY62500PE</t>
  </si>
  <si>
    <t>BANKNIFTY26MAY62600CE</t>
  </si>
  <si>
    <t>BANKNIFTY26MAY62600PE</t>
  </si>
  <si>
    <t>BANKNIFTY26MAY62700CE</t>
  </si>
  <si>
    <t>BANKNIFTY26MAY62700PE</t>
  </si>
  <si>
    <t>BANKNIFTY26MAY62800CE</t>
  </si>
  <si>
    <t>BANKNIFTY26MAY62800PE</t>
  </si>
  <si>
    <t>BANKNIFTY26MAY62900CE</t>
  </si>
  <si>
    <t>BANKNIFTY26MAY62900PE</t>
  </si>
  <si>
    <t>BANKNIFTY26MAY63000CE</t>
  </si>
  <si>
    <t>BANKNIFTY26MAY63000PE</t>
  </si>
  <si>
    <t>BANKNIFTY26MAY63100CE</t>
  </si>
  <si>
    <t>BANKNIFTY26MAY63100PE</t>
  </si>
  <si>
    <t>BANKNIFTY26MAY63200CE</t>
  </si>
  <si>
    <t>BANKNIFTY26MAY63200PE</t>
  </si>
  <si>
    <t>BANKNIFTY26MAY63300CE</t>
  </si>
  <si>
    <t>BANKNIFTY26MAY63300PE</t>
  </si>
  <si>
    <t>BANKNIFTY26MAY63400CE</t>
  </si>
  <si>
    <t>BANKNIFTY26MAY63400PE</t>
  </si>
  <si>
    <t>BANKNIFTY26MAY63500CE</t>
  </si>
  <si>
    <t>BANKNIFTY26MAY63500PE</t>
  </si>
  <si>
    <t>BANKNIFTY26MAY63600CE</t>
  </si>
  <si>
    <t>BANKNIFTY26MAY63600PE</t>
  </si>
  <si>
    <t>BANKNIFTY26MAY63700CE</t>
  </si>
  <si>
    <t>BANKNIFTY26MAY63700PE</t>
  </si>
  <si>
    <t>BANKNIFTY26MAY63800CE</t>
  </si>
  <si>
    <t>BANKNIFTY26MAY63800PE</t>
  </si>
  <si>
    <t>BANKNIFTY26MAY63900CE</t>
  </si>
  <si>
    <t>BANKNIFTY26MAY63900PE</t>
  </si>
  <si>
    <t>BANKNIFTY26MAY64000CE</t>
  </si>
  <si>
    <t>BANKNIFTY26MAY64000PE</t>
  </si>
  <si>
    <t>BANKNIFTY26MAY64100CE</t>
  </si>
  <si>
    <t>BANKNIFTY26MAY64100PE</t>
  </si>
  <si>
    <t>BANKNIFTY26MAY64200CE</t>
  </si>
  <si>
    <t>BANKNIFTY26MAY64200PE</t>
  </si>
  <si>
    <t>BANKNIFTY26MAY64300CE</t>
  </si>
  <si>
    <t>BANKNIFTY26MAY64300PE</t>
  </si>
  <si>
    <t>BANKNIFTY26MAY64400CE</t>
  </si>
  <si>
    <t>BANKNIFTY26MAY64400PE</t>
  </si>
  <si>
    <t>BANKNIFTY26MAY64500CE</t>
  </si>
  <si>
    <t>BANKNIFTY26MAY64500PE</t>
  </si>
  <si>
    <t>BANKNIFTY26MAY64600CE</t>
  </si>
  <si>
    <t>BANKNIFTY26MAY64600PE</t>
  </si>
  <si>
    <t>BANKNIFTY26MAY64700CE</t>
  </si>
  <si>
    <t>BANKNIFTY26MAY64700PE</t>
  </si>
  <si>
    <t>BANKNIFTY26MAY64800CE</t>
  </si>
  <si>
    <t>BANKNIFTY26MAY64800PE</t>
  </si>
  <si>
    <t>BANKNIFTY26MAY64900CE</t>
  </si>
  <si>
    <t>BANKNIFTY26MAY64900PE</t>
  </si>
  <si>
    <t>BANKNIFTY26MAY65000CE</t>
  </si>
  <si>
    <t>BANKNIFTY26MAY65000PE</t>
  </si>
  <si>
    <t>BANKNIFTY26MAY65100CE</t>
  </si>
  <si>
    <t>BANKNIFTY26MAY65100PE</t>
  </si>
  <si>
    <t>BANKNIFTY26MAY65200CE</t>
  </si>
  <si>
    <t>BANKNIFTY26MAY65200PE</t>
  </si>
  <si>
    <t>BANKNIFTY26MAY65300CE</t>
  </si>
  <si>
    <t>BANKNIFTY26MAY65300PE</t>
  </si>
  <si>
    <t>BANKNIFTY26MAY65400CE</t>
  </si>
  <si>
    <t>BANKNIFTY26MAY65400PE</t>
  </si>
  <si>
    <t>BANKNIFTY26MAY65500CE</t>
  </si>
  <si>
    <t>BANKNIFTY26MAY65500PE</t>
  </si>
  <si>
    <t>BANKNIFTY26MAY65600CE</t>
  </si>
  <si>
    <t>BANKNIFTY26MAY65600PE</t>
  </si>
  <si>
    <t>BANKNIFTY26MAY65700CE</t>
  </si>
  <si>
    <t>BANKNIFTY26MAY65700PE</t>
  </si>
  <si>
    <t>BANKNIFTY26MAY65800CE</t>
  </si>
  <si>
    <t>BANKNIFTY26MAY65800PE</t>
  </si>
  <si>
    <t>BANKNIFTY26MAY65900CE</t>
  </si>
  <si>
    <t>BANKNIFTY26MAY65900PE</t>
  </si>
  <si>
    <t>BANKNIFTY26MAY66000CE</t>
  </si>
  <si>
    <t>BANKNIFTY26MAY66000PE</t>
  </si>
  <si>
    <t>BANKNIFTY26MAY66100CE</t>
  </si>
  <si>
    <t>BANKNIFTY26MAY66100PE</t>
  </si>
  <si>
    <t>BANKNIFTY26MAY66200CE</t>
  </si>
  <si>
    <t>BANKNIFTY26MAY66200PE</t>
  </si>
  <si>
    <t>BANKNIFTY26MAY66500CE</t>
  </si>
  <si>
    <t>BANKNIFTY26MAY66500PE</t>
  </si>
  <si>
    <t>BANKNIFTY26MAY67000CE</t>
  </si>
  <si>
    <t>BANKNIFTY26MAY67000PE</t>
  </si>
  <si>
    <t>BANKNIFTY26MAY67500CE</t>
  </si>
  <si>
    <t>BANKNIFTY26MAY67500PE</t>
  </si>
  <si>
    <t>BANKNIFTY26MAY68000CE</t>
  </si>
  <si>
    <t>BANKNIFTY26MAY68000PE</t>
  </si>
  <si>
    <t>BANKNIFTY26MAY68500CE</t>
  </si>
  <si>
    <t>BANKNIFTY26MAY68500PE</t>
  </si>
  <si>
    <t>BSE:SENSEX</t>
  </si>
  <si>
    <t>BSE</t>
  </si>
  <si>
    <t>SENSEX2650764900CE</t>
  </si>
  <si>
    <t>BFO</t>
  </si>
  <si>
    <t>BFO-OPT</t>
  </si>
  <si>
    <t>SENSEX2650764900PE</t>
  </si>
  <si>
    <t>SENSEX2650765000CE</t>
  </si>
  <si>
    <t>SENSEX2650765000PE</t>
  </si>
  <si>
    <t>SENSEX2650765100CE</t>
  </si>
  <si>
    <t>SENSEX2650765100PE</t>
  </si>
  <si>
    <t>SENSEX2650765200CE</t>
  </si>
  <si>
    <t>SENSEX2650765200PE</t>
  </si>
  <si>
    <t>SENSEX2650765300CE</t>
  </si>
  <si>
    <t>SENSEX2650765300PE</t>
  </si>
  <si>
    <t>SENSEX2650765400CE</t>
  </si>
  <si>
    <t>SENSEX2650765400PE</t>
  </si>
  <si>
    <t>SENSEX2650765500CE</t>
  </si>
  <si>
    <t>SENSEX2650765500PE</t>
  </si>
  <si>
    <t>SENSEX2650765600CE</t>
  </si>
  <si>
    <t>SENSEX2650765600PE</t>
  </si>
  <si>
    <t>SENSEX2650765700CE</t>
  </si>
  <si>
    <t>SENSEX2650765700PE</t>
  </si>
  <si>
    <t>SENSEX2650765800CE</t>
  </si>
  <si>
    <t>SENSEX2650765800PE</t>
  </si>
  <si>
    <t>SENSEX2650765900CE</t>
  </si>
  <si>
    <t>SENSEX2650765900PE</t>
  </si>
  <si>
    <t>SENSEX2650766000CE</t>
  </si>
  <si>
    <t>SENSEX2650766000PE</t>
  </si>
  <si>
    <t>SENSEX2650766100CE</t>
  </si>
  <si>
    <t>SENSEX2650766100PE</t>
  </si>
  <si>
    <t>SENSEX2650766200CE</t>
  </si>
  <si>
    <t>SENSEX2650766200PE</t>
  </si>
  <si>
    <t>SENSEX2650766300CE</t>
  </si>
  <si>
    <t>SENSEX2650766300PE</t>
  </si>
  <si>
    <t>SENSEX2650766400CE</t>
  </si>
  <si>
    <t>SENSEX2650766400PE</t>
  </si>
  <si>
    <t>SENSEX2650766500CE</t>
  </si>
  <si>
    <t>SENSEX2650766500PE</t>
  </si>
  <si>
    <t>SENSEX2650766600CE</t>
  </si>
  <si>
    <t>SENSEX2650766600PE</t>
  </si>
  <si>
    <t>SENSEX2650766700CE</t>
  </si>
  <si>
    <t>SENSEX2650766700PE</t>
  </si>
  <si>
    <t>SENSEX2650766800CE</t>
  </si>
  <si>
    <t>SENSEX2650766800PE</t>
  </si>
  <si>
    <t>SENSEX2650766900CE</t>
  </si>
  <si>
    <t>SENSEX2650766900PE</t>
  </si>
  <si>
    <t>SENSEX2650767000CE</t>
  </si>
  <si>
    <t>SENSEX2650767000PE</t>
  </si>
  <si>
    <t>SENSEX2650767100CE</t>
  </si>
  <si>
    <t>SENSEX2650767100PE</t>
  </si>
  <si>
    <t>SENSEX2650767200CE</t>
  </si>
  <si>
    <t>SENSEX2650767200PE</t>
  </si>
  <si>
    <t>SENSEX2650767300CE</t>
  </si>
  <si>
    <t>SENSEX2650767300PE</t>
  </si>
  <si>
    <t>SENSEX2650767400CE</t>
  </si>
  <si>
    <t>SENSEX2650767400PE</t>
  </si>
  <si>
    <t>SENSEX2650767500CE</t>
  </si>
  <si>
    <t>SENSEX2650767500PE</t>
  </si>
  <si>
    <t>SENSEX2650767600CE</t>
  </si>
  <si>
    <t>SENSEX2650767600PE</t>
  </si>
  <si>
    <t>SENSEX2650767700CE</t>
  </si>
  <si>
    <t>SENSEX2650767700PE</t>
  </si>
  <si>
    <t>SENSEX2650767800CE</t>
  </si>
  <si>
    <t>SENSEX2650767800PE</t>
  </si>
  <si>
    <t>SENSEX2650767900CE</t>
  </si>
  <si>
    <t>SENSEX2650767900PE</t>
  </si>
  <si>
    <t>SENSEX2650768000CE</t>
  </si>
  <si>
    <t>SENSEX2650768000PE</t>
  </si>
  <si>
    <t>SENSEX2650768100CE</t>
  </si>
  <si>
    <t>SENSEX2650768100PE</t>
  </si>
  <si>
    <t>SENSEX2650768200CE</t>
  </si>
  <si>
    <t>SENSEX2650768200PE</t>
  </si>
  <si>
    <t>SENSEX2650768300CE</t>
  </si>
  <si>
    <t>SENSEX2650768300PE</t>
  </si>
  <si>
    <t>SENSEX2650768400CE</t>
  </si>
  <si>
    <t>SENSEX2650768400PE</t>
  </si>
  <si>
    <t>SENSEX2650768500CE</t>
  </si>
  <si>
    <t>SENSEX2650768500PE</t>
  </si>
  <si>
    <t>SENSEX2650768600CE</t>
  </si>
  <si>
    <t>SENSEX2650768600PE</t>
  </si>
  <si>
    <t>SENSEX2650768700CE</t>
  </si>
  <si>
    <t>SENSEX2650768700PE</t>
  </si>
  <si>
    <t>SENSEX2650768800CE</t>
  </si>
  <si>
    <t>SENSEX2650768800PE</t>
  </si>
  <si>
    <t>SENSEX2650768900CE</t>
  </si>
  <si>
    <t>SENSEX2650768900PE</t>
  </si>
  <si>
    <t>SENSEX2650769000CE</t>
  </si>
  <si>
    <t>SENSEX2650769000PE</t>
  </si>
  <si>
    <t>SENSEX2650769100CE</t>
  </si>
  <si>
    <t>SENSEX2650769100PE</t>
  </si>
  <si>
    <t>SENSEX2650769200CE</t>
  </si>
  <si>
    <t>SENSEX2650769200PE</t>
  </si>
  <si>
    <t>SENSEX2650769300CE</t>
  </si>
  <si>
    <t>SENSEX2650769300PE</t>
  </si>
  <si>
    <t>SENSEX2650769400CE</t>
  </si>
  <si>
    <t>SENSEX2650769400PE</t>
  </si>
  <si>
    <t>SENSEX2650769500CE</t>
  </si>
  <si>
    <t>SENSEX2650769500PE</t>
  </si>
  <si>
    <t>SENSEX2650769600CE</t>
  </si>
  <si>
    <t>SENSEX2650769600PE</t>
  </si>
  <si>
    <t>SENSEX2650769700CE</t>
  </si>
  <si>
    <t>SENSEX2650769700PE</t>
  </si>
  <si>
    <t>SENSEX2650769800CE</t>
  </si>
  <si>
    <t>SENSEX2650769800PE</t>
  </si>
  <si>
    <t>SENSEX2650769900CE</t>
  </si>
  <si>
    <t>SENSEX2650769900PE</t>
  </si>
  <si>
    <t>SENSEX2650770000CE</t>
  </si>
  <si>
    <t>SENSEX2650770000PE</t>
  </si>
  <si>
    <t>SENSEX2650770100CE</t>
  </si>
  <si>
    <t>SENSEX2650770100PE</t>
  </si>
  <si>
    <t>SENSEX2650770200CE</t>
  </si>
  <si>
    <t>SENSEX2650770200PE</t>
  </si>
  <si>
    <t>SENSEX2650770300CE</t>
  </si>
  <si>
    <t>SENSEX2650770300PE</t>
  </si>
  <si>
    <t>SENSEX2650770400CE</t>
  </si>
  <si>
    <t>SENSEX2650770400PE</t>
  </si>
  <si>
    <t>SENSEX2650770500CE</t>
  </si>
  <si>
    <t>SENSEX2650770500PE</t>
  </si>
  <si>
    <t>SENSEX2650770600CE</t>
  </si>
  <si>
    <t>SENSEX2650770600PE</t>
  </si>
  <si>
    <t>SENSEX2650770700CE</t>
  </si>
  <si>
    <t>SENSEX2650770700PE</t>
  </si>
  <si>
    <t>SENSEX2650770800CE</t>
  </si>
  <si>
    <t>SENSEX2650770800PE</t>
  </si>
  <si>
    <t>SENSEX2650770900CE</t>
  </si>
  <si>
    <t>SENSEX2650770900PE</t>
  </si>
  <si>
    <t>SENSEX2650771000CE</t>
  </si>
  <si>
    <t>SENSEX2650771000PE</t>
  </si>
  <si>
    <t>SENSEX2650771100CE</t>
  </si>
  <si>
    <t>SENSEX2650771100PE</t>
  </si>
  <si>
    <t>SENSEX2650771200CE</t>
  </si>
  <si>
    <t>SENSEX2650771200PE</t>
  </si>
  <si>
    <t>SENSEX2650771300CE</t>
  </si>
  <si>
    <t>SENSEX2650771300PE</t>
  </si>
  <si>
    <t>SENSEX2650771400CE</t>
  </si>
  <si>
    <t>SENSEX2650771400PE</t>
  </si>
  <si>
    <t>SENSEX2650771500CE</t>
  </si>
  <si>
    <t>SENSEX2650771500PE</t>
  </si>
  <si>
    <t>SENSEX2650771600CE</t>
  </si>
  <si>
    <t>SENSEX2650771600PE</t>
  </si>
  <si>
    <t>SENSEX2650771700CE</t>
  </si>
  <si>
    <t>SENSEX2650771700PE</t>
  </si>
  <si>
    <t>SENSEX2650771800CE</t>
  </si>
  <si>
    <t>SENSEX2650771800PE</t>
  </si>
  <si>
    <t>SENSEX2650771900CE</t>
  </si>
  <si>
    <t>SENSEX2650771900PE</t>
  </si>
  <si>
    <t>SENSEX2650772000CE</t>
  </si>
  <si>
    <t>SENSEX2650772000PE</t>
  </si>
  <si>
    <t>SENSEX2650772100CE</t>
  </si>
  <si>
    <t>SENSEX2650772100PE</t>
  </si>
  <si>
    <t>SENSEX2650772200CE</t>
  </si>
  <si>
    <t>SENSEX2650772200PE</t>
  </si>
  <si>
    <t>SENSEX2650772300CE</t>
  </si>
  <si>
    <t>SENSEX2650772300PE</t>
  </si>
  <si>
    <t>SENSEX2650772400CE</t>
  </si>
  <si>
    <t>SENSEX2650772400PE</t>
  </si>
  <si>
    <t>SENSEX2650772500CE</t>
  </si>
  <si>
    <t>SENSEX2650772500PE</t>
  </si>
  <si>
    <t>SENSEX2650772600CE</t>
  </si>
  <si>
    <t>SENSEX2650772600PE</t>
  </si>
  <si>
    <t>SENSEX2650772700CE</t>
  </si>
  <si>
    <t>SENSEX2650772700PE</t>
  </si>
  <si>
    <t>SENSEX2650772800CE</t>
  </si>
  <si>
    <t>SENSEX2650772800PE</t>
  </si>
  <si>
    <t>SENSEX2650772900CE</t>
  </si>
  <si>
    <t>SENSEX2650772900PE</t>
  </si>
  <si>
    <t>SENSEX2650773000CE</t>
  </si>
  <si>
    <t>SENSEX2650773000PE</t>
  </si>
  <si>
    <t>SENSEX2650773100CE</t>
  </si>
  <si>
    <t>SENSEX2650773100PE</t>
  </si>
  <si>
    <t>SENSEX2650773200CE</t>
  </si>
  <si>
    <t>SENSEX2650773200PE</t>
  </si>
  <si>
    <t>SENSEX2650773300CE</t>
  </si>
  <si>
    <t>SENSEX2650773300PE</t>
  </si>
  <si>
    <t>SENSEX2650773400CE</t>
  </si>
  <si>
    <t>SENSEX2650773400PE</t>
  </si>
  <si>
    <t>SENSEX2650773500CE</t>
  </si>
  <si>
    <t>SENSEX2650773500PE</t>
  </si>
  <si>
    <t>SENSEX2650773600CE</t>
  </si>
  <si>
    <t>SENSEX2650773600PE</t>
  </si>
  <si>
    <t>SENSEX2650773700CE</t>
  </si>
  <si>
    <t>SENSEX2650773700PE</t>
  </si>
  <si>
    <t>SENSEX2650773800CE</t>
  </si>
  <si>
    <t>SENSEX2650773800PE</t>
  </si>
  <si>
    <t>SENSEX2650773900CE</t>
  </si>
  <si>
    <t>SENSEX2650773900PE</t>
  </si>
  <si>
    <t>SENSEX2650774000CE</t>
  </si>
  <si>
    <t>SENSEX2650774000PE</t>
  </si>
  <si>
    <t>SENSEX2650774100CE</t>
  </si>
  <si>
    <t>SENSEX2650774100PE</t>
  </si>
  <si>
    <t>SENSEX2650774200CE</t>
  </si>
  <si>
    <t>SENSEX2650774200PE</t>
  </si>
  <si>
    <t>SENSEX2650774300CE</t>
  </si>
  <si>
    <t>SENSEX2650774300PE</t>
  </si>
  <si>
    <t>SENSEX2650774400CE</t>
  </si>
  <si>
    <t>SENSEX2650774400PE</t>
  </si>
  <si>
    <t>SENSEX2650774500CE</t>
  </si>
  <si>
    <t>SENSEX2650774500PE</t>
  </si>
  <si>
    <t>SENSEX2650774600CE</t>
  </si>
  <si>
    <t>SENSEX2650774600PE</t>
  </si>
  <si>
    <t>SENSEX2650774700CE</t>
  </si>
  <si>
    <t>SENSEX2650774700PE</t>
  </si>
  <si>
    <t>SENSEX2650774800CE</t>
  </si>
  <si>
    <t>SENSEX2650774800PE</t>
  </si>
  <si>
    <t>SENSEX2650774900CE</t>
  </si>
  <si>
    <t>SENSEX2650774900PE</t>
  </si>
  <si>
    <t>SENSEX2650775000CE</t>
  </si>
  <si>
    <t>SENSEX2650775000PE</t>
  </si>
  <si>
    <t>SENSEX2650775100CE</t>
  </si>
  <si>
    <t>SENSEX2650775100PE</t>
  </si>
  <si>
    <t>SENSEX2650775200CE</t>
  </si>
  <si>
    <t>SENSEX2650775200PE</t>
  </si>
  <si>
    <t>SENSEX2650775300CE</t>
  </si>
  <si>
    <t>SENSEX2650775300PE</t>
  </si>
  <si>
    <t>SENSEX2650775400CE</t>
  </si>
  <si>
    <t>SENSEX2650775400PE</t>
  </si>
  <si>
    <t>SENSEX2650775500CE</t>
  </si>
  <si>
    <t>SENSEX2650775500PE</t>
  </si>
  <si>
    <t>SENSEX2650775600CE</t>
  </si>
  <si>
    <t>SENSEX2650775600PE</t>
  </si>
  <si>
    <t>SENSEX2650775700CE</t>
  </si>
  <si>
    <t>SENSEX2650775700PE</t>
  </si>
  <si>
    <t>SENSEX2650775800CE</t>
  </si>
  <si>
    <t>SENSEX2650775800PE</t>
  </si>
  <si>
    <t>SENSEX2650775900CE</t>
  </si>
  <si>
    <t>SENSEX2650775900PE</t>
  </si>
  <si>
    <t>SENSEX2650776000CE</t>
  </si>
  <si>
    <t>SENSEX2650776000PE</t>
  </si>
  <si>
    <t>SENSEX2650776100CE</t>
  </si>
  <si>
    <t>SENSEX2650776100PE</t>
  </si>
  <si>
    <t>SENSEX2650776200CE</t>
  </si>
  <si>
    <t>SENSEX2650776200PE</t>
  </si>
  <si>
    <t>SENSEX2650776300CE</t>
  </si>
  <si>
    <t>SENSEX2650776300PE</t>
  </si>
  <si>
    <t>SENSEX2650776400CE</t>
  </si>
  <si>
    <t>SENSEX2650776400PE</t>
  </si>
  <si>
    <t>SENSEX2650776500CE</t>
  </si>
  <si>
    <t>SENSEX2650776500PE</t>
  </si>
  <si>
    <t>SENSEX2650776600CE</t>
  </si>
  <si>
    <t>SENSEX2650776600PE</t>
  </si>
  <si>
    <t>SENSEX2650776700CE</t>
  </si>
  <si>
    <t>SENSEX2650776700PE</t>
  </si>
  <si>
    <t>SENSEX2650776800CE</t>
  </si>
  <si>
    <t>SENSEX2650776800PE</t>
  </si>
  <si>
    <t>SENSEX2650776900CE</t>
  </si>
  <si>
    <t>SENSEX2650776900PE</t>
  </si>
  <si>
    <t>SENSEX2650777000CE</t>
  </si>
  <si>
    <t>SENSEX2650777000PE</t>
  </si>
  <si>
    <t>SENSEX2650777100CE</t>
  </si>
  <si>
    <t>SENSEX2650777100PE</t>
  </si>
  <si>
    <t>SENSEX2650777200CE</t>
  </si>
  <si>
    <t>SENSEX2650777200PE</t>
  </si>
  <si>
    <t>SENSEX2650777300CE</t>
  </si>
  <si>
    <t>SENSEX2650777300PE</t>
  </si>
  <si>
    <t>SENSEX2650777400CE</t>
  </si>
  <si>
    <t>SENSEX2650777400PE</t>
  </si>
  <si>
    <t>SENSEX2650777500CE</t>
  </si>
  <si>
    <t>SENSEX2650777500PE</t>
  </si>
  <si>
    <t>SENSEX2650777600CE</t>
  </si>
  <si>
    <t>SENSEX2650777600PE</t>
  </si>
  <si>
    <t>SENSEX2650777700CE</t>
  </si>
  <si>
    <t>SENSEX2650777700PE</t>
  </si>
  <si>
    <t>SENSEX2650777800CE</t>
  </si>
  <si>
    <t>SENSEX2650777800PE</t>
  </si>
  <si>
    <t>SENSEX2650777900CE</t>
  </si>
  <si>
    <t>SENSEX2650777900PE</t>
  </si>
  <si>
    <t>SENSEX2650778000CE</t>
  </si>
  <si>
    <t>SENSEX2650778000PE</t>
  </si>
  <si>
    <t>SENSEX2650778100CE</t>
  </si>
  <si>
    <t>SENSEX2650778100PE</t>
  </si>
  <si>
    <t>SENSEX2650778200CE</t>
  </si>
  <si>
    <t>SENSEX2650778200PE</t>
  </si>
  <si>
    <t>SENSEX2650778300CE</t>
  </si>
  <si>
    <t>SENSEX2650778300PE</t>
  </si>
  <si>
    <t>SENSEX2650778400CE</t>
  </si>
  <si>
    <t>SENSEX2650778400PE</t>
  </si>
  <si>
    <t>SENSEX2650778500CE</t>
  </si>
  <si>
    <t>SENSEX2650778500PE</t>
  </si>
  <si>
    <t>SENSEX2650778600CE</t>
  </si>
  <si>
    <t>SENSEX2650778600PE</t>
  </si>
  <si>
    <t>SENSEX2650778700CE</t>
  </si>
  <si>
    <t>SENSEX2650778700PE</t>
  </si>
  <si>
    <t>SENSEX2650778800CE</t>
  </si>
  <si>
    <t>SENSEX2650778800PE</t>
  </si>
  <si>
    <t>SENSEX2650778900CE</t>
  </si>
  <si>
    <t>SENSEX2650778900PE</t>
  </si>
  <si>
    <t>SENSEX2650779000CE</t>
  </si>
  <si>
    <t>SENSEX2650779000PE</t>
  </si>
  <si>
    <t>SENSEX2650779100CE</t>
  </si>
  <si>
    <t>SENSEX2650779100PE</t>
  </si>
  <si>
    <t>SENSEX2650779200CE</t>
  </si>
  <si>
    <t>SENSEX2650779200PE</t>
  </si>
  <si>
    <t>SENSEX2650779300CE</t>
  </si>
  <si>
    <t>SENSEX2650779300PE</t>
  </si>
  <si>
    <t>SENSEX2650779400CE</t>
  </si>
  <si>
    <t>SENSEX2650779400PE</t>
  </si>
  <si>
    <t>SENSEX2650779500CE</t>
  </si>
  <si>
    <t>SENSEX2650779500PE</t>
  </si>
  <si>
    <t>SENSEX2650779600CE</t>
  </si>
  <si>
    <t>SENSEX2650779600PE</t>
  </si>
  <si>
    <t>SENSEX2650779700CE</t>
  </si>
  <si>
    <t>SENSEX2650779700PE</t>
  </si>
  <si>
    <t>SENSEX2650779800CE</t>
  </si>
  <si>
    <t>SENSEX2650779800PE</t>
  </si>
  <si>
    <t>SENSEX2650779900CE</t>
  </si>
  <si>
    <t>SENSEX2650779900PE</t>
  </si>
  <si>
    <t>SENSEX2650780000CE</t>
  </si>
  <si>
    <t>SENSEX2650780000PE</t>
  </si>
  <si>
    <t>SENSEX2650780100CE</t>
  </si>
  <si>
    <t>SENSEX2650780100PE</t>
  </si>
  <si>
    <t>SENSEX2650780200CE</t>
  </si>
  <si>
    <t>SENSEX2650780200PE</t>
  </si>
  <si>
    <t>SENSEX2650780300CE</t>
  </si>
  <si>
    <t>SENSEX2650780300PE</t>
  </si>
  <si>
    <t>SENSEX2650780400CE</t>
  </si>
  <si>
    <t>SENSEX2650780400PE</t>
  </si>
  <si>
    <t>SENSEX2650780500CE</t>
  </si>
  <si>
    <t>SENSEX2650780500PE</t>
  </si>
  <si>
    <t>SENSEX2650780600CE</t>
  </si>
  <si>
    <t>SENSEX2650780600PE</t>
  </si>
  <si>
    <t>SENSEX2650780700CE</t>
  </si>
  <si>
    <t>SENSEX2650780700PE</t>
  </si>
  <si>
    <t>SENSEX2650780800CE</t>
  </si>
  <si>
    <t>SENSEX2650780800PE</t>
  </si>
  <si>
    <t>SENSEX2650780900CE</t>
  </si>
  <si>
    <t>SENSEX2650780900PE</t>
  </si>
  <si>
    <t>SENSEX2650781000CE</t>
  </si>
  <si>
    <t>SENSEX2650781000PE</t>
  </si>
  <si>
    <t>SENSEX2650781100CE</t>
  </si>
  <si>
    <t>SENSEX2650781100PE</t>
  </si>
  <si>
    <t>SENSEX2650781200CE</t>
  </si>
  <si>
    <t>SENSEX2650781200PE</t>
  </si>
  <si>
    <t>SENSEX2650781300CE</t>
  </si>
  <si>
    <t>SENSEX2650781300PE</t>
  </si>
  <si>
    <t>SENSEX2650781400CE</t>
  </si>
  <si>
    <t>SENSEX2650781400PE</t>
  </si>
  <si>
    <t>SENSEX2650781500CE</t>
  </si>
  <si>
    <t>SENSEX2650781500PE</t>
  </si>
  <si>
    <t>SENSEX2650781600CE</t>
  </si>
  <si>
    <t>SENSEX2650781600PE</t>
  </si>
  <si>
    <t>SENSEX2650781700CE</t>
  </si>
  <si>
    <t>SENSEX2650781700PE</t>
  </si>
  <si>
    <t>SENSEX2650781800CE</t>
  </si>
  <si>
    <t>SENSEX2650781800PE</t>
  </si>
  <si>
    <t>SENSEX2650781900CE</t>
  </si>
  <si>
    <t>SENSEX2650781900PE</t>
  </si>
  <si>
    <t>SENSEX2650782000CE</t>
  </si>
  <si>
    <t>SENSEX2650782000PE</t>
  </si>
  <si>
    <t>SENSEX2650782100CE</t>
  </si>
  <si>
    <t>SENSEX2650782100PE</t>
  </si>
  <si>
    <t>SENSEX2650782200CE</t>
  </si>
  <si>
    <t>SENSEX2650782200PE</t>
  </si>
  <si>
    <t>SENSEX2650782300CE</t>
  </si>
  <si>
    <t>SENSEX2650782300PE</t>
  </si>
  <si>
    <t>SENSEX2650782400CE</t>
  </si>
  <si>
    <t>SENSEX2650782400PE</t>
  </si>
  <si>
    <t>SENSEX2650782500CE</t>
  </si>
  <si>
    <t>SENSEX2650782500PE</t>
  </si>
  <si>
    <t>SENSEX2650782600CE</t>
  </si>
  <si>
    <t>SENSEX2650782600PE</t>
  </si>
  <si>
    <t>SENSEX2650782700CE</t>
  </si>
  <si>
    <t>SENSEX2650782700PE</t>
  </si>
  <si>
    <t>SENSEX2650782800CE</t>
  </si>
  <si>
    <t>SENSEX2650782800PE</t>
  </si>
  <si>
    <t>SENSEX2650782900CE</t>
  </si>
  <si>
    <t>SENSEX2650782900PE</t>
  </si>
  <si>
    <t>SENSEX2650783000CE</t>
  </si>
  <si>
    <t>SENSEX2650783000PE</t>
  </si>
  <si>
    <t>SENSEX2650783100CE</t>
  </si>
  <si>
    <t>SENSEX2650783100PE</t>
  </si>
  <si>
    <t>SENSEX2650783200CE</t>
  </si>
  <si>
    <t>SENSEX2650783200PE</t>
  </si>
  <si>
    <t>SENSEX2650783300CE</t>
  </si>
  <si>
    <t>SENSEX2650783300PE</t>
  </si>
  <si>
    <t>SENSEX2650783400CE</t>
  </si>
  <si>
    <t>SENSEX2650783400PE</t>
  </si>
  <si>
    <t>SENSEX2650783500CE</t>
  </si>
  <si>
    <t>SENSEX2650783500PE</t>
  </si>
  <si>
    <t>SENSEX2650783600CE</t>
  </si>
  <si>
    <t>SENSEX2650783600PE</t>
  </si>
  <si>
    <t>SENSEX2650783700CE</t>
  </si>
  <si>
    <t>SENSEX2650783700PE</t>
  </si>
  <si>
    <t>SENSEX2650783800CE</t>
  </si>
  <si>
    <t>SENSEX2650783800PE</t>
  </si>
  <si>
    <t>SENSEX2650783900CE</t>
  </si>
  <si>
    <t>SENSEX2650783900PE</t>
  </si>
  <si>
    <t>SENSEX2650784000CE</t>
  </si>
  <si>
    <t>SENSEX2650784000PE</t>
  </si>
  <si>
    <t>SENSEX2650784100CE</t>
  </si>
  <si>
    <t>SENSEX2650784100PE</t>
  </si>
  <si>
    <t>SENSEX2650784200CE</t>
  </si>
  <si>
    <t>SENSEX2650784200PE</t>
  </si>
  <si>
    <t>SENSEX2650784300CE</t>
  </si>
  <si>
    <t>SENSEX2650784300PE</t>
  </si>
  <si>
    <t>SENSEX2650784400CE</t>
  </si>
  <si>
    <t>SENSEX2650784400PE</t>
  </si>
  <si>
    <t>SENSEX2650784500CE</t>
  </si>
  <si>
    <t>SENSEX2650784500PE</t>
  </si>
  <si>
    <t>SENSEX2650784600CE</t>
  </si>
  <si>
    <t>SENSEX2650784600PE</t>
  </si>
  <si>
    <t>SENSEX2650784700CE</t>
  </si>
  <si>
    <t>SENSEX2650784700PE</t>
  </si>
  <si>
    <t>SENSEX2650784800CE</t>
  </si>
  <si>
    <t>SENSEX2650784800PE</t>
  </si>
  <si>
    <t>SENSEX2650784900CE</t>
  </si>
  <si>
    <t>SENSEX2650784900PE</t>
  </si>
  <si>
    <t>SENSEX2650785000CE</t>
  </si>
  <si>
    <t>SENSEX2650785000PE</t>
  </si>
  <si>
    <t>SENSEX2650785100CE</t>
  </si>
  <si>
    <t>SENSEX2650785100PE</t>
  </si>
  <si>
    <t>SENSEX2650785200CE</t>
  </si>
  <si>
    <t>SENSEX2650785200PE</t>
  </si>
  <si>
    <t>SENSEX2650785300CE</t>
  </si>
  <si>
    <t>SENSEX2650785300PE</t>
  </si>
  <si>
    <t>Streaming live ticks for NIFTY 2026-05-05</t>
  </si>
  <si>
    <t>Streaming live ticks for BANKNIFTY 2026-05-26</t>
  </si>
  <si>
    <t>Streaming live ticks for SENSEX 2026-05-07</t>
  </si>
  <si>
    <t>WebSocket tick stream + 300ms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</si>
</sst>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2" fillId="4" borderId="0" xfId="0" applyFont="1" applyFill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22" fontId="0" fillId="0" borderId="0" xfId="0" applyNumberFormat="1"/>
    <xf numFmtId="22" fontId="0" fillId="0" borderId="1" xfId="0" applyNumberFormat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B11" sqref="B11"/>
    </sheetView>
  </sheetViews>
  <sheetFormatPr defaultRowHeight="15" x14ac:dyDescent="0.25"/>
  <cols>
    <col min="1" max="1" width="16" customWidth="1"/>
    <col min="2" max="2" width="18" customWidth="1"/>
    <col min="3" max="4" width="14" customWidth="1"/>
    <col min="5" max="5" width="16" customWidth="1"/>
    <col min="6" max="6" width="40" customWidth="1"/>
  </cols>
  <sheetData>
    <row r="1" spans="1:6" ht="21" x14ac:dyDescent="0.35">
      <c r="A1" s="8" t="s">
        <v>0</v>
      </c>
      <c r="B1" s="9"/>
      <c r="C1" s="9"/>
      <c r="D1" s="9"/>
      <c r="E1" s="9"/>
      <c r="F1" s="9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 t="s">
        <v>7</v>
      </c>
      <c r="B4" s="4">
        <f>NIFTY!B3</f>
        <v>46147</v>
      </c>
      <c r="C4" s="2">
        <f>NIFTY!E3</f>
        <v>24028.05</v>
      </c>
      <c r="D4" s="2">
        <f>NIFTY!B4</f>
        <v>24050</v>
      </c>
      <c r="E4" s="2">
        <f>NIFTY!E4</f>
        <v>58.95</v>
      </c>
      <c r="F4" s="2" t="str">
        <f>NIFTY!E5</f>
        <v>Streaming live ticks for NIFTY 2026-05-05</v>
      </c>
    </row>
    <row r="5" spans="1:6" x14ac:dyDescent="0.25">
      <c r="A5" s="2" t="s">
        <v>8</v>
      </c>
      <c r="B5" s="4">
        <f>BANKNIFTY!B3</f>
        <v>46168</v>
      </c>
      <c r="C5" s="2">
        <f>BANKNIFTY!E3</f>
        <v>54727.1</v>
      </c>
      <c r="D5" s="2">
        <f>BANKNIFTY!B4</f>
        <v>54700</v>
      </c>
      <c r="E5" s="2">
        <f>BANKNIFTY!E4</f>
        <v>2126.9</v>
      </c>
      <c r="F5" s="2" t="str">
        <f>BANKNIFTY!E5</f>
        <v>Streaming live ticks for BANKNIFTY 2026-05-26</v>
      </c>
    </row>
    <row r="6" spans="1:6" x14ac:dyDescent="0.25">
      <c r="A6" s="2" t="s">
        <v>9</v>
      </c>
      <c r="B6" s="4">
        <f>SENSEX!B3</f>
        <v>46149</v>
      </c>
      <c r="C6" s="2">
        <f>SENSEX!E3</f>
        <v>76984.91</v>
      </c>
      <c r="D6" s="2">
        <f>SENSEX!B4</f>
        <v>77000</v>
      </c>
      <c r="E6" s="2">
        <f>SENSEX!E4</f>
        <v>887.45</v>
      </c>
      <c r="F6" s="2" t="str">
        <f>SENSEX!E5</f>
        <v>Streaming live ticks for SENSEX 2026-05-07</v>
      </c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 t="s">
        <v>10</v>
      </c>
      <c r="B9" s="7">
        <v>46147.586539351854</v>
      </c>
      <c r="C9" s="2"/>
      <c r="D9" s="2"/>
      <c r="E9" s="2"/>
      <c r="F9" s="2"/>
    </row>
    <row r="10" spans="1:6" x14ac:dyDescent="0.25">
      <c r="A10" s="2" t="s">
        <v>11</v>
      </c>
      <c r="B10" s="2" t="s">
        <v>1177</v>
      </c>
      <c r="C10" s="2"/>
      <c r="D10" s="2"/>
      <c r="E10" s="2"/>
      <c r="F10" s="2"/>
    </row>
    <row r="11" spans="1:6" x14ac:dyDescent="0.25">
      <c r="A11" t="s">
        <v>12</v>
      </c>
      <c r="B11" t="s">
        <v>13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showGridLines="0" workbookViewId="0">
      <pane ySplit="7" topLeftCell="A81" activePane="bottomLeft" state="frozen"/>
      <selection pane="bottomLeft" activeCell="E87" sqref="E87"/>
    </sheetView>
  </sheetViews>
  <sheetFormatPr defaultRowHeight="15" x14ac:dyDescent="0.25"/>
  <cols>
    <col min="1" max="1" width="10" customWidth="1"/>
    <col min="2" max="2" width="25.28515625" customWidth="1"/>
    <col min="3" max="4" width="14" customWidth="1"/>
    <col min="5" max="5" width="16" customWidth="1"/>
  </cols>
  <sheetData>
    <row r="1" spans="1:5" ht="21" x14ac:dyDescent="0.35">
      <c r="A1" s="8" t="s">
        <v>14</v>
      </c>
      <c r="B1" s="9"/>
      <c r="C1" s="9"/>
      <c r="D1" s="9"/>
      <c r="E1" s="9"/>
    </row>
    <row r="3" spans="1:5" x14ac:dyDescent="0.25">
      <c r="A3" s="2" t="s">
        <v>2</v>
      </c>
      <c r="B3" s="4">
        <v>46147</v>
      </c>
      <c r="D3" s="2" t="s">
        <v>3</v>
      </c>
      <c r="E3" s="2">
        <v>24028.05</v>
      </c>
    </row>
    <row r="4" spans="1:5" x14ac:dyDescent="0.25">
      <c r="A4" s="2" t="s">
        <v>4</v>
      </c>
      <c r="B4" s="2">
        <v>24050</v>
      </c>
      <c r="D4" s="2" t="s">
        <v>5</v>
      </c>
      <c r="E4" s="2">
        <v>58.95</v>
      </c>
    </row>
    <row r="5" spans="1:5" x14ac:dyDescent="0.25">
      <c r="A5" s="2" t="s">
        <v>10</v>
      </c>
      <c r="B5" s="7">
        <v>46147.586527777778</v>
      </c>
      <c r="D5" s="2" t="s">
        <v>6</v>
      </c>
      <c r="E5" s="2" t="s">
        <v>1174</v>
      </c>
    </row>
    <row r="7" spans="1: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 x14ac:dyDescent="0.25">
      <c r="A8" t="str">
        <f>IF(B8=$B$4,"ATM","")</f>
        <v/>
      </c>
      <c r="B8">
        <v>20100</v>
      </c>
      <c r="C8">
        <f>IF(RawData!J3="","",RawData!J3)</f>
        <v>2979.95</v>
      </c>
      <c r="D8">
        <f>IF(RawData!J4="","",RawData!J4)</f>
        <v>0.1</v>
      </c>
      <c r="E8">
        <f>IF(OR(C8="",D8=""),"",C8+D8)</f>
        <v>2980.0499999999997</v>
      </c>
    </row>
    <row r="9" spans="1:5" x14ac:dyDescent="0.25">
      <c r="A9" t="str">
        <f>IF(B9=$B$4,"ATM","")</f>
        <v/>
      </c>
      <c r="B9">
        <v>20150</v>
      </c>
      <c r="C9">
        <f>IF(RawData!J5="","",RawData!J5)</f>
        <v>2930.7</v>
      </c>
      <c r="D9">
        <f>IF(RawData!J6="","",RawData!J6)</f>
        <v>0.1</v>
      </c>
      <c r="E9">
        <f>IF(OR(C9="",D9=""),"",C9+D9)</f>
        <v>2930.7999999999997</v>
      </c>
    </row>
    <row r="10" spans="1:5" x14ac:dyDescent="0.25">
      <c r="A10" t="str">
        <f>IF(B10=$B$4,"ATM","")</f>
        <v/>
      </c>
      <c r="B10">
        <v>20200</v>
      </c>
      <c r="C10">
        <f>IF(RawData!J7="","",RawData!J7)</f>
        <v>2881.5</v>
      </c>
      <c r="D10">
        <f>IF(RawData!J8="","",RawData!J8)</f>
        <v>0.05</v>
      </c>
      <c r="E10">
        <f>IF(OR(C10="",D10=""),"",C10+D10)</f>
        <v>2881.55</v>
      </c>
    </row>
    <row r="11" spans="1:5" x14ac:dyDescent="0.25">
      <c r="A11" t="str">
        <f>IF(B11=$B$4,"ATM","")</f>
        <v/>
      </c>
      <c r="B11">
        <v>20250</v>
      </c>
      <c r="C11">
        <f>IF(RawData!J9="","",RawData!J9)</f>
        <v>2832.3</v>
      </c>
      <c r="D11">
        <f>IF(RawData!J10="","",RawData!J10)</f>
        <v>0.1</v>
      </c>
      <c r="E11">
        <f>IF(OR(C11="",D11=""),"",C11+D11)</f>
        <v>2832.4</v>
      </c>
    </row>
    <row r="12" spans="1:5" x14ac:dyDescent="0.25">
      <c r="A12" t="str">
        <f>IF(B12=$B$4,"ATM","")</f>
        <v/>
      </c>
      <c r="B12">
        <v>20300</v>
      </c>
      <c r="C12">
        <f>IF(RawData!J11="","",RawData!J11)</f>
        <v>2783.2</v>
      </c>
      <c r="D12">
        <f>IF(RawData!J12="","",RawData!J12)</f>
        <v>0.05</v>
      </c>
      <c r="E12">
        <f>IF(OR(C12="",D12=""),"",C12+D12)</f>
        <v>2783.25</v>
      </c>
    </row>
    <row r="13" spans="1:5" x14ac:dyDescent="0.25">
      <c r="A13" t="str">
        <f>IF(B13=$B$4,"ATM","")</f>
        <v/>
      </c>
      <c r="B13">
        <v>20350</v>
      </c>
      <c r="C13">
        <f>IF(RawData!J13="","",RawData!J13)</f>
        <v>2734.15</v>
      </c>
      <c r="D13">
        <f>IF(RawData!J14="","",RawData!J14)</f>
        <v>0.1</v>
      </c>
      <c r="E13">
        <f>IF(OR(C13="",D13=""),"",C13+D13)</f>
        <v>2734.25</v>
      </c>
    </row>
    <row r="14" spans="1:5" x14ac:dyDescent="0.25">
      <c r="A14" t="str">
        <f>IF(B14=$B$4,"ATM","")</f>
        <v/>
      </c>
      <c r="B14">
        <v>20400</v>
      </c>
      <c r="C14">
        <f>IF(RawData!J15="","",RawData!J15)</f>
        <v>2685.15</v>
      </c>
      <c r="D14">
        <f>IF(RawData!J16="","",RawData!J16)</f>
        <v>0.1</v>
      </c>
      <c r="E14">
        <f>IF(OR(C14="",D14=""),"",C14+D14)</f>
        <v>2685.25</v>
      </c>
    </row>
    <row r="15" spans="1:5" x14ac:dyDescent="0.25">
      <c r="A15" t="str">
        <f>IF(B15=$B$4,"ATM","")</f>
        <v/>
      </c>
      <c r="B15">
        <v>20450</v>
      </c>
      <c r="C15">
        <f>IF(RawData!J17="","",RawData!J17)</f>
        <v>2636.25</v>
      </c>
      <c r="D15">
        <f>IF(RawData!J18="","",RawData!J18)</f>
        <v>0.05</v>
      </c>
      <c r="E15">
        <f>IF(OR(C15="",D15=""),"",C15+D15)</f>
        <v>2636.3</v>
      </c>
    </row>
    <row r="16" spans="1:5" x14ac:dyDescent="0.25">
      <c r="A16" t="str">
        <f>IF(B16=$B$4,"ATM","")</f>
        <v/>
      </c>
      <c r="B16">
        <v>20500</v>
      </c>
      <c r="C16">
        <f>IF(RawData!J19="","",RawData!J19)</f>
        <v>2587.4</v>
      </c>
      <c r="D16">
        <f>IF(RawData!J20="","",RawData!J20)</f>
        <v>0.1</v>
      </c>
      <c r="E16">
        <f>IF(OR(C16="",D16=""),"",C16+D16)</f>
        <v>2587.5</v>
      </c>
    </row>
    <row r="17" spans="1:5" x14ac:dyDescent="0.25">
      <c r="A17" t="str">
        <f>IF(B17=$B$4,"ATM","")</f>
        <v/>
      </c>
      <c r="B17">
        <v>20550</v>
      </c>
      <c r="C17">
        <f>IF(RawData!J21="","",RawData!J21)</f>
        <v>3533.1</v>
      </c>
      <c r="D17">
        <f>IF(RawData!J22="","",RawData!J22)</f>
        <v>0.15</v>
      </c>
      <c r="E17">
        <f>IF(OR(C17="",D17=""),"",C17+D17)</f>
        <v>3533.25</v>
      </c>
    </row>
    <row r="18" spans="1:5" x14ac:dyDescent="0.25">
      <c r="A18" t="str">
        <f>IF(B18=$B$4,"ATM","")</f>
        <v/>
      </c>
      <c r="B18">
        <v>20600</v>
      </c>
      <c r="C18">
        <f>IF(RawData!J23="","",RawData!J23)</f>
        <v>3483.65</v>
      </c>
      <c r="D18">
        <f>IF(RawData!J24="","",RawData!J24)</f>
        <v>0.1</v>
      </c>
      <c r="E18">
        <f>IF(OR(C18="",D18=""),"",C18+D18)</f>
        <v>3483.75</v>
      </c>
    </row>
    <row r="19" spans="1:5" x14ac:dyDescent="0.25">
      <c r="A19" t="str">
        <f>IF(B19=$B$4,"ATM","")</f>
        <v/>
      </c>
      <c r="B19">
        <v>20650</v>
      </c>
      <c r="C19">
        <f>IF(RawData!J25="","",RawData!J25)</f>
        <v>3332.65</v>
      </c>
      <c r="D19">
        <f>IF(RawData!J26="","",RawData!J26)</f>
        <v>0.15</v>
      </c>
      <c r="E19">
        <f>IF(OR(C19="",D19=""),"",C19+D19)</f>
        <v>3332.8</v>
      </c>
    </row>
    <row r="20" spans="1:5" x14ac:dyDescent="0.25">
      <c r="A20" t="str">
        <f>IF(B20=$B$4,"ATM","")</f>
        <v/>
      </c>
      <c r="B20">
        <v>20700</v>
      </c>
      <c r="C20">
        <f>IF(RawData!J27="","",RawData!J27)</f>
        <v>2393.0500000000002</v>
      </c>
      <c r="D20">
        <f>IF(RawData!J28="","",RawData!J28)</f>
        <v>0.1</v>
      </c>
      <c r="E20">
        <f>IF(OR(C20="",D20=""),"",C20+D20)</f>
        <v>2393.15</v>
      </c>
    </row>
    <row r="21" spans="1:5" x14ac:dyDescent="0.25">
      <c r="A21" t="str">
        <f>IF(B21=$B$4,"ATM","")</f>
        <v/>
      </c>
      <c r="B21">
        <v>20750</v>
      </c>
      <c r="C21">
        <f>IF(RawData!J29="","",RawData!J29)</f>
        <v>2344.75</v>
      </c>
      <c r="D21">
        <f>IF(RawData!J30="","",RawData!J30)</f>
        <v>0.15</v>
      </c>
      <c r="E21">
        <f>IF(OR(C21="",D21=""),"",C21+D21)</f>
        <v>2344.9</v>
      </c>
    </row>
    <row r="22" spans="1:5" x14ac:dyDescent="0.25">
      <c r="A22" t="str">
        <f>IF(B22=$B$4,"ATM","")</f>
        <v/>
      </c>
      <c r="B22">
        <v>20800</v>
      </c>
      <c r="C22">
        <f>IF(RawData!J31="","",RawData!J31)</f>
        <v>2296.6</v>
      </c>
      <c r="D22">
        <f>IF(RawData!J32="","",RawData!J32)</f>
        <v>0.05</v>
      </c>
      <c r="E22">
        <f>IF(OR(C22="",D22=""),"",C22+D22)</f>
        <v>2296.65</v>
      </c>
    </row>
    <row r="23" spans="1:5" x14ac:dyDescent="0.25">
      <c r="A23" t="str">
        <f>IF(B23=$B$4,"ATM","")</f>
        <v/>
      </c>
      <c r="B23">
        <v>20850</v>
      </c>
      <c r="C23">
        <f>IF(RawData!J33="","",RawData!J33)</f>
        <v>3236.25</v>
      </c>
      <c r="D23">
        <f>IF(RawData!J34="","",RawData!J34)</f>
        <v>0.1</v>
      </c>
      <c r="E23">
        <f>IF(OR(C23="",D23=""),"",C23+D23)</f>
        <v>3236.35</v>
      </c>
    </row>
    <row r="24" spans="1:5" x14ac:dyDescent="0.25">
      <c r="A24" t="str">
        <f>IF(B24=$B$4,"ATM","")</f>
        <v/>
      </c>
      <c r="B24">
        <v>20900</v>
      </c>
      <c r="C24">
        <f>IF(RawData!J35="","",RawData!J35)</f>
        <v>3144.9</v>
      </c>
      <c r="D24">
        <f>IF(RawData!J36="","",RawData!J36)</f>
        <v>0.1</v>
      </c>
      <c r="E24">
        <f>IF(OR(C24="",D24=""),"",C24+D24)</f>
        <v>3145</v>
      </c>
    </row>
    <row r="25" spans="1:5" x14ac:dyDescent="0.25">
      <c r="A25" t="str">
        <f>IF(B25=$B$4,"ATM","")</f>
        <v/>
      </c>
      <c r="B25">
        <v>20950</v>
      </c>
      <c r="C25">
        <f>IF(RawData!J37="","",RawData!J37)</f>
        <v>2153</v>
      </c>
      <c r="D25">
        <f>IF(RawData!J38="","",RawData!J38)</f>
        <v>0.2</v>
      </c>
      <c r="E25">
        <f>IF(OR(C25="",D25=""),"",C25+D25)</f>
        <v>2153.1999999999998</v>
      </c>
    </row>
    <row r="26" spans="1:5" x14ac:dyDescent="0.25">
      <c r="A26" t="str">
        <f>IF(B26=$B$4,"ATM","")</f>
        <v/>
      </c>
      <c r="B26">
        <v>21000</v>
      </c>
      <c r="C26">
        <f>IF(RawData!J39="","",RawData!J39)</f>
        <v>2989.4</v>
      </c>
      <c r="D26">
        <f>IF(RawData!J40="","",RawData!J40)</f>
        <v>0.05</v>
      </c>
      <c r="E26">
        <f>IF(OR(C26="",D26=""),"",C26+D26)</f>
        <v>2989.4500000000003</v>
      </c>
    </row>
    <row r="27" spans="1:5" x14ac:dyDescent="0.25">
      <c r="A27" t="str">
        <f>IF(B27=$B$4,"ATM","")</f>
        <v/>
      </c>
      <c r="B27">
        <v>21050</v>
      </c>
      <c r="C27">
        <f>IF(RawData!J41="","",RawData!J41)</f>
        <v>3056.95</v>
      </c>
      <c r="D27">
        <f>IF(RawData!J42="","",RawData!J42)</f>
        <v>0.05</v>
      </c>
      <c r="E27">
        <f>IF(OR(C27="",D27=""),"",C27+D27)</f>
        <v>3057</v>
      </c>
    </row>
    <row r="28" spans="1:5" x14ac:dyDescent="0.25">
      <c r="A28" t="str">
        <f>IF(B28=$B$4,"ATM","")</f>
        <v/>
      </c>
      <c r="B28">
        <v>21100</v>
      </c>
      <c r="C28">
        <f>IF(RawData!J43="","",RawData!J43)</f>
        <v>2876.7</v>
      </c>
      <c r="D28">
        <f>IF(RawData!J44="","",RawData!J44)</f>
        <v>0.1</v>
      </c>
      <c r="E28">
        <f>IF(OR(C28="",D28=""),"",C28+D28)</f>
        <v>2876.7999999999997</v>
      </c>
    </row>
    <row r="29" spans="1:5" x14ac:dyDescent="0.25">
      <c r="A29" t="str">
        <f>IF(B29=$B$4,"ATM","")</f>
        <v/>
      </c>
      <c r="B29">
        <v>21150</v>
      </c>
      <c r="C29">
        <f>IF(RawData!J45="","",RawData!J45)</f>
        <v>2869.15</v>
      </c>
      <c r="D29">
        <f>IF(RawData!J46="","",RawData!J46)</f>
        <v>0.05</v>
      </c>
      <c r="E29">
        <f>IF(OR(C29="",D29=""),"",C29+D29)</f>
        <v>2869.2000000000003</v>
      </c>
    </row>
    <row r="30" spans="1:5" x14ac:dyDescent="0.25">
      <c r="A30" t="str">
        <f>IF(B30=$B$4,"ATM","")</f>
        <v/>
      </c>
      <c r="B30">
        <v>21200</v>
      </c>
      <c r="C30">
        <f>IF(RawData!J47="","",RawData!J47)</f>
        <v>2939.8</v>
      </c>
      <c r="D30">
        <f>IF(RawData!J48="","",RawData!J48)</f>
        <v>0.05</v>
      </c>
      <c r="E30">
        <f>IF(OR(C30="",D30=""),"",C30+D30)</f>
        <v>2939.8500000000004</v>
      </c>
    </row>
    <row r="31" spans="1:5" x14ac:dyDescent="0.25">
      <c r="A31" t="str">
        <f>IF(B31=$B$4,"ATM","")</f>
        <v/>
      </c>
      <c r="B31">
        <v>21250</v>
      </c>
      <c r="C31">
        <f>IF(RawData!J49="","",RawData!J49)</f>
        <v>2840.3</v>
      </c>
      <c r="D31">
        <f>IF(RawData!J50="","",RawData!J50)</f>
        <v>0.1</v>
      </c>
      <c r="E31">
        <f>IF(OR(C31="",D31=""),"",C31+D31)</f>
        <v>2840.4</v>
      </c>
    </row>
    <row r="32" spans="1:5" x14ac:dyDescent="0.25">
      <c r="A32" t="str">
        <f>IF(B32=$B$4,"ATM","")</f>
        <v/>
      </c>
      <c r="B32">
        <v>21300</v>
      </c>
      <c r="C32">
        <f>IF(RawData!J51="","",RawData!J51)</f>
        <v>2780.05</v>
      </c>
      <c r="D32">
        <f>IF(RawData!J52="","",RawData!J52)</f>
        <v>0.05</v>
      </c>
      <c r="E32">
        <f>IF(OR(C32="",D32=""),"",C32+D32)</f>
        <v>2780.1000000000004</v>
      </c>
    </row>
    <row r="33" spans="1:5" x14ac:dyDescent="0.25">
      <c r="A33" t="str">
        <f>IF(B33=$B$4,"ATM","")</f>
        <v/>
      </c>
      <c r="B33">
        <v>21350</v>
      </c>
      <c r="C33">
        <f>IF(RawData!J53="","",RawData!J53)</f>
        <v>1779.5</v>
      </c>
      <c r="D33">
        <f>IF(RawData!J54="","",RawData!J54)</f>
        <v>0.1</v>
      </c>
      <c r="E33">
        <f>IF(OR(C33="",D33=""),"",C33+D33)</f>
        <v>1779.6</v>
      </c>
    </row>
    <row r="34" spans="1:5" x14ac:dyDescent="0.25">
      <c r="A34" t="str">
        <f>IF(B34=$B$4,"ATM","")</f>
        <v/>
      </c>
      <c r="B34">
        <v>21400</v>
      </c>
      <c r="C34">
        <f>IF(RawData!J55="","",RawData!J55)</f>
        <v>2578.6999999999998</v>
      </c>
      <c r="D34">
        <f>IF(RawData!J56="","",RawData!J56)</f>
        <v>0.05</v>
      </c>
      <c r="E34">
        <f>IF(OR(C34="",D34=""),"",C34+D34)</f>
        <v>2578.75</v>
      </c>
    </row>
    <row r="35" spans="1:5" x14ac:dyDescent="0.25">
      <c r="A35" t="str">
        <f>IF(B35=$B$4,"ATM","")</f>
        <v/>
      </c>
      <c r="B35">
        <v>21450</v>
      </c>
      <c r="C35">
        <f>IF(RawData!J57="","",RawData!J57)</f>
        <v>2455.75</v>
      </c>
      <c r="D35">
        <f>IF(RawData!J58="","",RawData!J58)</f>
        <v>0.2</v>
      </c>
      <c r="E35">
        <f>IF(OR(C35="",D35=""),"",C35+D35)</f>
        <v>2455.9499999999998</v>
      </c>
    </row>
    <row r="36" spans="1:5" x14ac:dyDescent="0.25">
      <c r="A36" t="str">
        <f>IF(B36=$B$4,"ATM","")</f>
        <v/>
      </c>
      <c r="B36">
        <v>21500</v>
      </c>
      <c r="C36">
        <f>IF(RawData!J59="","",RawData!J59)</f>
        <v>2450</v>
      </c>
      <c r="D36">
        <f>IF(RawData!J60="","",RawData!J60)</f>
        <v>0.1</v>
      </c>
      <c r="E36">
        <f>IF(OR(C36="",D36=""),"",C36+D36)</f>
        <v>2450.1</v>
      </c>
    </row>
    <row r="37" spans="1:5" x14ac:dyDescent="0.25">
      <c r="A37" t="str">
        <f>IF(B37=$B$4,"ATM","")</f>
        <v/>
      </c>
      <c r="B37">
        <v>21550</v>
      </c>
      <c r="C37">
        <f>IF(RawData!J61="","",RawData!J61)</f>
        <v>1599.75</v>
      </c>
      <c r="D37">
        <f>IF(RawData!J62="","",RawData!J62)</f>
        <v>0.1</v>
      </c>
      <c r="E37">
        <f>IF(OR(C37="",D37=""),"",C37+D37)</f>
        <v>1599.85</v>
      </c>
    </row>
    <row r="38" spans="1:5" x14ac:dyDescent="0.25">
      <c r="A38" t="str">
        <f>IF(B38=$B$4,"ATM","")</f>
        <v/>
      </c>
      <c r="B38">
        <v>21600</v>
      </c>
      <c r="C38">
        <f>IF(RawData!J63="","",RawData!J63)</f>
        <v>1555.7</v>
      </c>
      <c r="D38">
        <f>IF(RawData!J64="","",RawData!J64)</f>
        <v>0.05</v>
      </c>
      <c r="E38">
        <f>IF(OR(C38="",D38=""),"",C38+D38)</f>
        <v>1555.75</v>
      </c>
    </row>
    <row r="39" spans="1:5" x14ac:dyDescent="0.25">
      <c r="A39" t="str">
        <f>IF(B39=$B$4,"ATM","")</f>
        <v/>
      </c>
      <c r="B39">
        <v>21650</v>
      </c>
      <c r="C39">
        <f>IF(RawData!J65="","",RawData!J65)</f>
        <v>1512.1</v>
      </c>
      <c r="D39">
        <f>IF(RawData!J66="","",RawData!J66)</f>
        <v>0.05</v>
      </c>
      <c r="E39">
        <f>IF(OR(C39="",D39=""),"",C39+D39)</f>
        <v>1512.1499999999999</v>
      </c>
    </row>
    <row r="40" spans="1:5" x14ac:dyDescent="0.25">
      <c r="A40" t="str">
        <f>IF(B40=$B$4,"ATM","")</f>
        <v/>
      </c>
      <c r="B40">
        <v>21700</v>
      </c>
      <c r="C40">
        <f>IF(RawData!J67="","",RawData!J67)</f>
        <v>1468.9</v>
      </c>
      <c r="D40">
        <f>IF(RawData!J68="","",RawData!J68)</f>
        <v>0.1</v>
      </c>
      <c r="E40">
        <f>IF(OR(C40="",D40=""),"",C40+D40)</f>
        <v>1469</v>
      </c>
    </row>
    <row r="41" spans="1:5" x14ac:dyDescent="0.25">
      <c r="A41" t="str">
        <f>IF(B41=$B$4,"ATM","")</f>
        <v/>
      </c>
      <c r="B41">
        <v>21750</v>
      </c>
      <c r="C41">
        <f>IF(RawData!J69="","",RawData!J69)</f>
        <v>1426.2</v>
      </c>
      <c r="D41">
        <f>IF(RawData!J70="","",RawData!J70)</f>
        <v>0.05</v>
      </c>
      <c r="E41">
        <f>IF(OR(C41="",D41=""),"",C41+D41)</f>
        <v>1426.25</v>
      </c>
    </row>
    <row r="42" spans="1:5" x14ac:dyDescent="0.25">
      <c r="A42" t="str">
        <f>IF(B42=$B$4,"ATM","")</f>
        <v/>
      </c>
      <c r="B42">
        <v>21800</v>
      </c>
      <c r="C42">
        <f>IF(RawData!J71="","",RawData!J71)</f>
        <v>1383.9</v>
      </c>
      <c r="D42">
        <f>IF(RawData!J72="","",RawData!J72)</f>
        <v>0.05</v>
      </c>
      <c r="E42">
        <f>IF(OR(C42="",D42=""),"",C42+D42)</f>
        <v>1383.95</v>
      </c>
    </row>
    <row r="43" spans="1:5" x14ac:dyDescent="0.25">
      <c r="A43" t="str">
        <f>IF(B43=$B$4,"ATM","")</f>
        <v/>
      </c>
      <c r="B43">
        <v>21850</v>
      </c>
      <c r="C43">
        <f>IF(RawData!J73="","",RawData!J73)</f>
        <v>1342.1</v>
      </c>
      <c r="D43">
        <f>IF(RawData!J74="","",RawData!J74)</f>
        <v>0.1</v>
      </c>
      <c r="E43">
        <f>IF(OR(C43="",D43=""),"",C43+D43)</f>
        <v>1342.1999999999998</v>
      </c>
    </row>
    <row r="44" spans="1:5" x14ac:dyDescent="0.25">
      <c r="A44" t="str">
        <f>IF(B44=$B$4,"ATM","")</f>
        <v/>
      </c>
      <c r="B44">
        <v>21900</v>
      </c>
      <c r="C44">
        <f>IF(RawData!J75="","",RawData!J75)</f>
        <v>1300.8499999999999</v>
      </c>
      <c r="D44">
        <f>IF(RawData!J76="","",RawData!J76)</f>
        <v>0.1</v>
      </c>
      <c r="E44">
        <f>IF(OR(C44="",D44=""),"",C44+D44)</f>
        <v>1300.9499999999998</v>
      </c>
    </row>
    <row r="45" spans="1:5" x14ac:dyDescent="0.25">
      <c r="A45" t="str">
        <f>IF(B45=$B$4,"ATM","")</f>
        <v/>
      </c>
      <c r="B45">
        <v>21950</v>
      </c>
      <c r="C45">
        <f>IF(RawData!J77="","",RawData!J77)</f>
        <v>1260.05</v>
      </c>
      <c r="D45">
        <f>IF(RawData!J78="","",RawData!J78)</f>
        <v>0.1</v>
      </c>
      <c r="E45">
        <f>IF(OR(C45="",D45=""),"",C45+D45)</f>
        <v>1260.1499999999999</v>
      </c>
    </row>
    <row r="46" spans="1:5" x14ac:dyDescent="0.25">
      <c r="A46" t="str">
        <f>IF(B46=$B$4,"ATM","")</f>
        <v/>
      </c>
      <c r="B46">
        <v>22000</v>
      </c>
      <c r="C46">
        <f>IF(RawData!J79="","",RawData!J79)</f>
        <v>2033.05</v>
      </c>
      <c r="D46">
        <f>IF(RawData!J80="","",RawData!J80)</f>
        <v>0.05</v>
      </c>
      <c r="E46">
        <f>IF(OR(C46="",D46=""),"",C46+D46)</f>
        <v>2033.1</v>
      </c>
    </row>
    <row r="47" spans="1:5" x14ac:dyDescent="0.25">
      <c r="A47" t="str">
        <f>IF(B47=$B$4,"ATM","")</f>
        <v/>
      </c>
      <c r="B47">
        <v>22050</v>
      </c>
      <c r="C47">
        <f>IF(RawData!J81="","",RawData!J81)</f>
        <v>1180.2</v>
      </c>
      <c r="D47">
        <f>IF(RawData!J82="","",RawData!J82)</f>
        <v>0.15</v>
      </c>
      <c r="E47">
        <f>IF(OR(C47="",D47=""),"",C47+D47)</f>
        <v>1180.3500000000001</v>
      </c>
    </row>
    <row r="48" spans="1:5" x14ac:dyDescent="0.25">
      <c r="A48" t="str">
        <f>IF(B48=$B$4,"ATM","")</f>
        <v/>
      </c>
      <c r="B48">
        <v>22100</v>
      </c>
      <c r="C48">
        <f>IF(RawData!J83="","",RawData!J83)</f>
        <v>1801.8</v>
      </c>
      <c r="D48">
        <f>IF(RawData!J84="","",RawData!J84)</f>
        <v>0.1</v>
      </c>
      <c r="E48">
        <f>IF(OR(C48="",D48=""),"",C48+D48)</f>
        <v>1801.8999999999999</v>
      </c>
    </row>
    <row r="49" spans="1:5" x14ac:dyDescent="0.25">
      <c r="A49" t="str">
        <f>IF(B49=$B$4,"ATM","")</f>
        <v/>
      </c>
      <c r="B49">
        <v>22150</v>
      </c>
      <c r="C49">
        <f>IF(RawData!J85="","",RawData!J85)</f>
        <v>1975.2</v>
      </c>
      <c r="D49">
        <f>IF(RawData!J86="","",RawData!J86)</f>
        <v>0.1</v>
      </c>
      <c r="E49">
        <f>IF(OR(C49="",D49=""),"",C49+D49)</f>
        <v>1975.3</v>
      </c>
    </row>
    <row r="50" spans="1:5" x14ac:dyDescent="0.25">
      <c r="A50" t="str">
        <f>IF(B50=$B$4,"ATM","")</f>
        <v/>
      </c>
      <c r="B50">
        <v>22200</v>
      </c>
      <c r="C50">
        <f>IF(RawData!J87="","",RawData!J87)</f>
        <v>1774.65</v>
      </c>
      <c r="D50">
        <f>IF(RawData!J88="","",RawData!J88)</f>
        <v>0.05</v>
      </c>
      <c r="E50">
        <f>IF(OR(C50="",D50=""),"",C50+D50)</f>
        <v>1774.7</v>
      </c>
    </row>
    <row r="51" spans="1:5" x14ac:dyDescent="0.25">
      <c r="A51" t="str">
        <f>IF(B51=$B$4,"ATM","")</f>
        <v/>
      </c>
      <c r="B51">
        <v>22250</v>
      </c>
      <c r="C51">
        <f>IF(RawData!J89="","",RawData!J89)</f>
        <v>1561.05</v>
      </c>
      <c r="D51">
        <f>IF(RawData!J90="","",RawData!J90)</f>
        <v>0.15</v>
      </c>
      <c r="E51">
        <f>IF(OR(C51="",D51=""),"",C51+D51)</f>
        <v>1561.2</v>
      </c>
    </row>
    <row r="52" spans="1:5" x14ac:dyDescent="0.25">
      <c r="A52" t="str">
        <f>IF(B52=$B$4,"ATM","")</f>
        <v/>
      </c>
      <c r="B52">
        <v>22300</v>
      </c>
      <c r="C52">
        <f>IF(RawData!J91="","",RawData!J91)</f>
        <v>1833.85</v>
      </c>
      <c r="D52">
        <f>IF(RawData!J92="","",RawData!J92)</f>
        <v>0.1</v>
      </c>
      <c r="E52">
        <f>IF(OR(C52="",D52=""),"",C52+D52)</f>
        <v>1833.9499999999998</v>
      </c>
    </row>
    <row r="53" spans="1:5" x14ac:dyDescent="0.25">
      <c r="A53" t="str">
        <f>IF(B53=$B$4,"ATM","")</f>
        <v/>
      </c>
      <c r="B53">
        <v>22350</v>
      </c>
      <c r="C53">
        <f>IF(RawData!J93="","",RawData!J93)</f>
        <v>1684.1</v>
      </c>
      <c r="D53">
        <f>IF(RawData!J94="","",RawData!J94)</f>
        <v>0.05</v>
      </c>
      <c r="E53">
        <f>IF(OR(C53="",D53=""),"",C53+D53)</f>
        <v>1684.1499999999999</v>
      </c>
    </row>
    <row r="54" spans="1:5" x14ac:dyDescent="0.25">
      <c r="A54" t="str">
        <f>IF(B54=$B$4,"ATM","")</f>
        <v/>
      </c>
      <c r="B54">
        <v>22400</v>
      </c>
      <c r="C54">
        <f>IF(RawData!J95="","",RawData!J95)</f>
        <v>1500</v>
      </c>
      <c r="D54">
        <f>IF(RawData!J96="","",RawData!J96)</f>
        <v>0.1</v>
      </c>
      <c r="E54">
        <f>IF(OR(C54="",D54=""),"",C54+D54)</f>
        <v>1500.1</v>
      </c>
    </row>
    <row r="55" spans="1:5" x14ac:dyDescent="0.25">
      <c r="A55" t="str">
        <f>IF(B55=$B$4,"ATM","")</f>
        <v/>
      </c>
      <c r="B55">
        <v>22450</v>
      </c>
      <c r="C55">
        <f>IF(RawData!J97="","",RawData!J97)</f>
        <v>1431.85</v>
      </c>
      <c r="D55">
        <f>IF(RawData!J98="","",RawData!J98)</f>
        <v>0.1</v>
      </c>
      <c r="E55">
        <f>IF(OR(C55="",D55=""),"",C55+D55)</f>
        <v>1431.9499999999998</v>
      </c>
    </row>
    <row r="56" spans="1:5" x14ac:dyDescent="0.25">
      <c r="A56" t="str">
        <f>IF(B56=$B$4,"ATM","")</f>
        <v/>
      </c>
      <c r="B56">
        <v>22500</v>
      </c>
      <c r="C56">
        <f>IF(RawData!J99="","",RawData!J99)</f>
        <v>1545</v>
      </c>
      <c r="D56">
        <f>IF(RawData!J100="","",RawData!J100)</f>
        <v>0.1</v>
      </c>
      <c r="E56">
        <f>IF(OR(C56="",D56=""),"",C56+D56)</f>
        <v>1545.1</v>
      </c>
    </row>
    <row r="57" spans="1:5" x14ac:dyDescent="0.25">
      <c r="A57" t="str">
        <f>IF(B57=$B$4,"ATM","")</f>
        <v/>
      </c>
      <c r="B57">
        <v>22550</v>
      </c>
      <c r="C57">
        <f>IF(RawData!J101="","",RawData!J101)</f>
        <v>1499</v>
      </c>
      <c r="D57">
        <f>IF(RawData!J102="","",RawData!J102)</f>
        <v>0.1</v>
      </c>
      <c r="E57">
        <f>IF(OR(C57="",D57=""),"",C57+D57)</f>
        <v>1499.1</v>
      </c>
    </row>
    <row r="58" spans="1:5" x14ac:dyDescent="0.25">
      <c r="A58" t="str">
        <f>IF(B58=$B$4,"ATM","")</f>
        <v/>
      </c>
      <c r="B58">
        <v>22600</v>
      </c>
      <c r="C58">
        <f>IF(RawData!J103="","",RawData!J103)</f>
        <v>1458.4</v>
      </c>
      <c r="D58">
        <f>IF(RawData!J104="","",RawData!J104)</f>
        <v>0.1</v>
      </c>
      <c r="E58">
        <f>IF(OR(C58="",D58=""),"",C58+D58)</f>
        <v>1458.5</v>
      </c>
    </row>
    <row r="59" spans="1:5" x14ac:dyDescent="0.25">
      <c r="A59" t="str">
        <f>IF(B59=$B$4,"ATM","")</f>
        <v/>
      </c>
      <c r="B59">
        <v>22650</v>
      </c>
      <c r="C59">
        <f>IF(RawData!J105="","",RawData!J105)</f>
        <v>1279.95</v>
      </c>
      <c r="D59">
        <f>IF(RawData!J106="","",RawData!J106)</f>
        <v>0.1</v>
      </c>
      <c r="E59">
        <f>IF(OR(C59="",D59=""),"",C59+D59)</f>
        <v>1280.05</v>
      </c>
    </row>
    <row r="60" spans="1:5" x14ac:dyDescent="0.25">
      <c r="A60" t="str">
        <f>IF(B60=$B$4,"ATM","")</f>
        <v/>
      </c>
      <c r="B60">
        <v>22700</v>
      </c>
      <c r="C60">
        <f>IF(RawData!J107="","",RawData!J107)</f>
        <v>1370.65</v>
      </c>
      <c r="D60">
        <f>IF(RawData!J108="","",RawData!J108)</f>
        <v>0.1</v>
      </c>
      <c r="E60">
        <f>IF(OR(C60="",D60=""),"",C60+D60)</f>
        <v>1370.75</v>
      </c>
    </row>
    <row r="61" spans="1:5" x14ac:dyDescent="0.25">
      <c r="A61" t="str">
        <f>IF(B61=$B$4,"ATM","")</f>
        <v/>
      </c>
      <c r="B61">
        <v>22750</v>
      </c>
      <c r="C61">
        <f>IF(RawData!J109="","",RawData!J109)</f>
        <v>1470</v>
      </c>
      <c r="D61">
        <f>IF(RawData!J110="","",RawData!J110)</f>
        <v>0.1</v>
      </c>
      <c r="E61">
        <f>IF(OR(C61="",D61=""),"",C61+D61)</f>
        <v>1470.1</v>
      </c>
    </row>
    <row r="62" spans="1:5" x14ac:dyDescent="0.25">
      <c r="A62" t="str">
        <f>IF(B62=$B$4,"ATM","")</f>
        <v/>
      </c>
      <c r="B62">
        <v>22800</v>
      </c>
      <c r="C62">
        <f>IF(RawData!J111="","",RawData!J111)</f>
        <v>1230.8</v>
      </c>
      <c r="D62">
        <f>IF(RawData!J112="","",RawData!J112)</f>
        <v>0.1</v>
      </c>
      <c r="E62">
        <f>IF(OR(C62="",D62=""),"",C62+D62)</f>
        <v>1230.8999999999999</v>
      </c>
    </row>
    <row r="63" spans="1:5" x14ac:dyDescent="0.25">
      <c r="A63" t="str">
        <f>IF(B63=$B$4,"ATM","")</f>
        <v/>
      </c>
      <c r="B63">
        <v>22850</v>
      </c>
      <c r="C63">
        <f>IF(RawData!J113="","",RawData!J113)</f>
        <v>1149.7</v>
      </c>
      <c r="D63">
        <f>IF(RawData!J114="","",RawData!J114)</f>
        <v>0.1</v>
      </c>
      <c r="E63">
        <f>IF(OR(C63="",D63=""),"",C63+D63)</f>
        <v>1149.8</v>
      </c>
    </row>
    <row r="64" spans="1:5" x14ac:dyDescent="0.25">
      <c r="A64" t="str">
        <f>IF(B64=$B$4,"ATM","")</f>
        <v/>
      </c>
      <c r="B64">
        <v>22900</v>
      </c>
      <c r="C64">
        <f>IF(RawData!J115="","",RawData!J115)</f>
        <v>1147</v>
      </c>
      <c r="D64">
        <f>IF(RawData!J116="","",RawData!J116)</f>
        <v>0.1</v>
      </c>
      <c r="E64">
        <f>IF(OR(C64="",D64=""),"",C64+D64)</f>
        <v>1147.0999999999999</v>
      </c>
    </row>
    <row r="65" spans="1:5" x14ac:dyDescent="0.25">
      <c r="A65" t="str">
        <f>IF(B65=$B$4,"ATM","")</f>
        <v/>
      </c>
      <c r="B65">
        <v>22950</v>
      </c>
      <c r="C65">
        <f>IF(RawData!J117="","",RawData!J117)</f>
        <v>1083.5</v>
      </c>
      <c r="D65">
        <f>IF(RawData!J118="","",RawData!J118)</f>
        <v>0.15</v>
      </c>
      <c r="E65">
        <f>IF(OR(C65="",D65=""),"",C65+D65)</f>
        <v>1083.6500000000001</v>
      </c>
    </row>
    <row r="66" spans="1:5" x14ac:dyDescent="0.25">
      <c r="A66" t="str">
        <f>IF(B66=$B$4,"ATM","")</f>
        <v/>
      </c>
      <c r="B66">
        <v>23000</v>
      </c>
      <c r="C66">
        <f>IF(RawData!J119="","",RawData!J119)</f>
        <v>1033.3499999999999</v>
      </c>
      <c r="D66">
        <f>IF(RawData!J120="","",RawData!J120)</f>
        <v>0.1</v>
      </c>
      <c r="E66">
        <f>IF(OR(C66="",D66=""),"",C66+D66)</f>
        <v>1033.4499999999998</v>
      </c>
    </row>
    <row r="67" spans="1:5" x14ac:dyDescent="0.25">
      <c r="A67" t="str">
        <f>IF(B67=$B$4,"ATM","")</f>
        <v/>
      </c>
      <c r="B67">
        <v>23050</v>
      </c>
      <c r="C67">
        <f>IF(RawData!J121="","",RawData!J121)</f>
        <v>926.7</v>
      </c>
      <c r="D67">
        <f>IF(RawData!J122="","",RawData!J122)</f>
        <v>0.05</v>
      </c>
      <c r="E67">
        <f>IF(OR(C67="",D67=""),"",C67+D67)</f>
        <v>926.75</v>
      </c>
    </row>
    <row r="68" spans="1:5" x14ac:dyDescent="0.25">
      <c r="A68" t="str">
        <f>IF(B68=$B$4,"ATM","")</f>
        <v/>
      </c>
      <c r="B68">
        <v>23100</v>
      </c>
      <c r="C68">
        <f>IF(RawData!J123="","",RawData!J123)</f>
        <v>944.85</v>
      </c>
      <c r="D68">
        <f>IF(RawData!J124="","",RawData!J124)</f>
        <v>0.1</v>
      </c>
      <c r="E68">
        <f>IF(OR(C68="",D68=""),"",C68+D68)</f>
        <v>944.95</v>
      </c>
    </row>
    <row r="69" spans="1:5" x14ac:dyDescent="0.25">
      <c r="A69" t="str">
        <f>IF(B69=$B$4,"ATM","")</f>
        <v/>
      </c>
      <c r="B69">
        <v>23150</v>
      </c>
      <c r="C69">
        <f>IF(RawData!J125="","",RawData!J125)</f>
        <v>900.65</v>
      </c>
      <c r="D69">
        <f>IF(RawData!J126="","",RawData!J126)</f>
        <v>0.1</v>
      </c>
      <c r="E69">
        <f>IF(OR(C69="",D69=""),"",C69+D69)</f>
        <v>900.75</v>
      </c>
    </row>
    <row r="70" spans="1:5" x14ac:dyDescent="0.25">
      <c r="A70" t="str">
        <f>IF(B70=$B$4,"ATM","")</f>
        <v/>
      </c>
      <c r="B70">
        <v>23200</v>
      </c>
      <c r="C70">
        <f>IF(RawData!J127="","",RawData!J127)</f>
        <v>828.85</v>
      </c>
      <c r="D70">
        <f>IF(RawData!J128="","",RawData!J128)</f>
        <v>0.1</v>
      </c>
      <c r="E70">
        <f>IF(OR(C70="",D70=""),"",C70+D70)</f>
        <v>828.95</v>
      </c>
    </row>
    <row r="71" spans="1:5" x14ac:dyDescent="0.25">
      <c r="A71" t="str">
        <f>IF(B71=$B$4,"ATM","")</f>
        <v/>
      </c>
      <c r="B71">
        <v>23250</v>
      </c>
      <c r="C71">
        <f>IF(RawData!J129="","",RawData!J129)</f>
        <v>787.45</v>
      </c>
      <c r="D71">
        <f>IF(RawData!J130="","",RawData!J130)</f>
        <v>0.15</v>
      </c>
      <c r="E71">
        <f>IF(OR(C71="",D71=""),"",C71+D71)</f>
        <v>787.6</v>
      </c>
    </row>
    <row r="72" spans="1:5" x14ac:dyDescent="0.25">
      <c r="A72" t="str">
        <f>IF(B72=$B$4,"ATM","")</f>
        <v/>
      </c>
      <c r="B72">
        <v>23300</v>
      </c>
      <c r="C72">
        <f>IF(RawData!J131="","",RawData!J131)</f>
        <v>725.15</v>
      </c>
      <c r="D72">
        <f>IF(RawData!J132="","",RawData!J132)</f>
        <v>0.2</v>
      </c>
      <c r="E72">
        <f>IF(OR(C72="",D72=""),"",C72+D72)</f>
        <v>725.35</v>
      </c>
    </row>
    <row r="73" spans="1:5" x14ac:dyDescent="0.25">
      <c r="A73" t="str">
        <f>IF(B73=$B$4,"ATM","")</f>
        <v/>
      </c>
      <c r="B73">
        <v>23350</v>
      </c>
      <c r="C73">
        <f>IF(RawData!J133="","",RawData!J133)</f>
        <v>695.85</v>
      </c>
      <c r="D73">
        <f>IF(RawData!J134="","",RawData!J134)</f>
        <v>0.2</v>
      </c>
      <c r="E73">
        <f>IF(OR(C73="",D73=""),"",C73+D73)</f>
        <v>696.05000000000007</v>
      </c>
    </row>
    <row r="74" spans="1:5" x14ac:dyDescent="0.25">
      <c r="A74" t="str">
        <f>IF(B74=$B$4,"ATM","")</f>
        <v/>
      </c>
      <c r="B74">
        <v>23400</v>
      </c>
      <c r="C74">
        <f>IF(RawData!J135="","",RawData!J135)</f>
        <v>641.25</v>
      </c>
      <c r="D74">
        <f>IF(RawData!J136="","",RawData!J136)</f>
        <v>0.2</v>
      </c>
      <c r="E74">
        <f>IF(OR(C74="",D74=""),"",C74+D74)</f>
        <v>641.45000000000005</v>
      </c>
    </row>
    <row r="75" spans="1:5" x14ac:dyDescent="0.25">
      <c r="A75" t="str">
        <f>IF(B75=$B$4,"ATM","")</f>
        <v/>
      </c>
      <c r="B75">
        <v>23450</v>
      </c>
      <c r="C75">
        <f>IF(RawData!J137="","",RawData!J137)</f>
        <v>582.04999999999995</v>
      </c>
      <c r="D75">
        <f>IF(RawData!J138="","",RawData!J138)</f>
        <v>0.2</v>
      </c>
      <c r="E75">
        <f>IF(OR(C75="",D75=""),"",C75+D75)</f>
        <v>582.25</v>
      </c>
    </row>
    <row r="76" spans="1:5" x14ac:dyDescent="0.25">
      <c r="A76" t="str">
        <f>IF(B76=$B$4,"ATM","")</f>
        <v/>
      </c>
      <c r="B76">
        <v>23500</v>
      </c>
      <c r="C76">
        <f>IF(RawData!J139="","",RawData!J139)</f>
        <v>541.65</v>
      </c>
      <c r="D76">
        <f>IF(RawData!J140="","",RawData!J140)</f>
        <v>0.25</v>
      </c>
      <c r="E76">
        <f>IF(OR(C76="",D76=""),"",C76+D76)</f>
        <v>541.9</v>
      </c>
    </row>
    <row r="77" spans="1:5" x14ac:dyDescent="0.25">
      <c r="A77" t="str">
        <f>IF(B77=$B$4,"ATM","")</f>
        <v/>
      </c>
      <c r="B77">
        <v>23550</v>
      </c>
      <c r="C77">
        <f>IF(RawData!J141="","",RawData!J141)</f>
        <v>488.6</v>
      </c>
      <c r="D77">
        <f>IF(RawData!J142="","",RawData!J142)</f>
        <v>0.25</v>
      </c>
      <c r="E77">
        <f>IF(OR(C77="",D77=""),"",C77+D77)</f>
        <v>488.85</v>
      </c>
    </row>
    <row r="78" spans="1:5" x14ac:dyDescent="0.25">
      <c r="A78" t="str">
        <f>IF(B78=$B$4,"ATM","")</f>
        <v/>
      </c>
      <c r="B78">
        <v>23600</v>
      </c>
      <c r="C78">
        <f>IF(RawData!J143="","",RawData!J143)</f>
        <v>440.25</v>
      </c>
      <c r="D78">
        <f>IF(RawData!J144="","",RawData!J144)</f>
        <v>0.25</v>
      </c>
      <c r="E78">
        <f>IF(OR(C78="",D78=""),"",C78+D78)</f>
        <v>440.5</v>
      </c>
    </row>
    <row r="79" spans="1:5" x14ac:dyDescent="0.25">
      <c r="A79" t="str">
        <f>IF(B79=$B$4,"ATM","")</f>
        <v/>
      </c>
      <c r="B79">
        <v>23650</v>
      </c>
      <c r="C79">
        <f>IF(RawData!J145="","",RawData!J145)</f>
        <v>389.55</v>
      </c>
      <c r="D79">
        <f>IF(RawData!J146="","",RawData!J146)</f>
        <v>0.3</v>
      </c>
      <c r="E79">
        <f>IF(OR(C79="",D79=""),"",C79+D79)</f>
        <v>389.85</v>
      </c>
    </row>
    <row r="80" spans="1:5" x14ac:dyDescent="0.25">
      <c r="A80" t="str">
        <f>IF(B80=$B$4,"ATM","")</f>
        <v/>
      </c>
      <c r="B80">
        <v>23700</v>
      </c>
      <c r="C80">
        <f>IF(RawData!J147="","",RawData!J147)</f>
        <v>340.1</v>
      </c>
      <c r="D80">
        <f>IF(RawData!J148="","",RawData!J148)</f>
        <v>0.25</v>
      </c>
      <c r="E80">
        <f>IF(OR(C80="",D80=""),"",C80+D80)</f>
        <v>340.35</v>
      </c>
    </row>
    <row r="81" spans="1:5" x14ac:dyDescent="0.25">
      <c r="A81" t="str">
        <f>IF(B81=$B$4,"ATM","")</f>
        <v/>
      </c>
      <c r="B81">
        <v>23750</v>
      </c>
      <c r="C81">
        <f>IF(RawData!J149="","",RawData!J149)</f>
        <v>289.95</v>
      </c>
      <c r="D81">
        <f>IF(RawData!J150="","",RawData!J150)</f>
        <v>0.35</v>
      </c>
      <c r="E81">
        <f>IF(OR(C81="",D81=""),"",C81+D81)</f>
        <v>290.3</v>
      </c>
    </row>
    <row r="82" spans="1:5" x14ac:dyDescent="0.25">
      <c r="A82" t="str">
        <f>IF(B82=$B$4,"ATM","")</f>
        <v/>
      </c>
      <c r="B82">
        <v>23800</v>
      </c>
      <c r="C82">
        <f>IF(RawData!J151="","",RawData!J151)</f>
        <v>239.55</v>
      </c>
      <c r="D82">
        <f>IF(RawData!J152="","",RawData!J152)</f>
        <v>0.45</v>
      </c>
      <c r="E82">
        <f>IF(OR(C82="",D82=""),"",C82+D82)</f>
        <v>240</v>
      </c>
    </row>
    <row r="83" spans="1:5" x14ac:dyDescent="0.25">
      <c r="A83" t="str">
        <f>IF(B83=$B$4,"ATM","")</f>
        <v/>
      </c>
      <c r="B83">
        <v>23850</v>
      </c>
      <c r="C83">
        <f>IF(RawData!J153="","",RawData!J153)</f>
        <v>189.75</v>
      </c>
      <c r="D83">
        <f>IF(RawData!J154="","",RawData!J154)</f>
        <v>0.6</v>
      </c>
      <c r="E83">
        <f>IF(OR(C83="",D83=""),"",C83+D83)</f>
        <v>190.35</v>
      </c>
    </row>
    <row r="84" spans="1:5" x14ac:dyDescent="0.25">
      <c r="A84" t="str">
        <f>IF(B84=$B$4,"ATM","")</f>
        <v/>
      </c>
      <c r="B84">
        <v>23900</v>
      </c>
      <c r="C84">
        <f>IF(RawData!J155="","",RawData!J155)</f>
        <v>141.15</v>
      </c>
      <c r="D84">
        <f>IF(RawData!J156="","",RawData!J156)</f>
        <v>1.45</v>
      </c>
      <c r="E84">
        <f>IF(OR(C84="",D84=""),"",C84+D84)</f>
        <v>142.6</v>
      </c>
    </row>
    <row r="85" spans="1:5" x14ac:dyDescent="0.25">
      <c r="A85" t="str">
        <f>IF(B85=$B$4,"ATM","")</f>
        <v/>
      </c>
      <c r="B85">
        <v>23950</v>
      </c>
      <c r="C85">
        <f>IF(RawData!J157="","",RawData!J157)</f>
        <v>94</v>
      </c>
      <c r="D85">
        <f>IF(RawData!J158="","",RawData!J158)</f>
        <v>4.2</v>
      </c>
      <c r="E85">
        <f>IF(OR(C85="",D85=""),"",C85+D85)</f>
        <v>98.2</v>
      </c>
    </row>
    <row r="86" spans="1:5" x14ac:dyDescent="0.25">
      <c r="A86" t="str">
        <f>IF(B86=$B$4,"ATM","")</f>
        <v/>
      </c>
      <c r="B86">
        <v>24000</v>
      </c>
      <c r="C86">
        <f>IF(RawData!J159="","",RawData!J159)</f>
        <v>53.6</v>
      </c>
      <c r="D86">
        <f>IF(RawData!J160="","",RawData!J160)</f>
        <v>13.3</v>
      </c>
      <c r="E86">
        <f>IF(OR(C86="",D86=""),"",C86+D86)</f>
        <v>66.900000000000006</v>
      </c>
    </row>
    <row r="87" spans="1:5" x14ac:dyDescent="0.25">
      <c r="A87" t="str">
        <f>IF(B87=$B$4,"ATM","")</f>
        <v>ATM</v>
      </c>
      <c r="B87">
        <v>24050</v>
      </c>
      <c r="C87">
        <f>IF(RawData!J161="","",RawData!J161)</f>
        <v>23.95</v>
      </c>
      <c r="D87">
        <f>IF(RawData!J162="","",RawData!J162)</f>
        <v>34.799999999999997</v>
      </c>
      <c r="E87">
        <f>IF(OR(C87="",D87=""),"",C87+D87)</f>
        <v>58.75</v>
      </c>
    </row>
    <row r="88" spans="1:5" x14ac:dyDescent="0.25">
      <c r="A88" t="str">
        <f>IF(B88=$B$4,"ATM","")</f>
        <v/>
      </c>
      <c r="B88">
        <v>24100</v>
      </c>
      <c r="C88">
        <f>IF(RawData!J163="","",RawData!J163)</f>
        <v>9.25</v>
      </c>
      <c r="D88">
        <f>IF(RawData!J164="","",RawData!J164)</f>
        <v>69.8</v>
      </c>
      <c r="E88">
        <f>IF(OR(C88="",D88=""),"",C88+D88)</f>
        <v>79.05</v>
      </c>
    </row>
    <row r="89" spans="1:5" x14ac:dyDescent="0.25">
      <c r="A89" t="str">
        <f>IF(B89=$B$4,"ATM","")</f>
        <v/>
      </c>
      <c r="B89">
        <v>24150</v>
      </c>
      <c r="C89">
        <f>IF(RawData!J165="","",RawData!J165)</f>
        <v>3.25</v>
      </c>
      <c r="D89">
        <f>IF(RawData!J166="","",RawData!J166)</f>
        <v>114.35</v>
      </c>
      <c r="E89">
        <f>IF(OR(C89="",D89=""),"",C89+D89)</f>
        <v>117.6</v>
      </c>
    </row>
    <row r="90" spans="1:5" x14ac:dyDescent="0.25">
      <c r="A90" t="str">
        <f>IF(B90=$B$4,"ATM","")</f>
        <v/>
      </c>
      <c r="B90">
        <v>24200</v>
      </c>
      <c r="C90">
        <f>IF(RawData!J167="","",RawData!J167)</f>
        <v>1.35</v>
      </c>
      <c r="D90">
        <f>IF(RawData!J168="","",RawData!J168)</f>
        <v>161.25</v>
      </c>
      <c r="E90">
        <f>IF(OR(C90="",D90=""),"",C90+D90)</f>
        <v>162.6</v>
      </c>
    </row>
    <row r="91" spans="1:5" x14ac:dyDescent="0.25">
      <c r="A91" t="str">
        <f>IF(B91=$B$4,"ATM","")</f>
        <v/>
      </c>
      <c r="B91">
        <v>24250</v>
      </c>
      <c r="C91">
        <f>IF(RawData!J169="","",RawData!J169)</f>
        <v>0.75</v>
      </c>
      <c r="D91">
        <f>IF(RawData!J170="","",RawData!J170)</f>
        <v>210.55</v>
      </c>
      <c r="E91">
        <f>IF(OR(C91="",D91=""),"",C91+D91)</f>
        <v>211.3</v>
      </c>
    </row>
    <row r="92" spans="1:5" x14ac:dyDescent="0.25">
      <c r="A92" t="str">
        <f>IF(B92=$B$4,"ATM","")</f>
        <v/>
      </c>
      <c r="B92">
        <v>24300</v>
      </c>
      <c r="C92">
        <f>IF(RawData!J171="","",RawData!J171)</f>
        <v>0.5</v>
      </c>
      <c r="D92">
        <f>IF(RawData!J172="","",RawData!J172)</f>
        <v>260.25</v>
      </c>
      <c r="E92">
        <f>IF(OR(C92="",D92=""),"",C92+D92)</f>
        <v>260.75</v>
      </c>
    </row>
    <row r="93" spans="1:5" x14ac:dyDescent="0.25">
      <c r="A93" t="str">
        <f>IF(B93=$B$4,"ATM","")</f>
        <v/>
      </c>
      <c r="B93">
        <v>24350</v>
      </c>
      <c r="C93">
        <f>IF(RawData!J173="","",RawData!J173)</f>
        <v>0.45</v>
      </c>
      <c r="D93">
        <f>IF(RawData!J174="","",RawData!J174)</f>
        <v>310.64999999999998</v>
      </c>
      <c r="E93">
        <f>IF(OR(C93="",D93=""),"",C93+D93)</f>
        <v>311.09999999999997</v>
      </c>
    </row>
    <row r="94" spans="1:5" x14ac:dyDescent="0.25">
      <c r="A94" t="str">
        <f>IF(B94=$B$4,"ATM","")</f>
        <v/>
      </c>
      <c r="B94">
        <v>24400</v>
      </c>
      <c r="C94">
        <f>IF(RawData!J175="","",RawData!J175)</f>
        <v>0.35</v>
      </c>
      <c r="D94">
        <f>IF(RawData!J176="","",RawData!J176)</f>
        <v>360.1</v>
      </c>
      <c r="E94">
        <f>IF(OR(C94="",D94=""),"",C94+D94)</f>
        <v>360.45000000000005</v>
      </c>
    </row>
    <row r="95" spans="1:5" x14ac:dyDescent="0.25">
      <c r="A95" t="str">
        <f>IF(B95=$B$4,"ATM","")</f>
        <v/>
      </c>
      <c r="B95">
        <v>24450</v>
      </c>
      <c r="C95">
        <f>IF(RawData!J177="","",RawData!J177)</f>
        <v>0.3</v>
      </c>
      <c r="D95">
        <f>IF(RawData!J178="","",RawData!J178)</f>
        <v>421.35</v>
      </c>
      <c r="E95">
        <f>IF(OR(C95="",D95=""),"",C95+D95)</f>
        <v>421.65000000000003</v>
      </c>
    </row>
    <row r="96" spans="1:5" x14ac:dyDescent="0.25">
      <c r="A96" t="str">
        <f>IF(B96=$B$4,"ATM","")</f>
        <v/>
      </c>
      <c r="B96">
        <v>24500</v>
      </c>
      <c r="C96">
        <f>IF(RawData!J179="","",RawData!J179)</f>
        <v>0.3</v>
      </c>
      <c r="D96">
        <f>IF(RawData!J180="","",RawData!J180)</f>
        <v>463.1</v>
      </c>
      <c r="E96">
        <f>IF(OR(C96="",D96=""),"",C96+D96)</f>
        <v>463.40000000000003</v>
      </c>
    </row>
    <row r="97" spans="1:5" x14ac:dyDescent="0.25">
      <c r="A97" t="str">
        <f>IF(B97=$B$4,"ATM","")</f>
        <v/>
      </c>
      <c r="B97">
        <v>24550</v>
      </c>
      <c r="C97">
        <f>IF(RawData!J181="","",RawData!J181)</f>
        <v>0.25</v>
      </c>
      <c r="D97">
        <f>IF(RawData!J182="","",RawData!J182)</f>
        <v>512.25</v>
      </c>
      <c r="E97">
        <f>IF(OR(C97="",D97=""),"",C97+D97)</f>
        <v>512.5</v>
      </c>
    </row>
    <row r="98" spans="1:5" x14ac:dyDescent="0.25">
      <c r="A98" t="str">
        <f>IF(B98=$B$4,"ATM","")</f>
        <v/>
      </c>
      <c r="B98">
        <v>24600</v>
      </c>
      <c r="C98">
        <f>IF(RawData!J183="","",RawData!J183)</f>
        <v>0.15</v>
      </c>
      <c r="D98">
        <f>IF(RawData!J184="","",RawData!J184)</f>
        <v>562.4</v>
      </c>
      <c r="E98">
        <f>IF(OR(C98="",D98=""),"",C98+D98)</f>
        <v>562.54999999999995</v>
      </c>
    </row>
    <row r="99" spans="1:5" x14ac:dyDescent="0.25">
      <c r="A99" t="str">
        <f>IF(B99=$B$4,"ATM","")</f>
        <v/>
      </c>
      <c r="B99">
        <v>24650</v>
      </c>
      <c r="C99">
        <f>IF(RawData!J185="","",RawData!J185)</f>
        <v>0.2</v>
      </c>
      <c r="D99">
        <f>IF(RawData!J186="","",RawData!J186)</f>
        <v>605.20000000000005</v>
      </c>
      <c r="E99">
        <f>IF(OR(C99="",D99=""),"",C99+D99)</f>
        <v>605.40000000000009</v>
      </c>
    </row>
    <row r="100" spans="1:5" x14ac:dyDescent="0.25">
      <c r="A100" t="str">
        <f>IF(B100=$B$4,"ATM","")</f>
        <v/>
      </c>
      <c r="B100">
        <v>24700</v>
      </c>
      <c r="C100">
        <f>IF(RawData!J187="","",RawData!J187)</f>
        <v>0.2</v>
      </c>
      <c r="D100">
        <f>IF(RawData!J188="","",RawData!J188)</f>
        <v>667.45</v>
      </c>
      <c r="E100">
        <f>IF(OR(C100="",D100=""),"",C100+D100)</f>
        <v>667.65000000000009</v>
      </c>
    </row>
    <row r="101" spans="1:5" x14ac:dyDescent="0.25">
      <c r="A101" t="str">
        <f>IF(B101=$B$4,"ATM","")</f>
        <v/>
      </c>
      <c r="B101">
        <v>24750</v>
      </c>
      <c r="C101">
        <f>IF(RawData!J189="","",RawData!J189)</f>
        <v>0.2</v>
      </c>
      <c r="D101">
        <f>IF(RawData!J190="","",RawData!J190)</f>
        <v>725.2</v>
      </c>
      <c r="E101">
        <f>IF(OR(C101="",D101=""),"",C101+D101)</f>
        <v>725.40000000000009</v>
      </c>
    </row>
    <row r="102" spans="1:5" x14ac:dyDescent="0.25">
      <c r="A102" t="str">
        <f>IF(B102=$B$4,"ATM","")</f>
        <v/>
      </c>
      <c r="B102">
        <v>24800</v>
      </c>
      <c r="C102">
        <f>IF(RawData!J191="","",RawData!J191)</f>
        <v>0.1</v>
      </c>
      <c r="D102">
        <f>IF(RawData!J192="","",RawData!J192)</f>
        <v>767.8</v>
      </c>
      <c r="E102">
        <f>IF(OR(C102="",D102=""),"",C102+D102)</f>
        <v>767.9</v>
      </c>
    </row>
    <row r="103" spans="1:5" x14ac:dyDescent="0.25">
      <c r="A103" t="str">
        <f>IF(B103=$B$4,"ATM","")</f>
        <v/>
      </c>
      <c r="B103">
        <v>24850</v>
      </c>
      <c r="C103">
        <f>IF(RawData!J193="","",RawData!J193)</f>
        <v>0.1</v>
      </c>
      <c r="D103">
        <f>IF(RawData!J194="","",RawData!J194)</f>
        <v>802</v>
      </c>
      <c r="E103">
        <f>IF(OR(C103="",D103=""),"",C103+D103)</f>
        <v>802.1</v>
      </c>
    </row>
    <row r="104" spans="1:5" x14ac:dyDescent="0.25">
      <c r="A104" t="str">
        <f>IF(B104=$B$4,"ATM","")</f>
        <v/>
      </c>
      <c r="B104">
        <v>24900</v>
      </c>
      <c r="C104">
        <f>IF(RawData!J195="","",RawData!J195)</f>
        <v>0.1</v>
      </c>
      <c r="D104">
        <f>IF(RawData!J196="","",RawData!J196)</f>
        <v>865.15</v>
      </c>
      <c r="E104">
        <f>IF(OR(C104="",D104=""),"",C104+D104)</f>
        <v>865.25</v>
      </c>
    </row>
    <row r="105" spans="1:5" x14ac:dyDescent="0.25">
      <c r="A105" t="str">
        <f>IF(B105=$B$4,"ATM","")</f>
        <v/>
      </c>
      <c r="B105">
        <v>24950</v>
      </c>
      <c r="C105">
        <f>IF(RawData!J197="","",RawData!J197)</f>
        <v>0.15</v>
      </c>
      <c r="D105">
        <f>IF(RawData!J198="","",RawData!J198)</f>
        <v>912.65</v>
      </c>
      <c r="E105">
        <f>IF(OR(C105="",D105=""),"",C105+D105)</f>
        <v>912.8</v>
      </c>
    </row>
    <row r="106" spans="1:5" x14ac:dyDescent="0.25">
      <c r="A106" t="str">
        <f>IF(B106=$B$4,"ATM","")</f>
        <v/>
      </c>
      <c r="B106">
        <v>25000</v>
      </c>
      <c r="C106">
        <f>IF(RawData!J199="","",RawData!J199)</f>
        <v>0.05</v>
      </c>
      <c r="D106">
        <f>IF(RawData!J200="","",RawData!J200)</f>
        <v>959.1</v>
      </c>
      <c r="E106">
        <f>IF(OR(C106="",D106=""),"",C106+D106)</f>
        <v>959.15</v>
      </c>
    </row>
    <row r="107" spans="1:5" x14ac:dyDescent="0.25">
      <c r="A107" t="str">
        <f>IF(B107=$B$4,"ATM","")</f>
        <v/>
      </c>
      <c r="B107">
        <v>25050</v>
      </c>
      <c r="C107">
        <f>IF(RawData!J201="","",RawData!J201)</f>
        <v>0.1</v>
      </c>
      <c r="D107">
        <f>IF(RawData!J202="","",RawData!J202)</f>
        <v>1016</v>
      </c>
      <c r="E107">
        <f>IF(OR(C107="",D107=""),"",C107+D107)</f>
        <v>1016.1</v>
      </c>
    </row>
    <row r="108" spans="1:5" x14ac:dyDescent="0.25">
      <c r="A108" t="str">
        <f>IF(B108=$B$4,"ATM","")</f>
        <v/>
      </c>
      <c r="B108">
        <v>25100</v>
      </c>
      <c r="C108">
        <f>IF(RawData!J203="","",RawData!J203)</f>
        <v>0.05</v>
      </c>
      <c r="D108">
        <f>IF(RawData!J204="","",RawData!J204)</f>
        <v>1067.5</v>
      </c>
      <c r="E108">
        <f>IF(OR(C108="",D108=""),"",C108+D108)</f>
        <v>1067.55</v>
      </c>
    </row>
    <row r="109" spans="1:5" x14ac:dyDescent="0.25">
      <c r="A109" t="str">
        <f>IF(B109=$B$4,"ATM","")</f>
        <v/>
      </c>
      <c r="B109">
        <v>25150</v>
      </c>
      <c r="C109">
        <f>IF(RawData!J205="","",RawData!J205)</f>
        <v>0.1</v>
      </c>
      <c r="D109">
        <f>IF(RawData!J206="","",RawData!J206)</f>
        <v>1150.8499999999999</v>
      </c>
      <c r="E109">
        <f>IF(OR(C109="",D109=""),"",C109+D109)</f>
        <v>1150.9499999999998</v>
      </c>
    </row>
    <row r="110" spans="1:5" x14ac:dyDescent="0.25">
      <c r="A110" t="str">
        <f>IF(B110=$B$4,"ATM","")</f>
        <v/>
      </c>
      <c r="B110">
        <v>25200</v>
      </c>
      <c r="C110">
        <f>IF(RawData!J207="","",RawData!J207)</f>
        <v>0.1</v>
      </c>
      <c r="D110">
        <f>IF(RawData!J208="","",RawData!J208)</f>
        <v>1162.5999999999999</v>
      </c>
      <c r="E110">
        <f>IF(OR(C110="",D110=""),"",C110+D110)</f>
        <v>1162.6999999999998</v>
      </c>
    </row>
    <row r="111" spans="1:5" x14ac:dyDescent="0.25">
      <c r="A111" t="str">
        <f>IF(B111=$B$4,"ATM","")</f>
        <v/>
      </c>
      <c r="B111">
        <v>25250</v>
      </c>
      <c r="C111">
        <f>IF(RawData!J209="","",RawData!J209)</f>
        <v>0.05</v>
      </c>
      <c r="D111">
        <f>IF(RawData!J210="","",RawData!J210)</f>
        <v>1250.2</v>
      </c>
      <c r="E111">
        <f>IF(OR(C111="",D111=""),"",C111+D111)</f>
        <v>1250.25</v>
      </c>
    </row>
    <row r="112" spans="1:5" x14ac:dyDescent="0.25">
      <c r="A112" t="str">
        <f>IF(B112=$B$4,"ATM","")</f>
        <v/>
      </c>
      <c r="B112">
        <v>25300</v>
      </c>
      <c r="C112">
        <f>IF(RawData!J211="","",RawData!J211)</f>
        <v>0.05</v>
      </c>
      <c r="D112">
        <f>IF(RawData!J212="","",RawData!J212)</f>
        <v>1256.8499999999999</v>
      </c>
      <c r="E112">
        <f>IF(OR(C112="",D112=""),"",C112+D112)</f>
        <v>1256.8999999999999</v>
      </c>
    </row>
    <row r="113" spans="1:5" x14ac:dyDescent="0.25">
      <c r="A113" t="str">
        <f>IF(B113=$B$4,"ATM","")</f>
        <v/>
      </c>
      <c r="B113">
        <v>25350</v>
      </c>
      <c r="C113">
        <f>IF(RawData!J213="","",RawData!J213)</f>
        <v>0.05</v>
      </c>
      <c r="D113">
        <f>IF(RawData!J214="","",RawData!J214)</f>
        <v>1191.3499999999999</v>
      </c>
      <c r="E113">
        <f>IF(OR(C113="",D113=""),"",C113+D113)</f>
        <v>1191.3999999999999</v>
      </c>
    </row>
    <row r="114" spans="1:5" x14ac:dyDescent="0.25">
      <c r="A114" t="str">
        <f>IF(B114=$B$4,"ATM","")</f>
        <v/>
      </c>
      <c r="B114">
        <v>25400</v>
      </c>
      <c r="C114">
        <f>IF(RawData!J215="","",RawData!J215)</f>
        <v>0.05</v>
      </c>
      <c r="D114">
        <f>IF(RawData!J216="","",RawData!J216)</f>
        <v>1360.65</v>
      </c>
      <c r="E114">
        <f>IF(OR(C114="",D114=""),"",C114+D114)</f>
        <v>1360.7</v>
      </c>
    </row>
    <row r="115" spans="1:5" x14ac:dyDescent="0.25">
      <c r="A115" t="str">
        <f>IF(B115=$B$4,"ATM","")</f>
        <v/>
      </c>
      <c r="B115">
        <v>25450</v>
      </c>
      <c r="C115">
        <f>IF(RawData!J217="","",RawData!J217)</f>
        <v>0.05</v>
      </c>
      <c r="D115">
        <f>IF(RawData!J218="","",RawData!J218)</f>
        <v>1379.05</v>
      </c>
      <c r="E115">
        <f>IF(OR(C115="",D115=""),"",C115+D115)</f>
        <v>1379.1</v>
      </c>
    </row>
    <row r="116" spans="1:5" x14ac:dyDescent="0.25">
      <c r="A116" t="str">
        <f>IF(B116=$B$4,"ATM","")</f>
        <v/>
      </c>
      <c r="B116">
        <v>25500</v>
      </c>
      <c r="C116">
        <f>IF(RawData!J219="","",RawData!J219)</f>
        <v>0.05</v>
      </c>
      <c r="D116">
        <f>IF(RawData!J220="","",RawData!J220)</f>
        <v>1465.8</v>
      </c>
      <c r="E116">
        <f>IF(OR(C116="",D116=""),"",C116+D116)</f>
        <v>1465.85</v>
      </c>
    </row>
    <row r="117" spans="1:5" x14ac:dyDescent="0.25">
      <c r="A117" t="str">
        <f>IF(B117=$B$4,"ATM","")</f>
        <v/>
      </c>
      <c r="B117">
        <v>25550</v>
      </c>
      <c r="C117">
        <f>IF(RawData!J221="","",RawData!J221)</f>
        <v>0.05</v>
      </c>
      <c r="D117">
        <f>IF(RawData!J222="","",RawData!J222)</f>
        <v>1584.7</v>
      </c>
      <c r="E117">
        <f>IF(OR(C117="",D117=""),"",C117+D117)</f>
        <v>1584.75</v>
      </c>
    </row>
    <row r="118" spans="1:5" x14ac:dyDescent="0.25">
      <c r="A118" t="str">
        <f>IF(B118=$B$4,"ATM","")</f>
        <v/>
      </c>
      <c r="B118">
        <v>25600</v>
      </c>
      <c r="C118">
        <f>IF(RawData!J223="","",RawData!J223)</f>
        <v>0.05</v>
      </c>
      <c r="D118">
        <f>IF(RawData!J224="","",RawData!J224)</f>
        <v>1520</v>
      </c>
      <c r="E118">
        <f>IF(OR(C118="",D118=""),"",C118+D118)</f>
        <v>1520.05</v>
      </c>
    </row>
    <row r="119" spans="1:5" x14ac:dyDescent="0.25">
      <c r="A119" t="str">
        <f>IF(B119=$B$4,"ATM","")</f>
        <v/>
      </c>
      <c r="B119">
        <v>25650</v>
      </c>
      <c r="C119">
        <f>IF(RawData!J225="","",RawData!J225)</f>
        <v>0.1</v>
      </c>
      <c r="D119">
        <f>IF(RawData!J226="","",RawData!J226)</f>
        <v>1400</v>
      </c>
      <c r="E119">
        <f>IF(OR(C119="",D119=""),"",C119+D119)</f>
        <v>1400.1</v>
      </c>
    </row>
    <row r="120" spans="1:5" x14ac:dyDescent="0.25">
      <c r="A120" t="str">
        <f>IF(B120=$B$4,"ATM","")</f>
        <v/>
      </c>
      <c r="B120">
        <v>25700</v>
      </c>
      <c r="C120">
        <f>IF(RawData!J227="","",RawData!J227)</f>
        <v>0.05</v>
      </c>
      <c r="D120">
        <f>IF(RawData!J228="","",RawData!J228)</f>
        <v>1725</v>
      </c>
      <c r="E120">
        <f>IF(OR(C120="",D120=""),"",C120+D120)</f>
        <v>1725.05</v>
      </c>
    </row>
    <row r="121" spans="1:5" x14ac:dyDescent="0.25">
      <c r="A121" t="str">
        <f>IF(B121=$B$4,"ATM","")</f>
        <v/>
      </c>
      <c r="B121">
        <v>25750</v>
      </c>
      <c r="C121">
        <f>IF(RawData!J229="","",RawData!J229)</f>
        <v>0.05</v>
      </c>
      <c r="D121">
        <f>IF(RawData!J230="","",RawData!J230)</f>
        <v>1732.2</v>
      </c>
      <c r="E121">
        <f>IF(OR(C121="",D121=""),"",C121+D121)</f>
        <v>1732.25</v>
      </c>
    </row>
    <row r="122" spans="1:5" x14ac:dyDescent="0.25">
      <c r="A122" t="str">
        <f>IF(B122=$B$4,"ATM","")</f>
        <v/>
      </c>
      <c r="B122">
        <v>25800</v>
      </c>
      <c r="C122">
        <f>IF(RawData!J231="","",RawData!J231)</f>
        <v>0.1</v>
      </c>
      <c r="D122">
        <f>IF(RawData!J232="","",RawData!J232)</f>
        <v>1750</v>
      </c>
      <c r="E122">
        <f>IF(OR(C122="",D122=""),"",C122+D122)</f>
        <v>1750.1</v>
      </c>
    </row>
    <row r="123" spans="1:5" x14ac:dyDescent="0.25">
      <c r="A123" t="str">
        <f>IF(B123=$B$4,"ATM","")</f>
        <v/>
      </c>
      <c r="B123">
        <v>25850</v>
      </c>
      <c r="C123">
        <f>IF(RawData!J233="","",RawData!J233)</f>
        <v>0.05</v>
      </c>
      <c r="D123">
        <f>IF(RawData!J234="","",RawData!J234)</f>
        <v>1857.85</v>
      </c>
      <c r="E123">
        <f>IF(OR(C123="",D123=""),"",C123+D123)</f>
        <v>1857.8999999999999</v>
      </c>
    </row>
    <row r="124" spans="1:5" x14ac:dyDescent="0.25">
      <c r="A124" t="str">
        <f>IF(B124=$B$4,"ATM","")</f>
        <v/>
      </c>
      <c r="B124">
        <v>25900</v>
      </c>
      <c r="C124">
        <f>IF(RawData!J235="","",RawData!J235)</f>
        <v>0.05</v>
      </c>
      <c r="D124">
        <f>IF(RawData!J236="","",RawData!J236)</f>
        <v>1930</v>
      </c>
      <c r="E124">
        <f>IF(OR(C124="",D124=""),"",C124+D124)</f>
        <v>1930.05</v>
      </c>
    </row>
    <row r="125" spans="1:5" x14ac:dyDescent="0.25">
      <c r="A125" t="str">
        <f>IF(B125=$B$4,"ATM","")</f>
        <v/>
      </c>
      <c r="B125">
        <v>25950</v>
      </c>
      <c r="C125">
        <f>IF(RawData!J237="","",RawData!J237)</f>
        <v>0.1</v>
      </c>
      <c r="D125">
        <f>IF(RawData!J238="","",RawData!J238)</f>
        <v>2832.5</v>
      </c>
      <c r="E125">
        <f>IF(OR(C125="",D125=""),"",C125+D125)</f>
        <v>2832.6</v>
      </c>
    </row>
    <row r="126" spans="1:5" x14ac:dyDescent="0.25">
      <c r="A126" t="str">
        <f>IF(B126=$B$4,"ATM","")</f>
        <v/>
      </c>
      <c r="B126">
        <v>26000</v>
      </c>
      <c r="C126">
        <f>IF(RawData!J239="","",RawData!J239)</f>
        <v>0.1</v>
      </c>
      <c r="D126">
        <f>IF(RawData!J240="","",RawData!J240)</f>
        <v>1959.75</v>
      </c>
      <c r="E126">
        <f>IF(OR(C126="",D126=""),"",C126+D126)</f>
        <v>1959.85</v>
      </c>
    </row>
    <row r="127" spans="1:5" x14ac:dyDescent="0.25">
      <c r="A127" t="str">
        <f>IF(B127=$B$4,"ATM","")</f>
        <v/>
      </c>
      <c r="B127">
        <v>26050</v>
      </c>
      <c r="C127">
        <f>IF(RawData!J241="","",RawData!J241)</f>
        <v>0.1</v>
      </c>
      <c r="D127">
        <f>IF(RawData!J242="","",RawData!J242)</f>
        <v>2930.2</v>
      </c>
      <c r="E127">
        <f>IF(OR(C127="",D127=""),"",C127+D127)</f>
        <v>2930.2999999999997</v>
      </c>
    </row>
    <row r="128" spans="1:5" x14ac:dyDescent="0.25">
      <c r="A128" t="str">
        <f>IF(B128=$B$4,"ATM","")</f>
        <v/>
      </c>
      <c r="B128">
        <v>26100</v>
      </c>
      <c r="C128">
        <f>IF(RawData!J243="","",RawData!J243)</f>
        <v>0.05</v>
      </c>
      <c r="D128">
        <f>IF(RawData!J244="","",RawData!J244)</f>
        <v>2059</v>
      </c>
      <c r="E128">
        <f>IF(OR(C128="",D128=""),"",C128+D128)</f>
        <v>2059.0500000000002</v>
      </c>
    </row>
    <row r="129" spans="1:5" x14ac:dyDescent="0.25">
      <c r="A129" t="str">
        <f>IF(B129=$B$4,"ATM","")</f>
        <v/>
      </c>
      <c r="B129">
        <v>26150</v>
      </c>
      <c r="C129">
        <f>IF(RawData!J245="","",RawData!J245)</f>
        <v>0.1</v>
      </c>
      <c r="D129">
        <f>IF(RawData!J246="","",RawData!J246)</f>
        <v>3028.15</v>
      </c>
      <c r="E129">
        <f>IF(OR(C129="",D129=""),"",C129+D129)</f>
        <v>3028.25</v>
      </c>
    </row>
    <row r="130" spans="1:5" x14ac:dyDescent="0.25">
      <c r="A130" t="str">
        <f>IF(B130=$B$4,"ATM","")</f>
        <v/>
      </c>
      <c r="B130">
        <v>26200</v>
      </c>
      <c r="C130">
        <f>IF(RawData!J247="","",RawData!J247)</f>
        <v>0.1</v>
      </c>
      <c r="D130">
        <f>IF(RawData!J248="","",RawData!J248)</f>
        <v>2250</v>
      </c>
      <c r="E130">
        <f>IF(OR(C130="",D130=""),"",C130+D130)</f>
        <v>2250.1</v>
      </c>
    </row>
    <row r="131" spans="1:5" x14ac:dyDescent="0.25">
      <c r="A131" t="str">
        <f>IF(B131=$B$4,"ATM","")</f>
        <v/>
      </c>
      <c r="B131">
        <v>26250</v>
      </c>
      <c r="C131">
        <f>IF(RawData!J249="","",RawData!J249)</f>
        <v>0.05</v>
      </c>
      <c r="D131">
        <f>IF(RawData!J250="","",RawData!J250)</f>
        <v>3126.3</v>
      </c>
      <c r="E131">
        <f>IF(OR(C131="",D131=""),"",C131+D131)</f>
        <v>3126.3500000000004</v>
      </c>
    </row>
    <row r="132" spans="1:5" x14ac:dyDescent="0.25">
      <c r="A132" t="str">
        <f>IF(B132=$B$4,"ATM","")</f>
        <v/>
      </c>
      <c r="B132">
        <v>26300</v>
      </c>
      <c r="C132">
        <f>IF(RawData!J251="","",RawData!J251)</f>
        <v>0.05</v>
      </c>
      <c r="D132">
        <f>IF(RawData!J252="","",RawData!J252)</f>
        <v>2130.0500000000002</v>
      </c>
      <c r="E132">
        <f>IF(OR(C132="",D132=""),"",C132+D132)</f>
        <v>2130.1000000000004</v>
      </c>
    </row>
    <row r="133" spans="1:5" x14ac:dyDescent="0.25">
      <c r="A133" t="str">
        <f>IF(B133=$B$4,"ATM","")</f>
        <v/>
      </c>
      <c r="B133">
        <v>26350</v>
      </c>
      <c r="C133">
        <f>IF(RawData!J253="","",RawData!J253)</f>
        <v>0.05</v>
      </c>
      <c r="D133">
        <f>IF(RawData!J254="","",RawData!J254)</f>
        <v>2329.15</v>
      </c>
      <c r="E133">
        <f>IF(OR(C133="",D133=""),"",C133+D133)</f>
        <v>2329.2000000000003</v>
      </c>
    </row>
    <row r="134" spans="1:5" x14ac:dyDescent="0.25">
      <c r="A134" t="str">
        <f>IF(B134=$B$4,"ATM","")</f>
        <v/>
      </c>
      <c r="B134">
        <v>26400</v>
      </c>
      <c r="C134">
        <f>IF(RawData!J255="","",RawData!J255)</f>
        <v>0.05</v>
      </c>
      <c r="D134">
        <f>IF(RawData!J256="","",RawData!J256)</f>
        <v>2356.65</v>
      </c>
      <c r="E134">
        <f>IF(OR(C134="",D134=""),"",C134+D134)</f>
        <v>2356.7000000000003</v>
      </c>
    </row>
    <row r="135" spans="1:5" x14ac:dyDescent="0.25">
      <c r="A135" t="str">
        <f>IF(B135=$B$4,"ATM","")</f>
        <v/>
      </c>
      <c r="B135">
        <v>26450</v>
      </c>
      <c r="C135">
        <f>IF(RawData!J257="","",RawData!J257)</f>
        <v>0.1</v>
      </c>
      <c r="D135">
        <f>IF(RawData!J258="","",RawData!J258)</f>
        <v>3323.05</v>
      </c>
      <c r="E135">
        <f>IF(OR(C135="",D135=""),"",C135+D135)</f>
        <v>3323.15</v>
      </c>
    </row>
    <row r="136" spans="1:5" x14ac:dyDescent="0.25">
      <c r="A136" t="str">
        <f>IF(B136=$B$4,"ATM","")</f>
        <v/>
      </c>
      <c r="B136">
        <v>26500</v>
      </c>
      <c r="C136">
        <f>IF(RawData!J259="","",RawData!J259)</f>
        <v>0.1</v>
      </c>
      <c r="D136">
        <f>IF(RawData!J260="","",RawData!J260)</f>
        <v>2475</v>
      </c>
      <c r="E136">
        <f>IF(OR(C136="",D136=""),"",C136+D136)</f>
        <v>2475.1</v>
      </c>
    </row>
    <row r="137" spans="1:5" x14ac:dyDescent="0.25">
      <c r="A137" t="str">
        <f>IF(B137=$B$4,"ATM","")</f>
        <v/>
      </c>
      <c r="B137">
        <v>26550</v>
      </c>
      <c r="C137">
        <f>IF(RawData!J261="","",RawData!J261)</f>
        <v>0.05</v>
      </c>
      <c r="D137">
        <f>IF(RawData!J262="","",RawData!J262)</f>
        <v>3421.65</v>
      </c>
      <c r="E137">
        <f>IF(OR(C137="",D137=""),"",C137+D137)</f>
        <v>3421.7000000000003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7"/>
  <sheetViews>
    <sheetView showGridLines="0" workbookViewId="0">
      <pane ySplit="7" topLeftCell="A8" activePane="bottomLeft" state="frozen"/>
      <selection pane="bottomLeft" sqref="A1:E1"/>
    </sheetView>
  </sheetViews>
  <sheetFormatPr defaultRowHeight="15" x14ac:dyDescent="0.25"/>
  <cols>
    <col min="1" max="1" width="10" customWidth="1"/>
    <col min="2" max="4" width="14" customWidth="1"/>
    <col min="5" max="5" width="16" customWidth="1"/>
  </cols>
  <sheetData>
    <row r="1" spans="1:5" ht="21" x14ac:dyDescent="0.35">
      <c r="A1" s="8" t="s">
        <v>20</v>
      </c>
      <c r="B1" s="9"/>
      <c r="C1" s="9"/>
      <c r="D1" s="9"/>
      <c r="E1" s="9"/>
    </row>
    <row r="3" spans="1:5" x14ac:dyDescent="0.25">
      <c r="A3" s="2" t="s">
        <v>2</v>
      </c>
      <c r="B3" s="4">
        <v>46168</v>
      </c>
      <c r="D3" s="2" t="s">
        <v>3</v>
      </c>
      <c r="E3" s="2">
        <v>54727.1</v>
      </c>
    </row>
    <row r="4" spans="1:5" x14ac:dyDescent="0.25">
      <c r="A4" s="2" t="s">
        <v>4</v>
      </c>
      <c r="B4" s="2">
        <v>54700</v>
      </c>
      <c r="D4" s="2" t="s">
        <v>5</v>
      </c>
      <c r="E4" s="2">
        <v>2126.9</v>
      </c>
    </row>
    <row r="5" spans="1:5" x14ac:dyDescent="0.25">
      <c r="A5" s="2" t="s">
        <v>10</v>
      </c>
      <c r="B5" s="7">
        <v>46147.586527777778</v>
      </c>
      <c r="D5" s="2" t="s">
        <v>6</v>
      </c>
      <c r="E5" s="2" t="s">
        <v>1175</v>
      </c>
    </row>
    <row r="7" spans="1: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 x14ac:dyDescent="0.25">
      <c r="A8" t="str">
        <f>IF(B8=$B$4,"ATM","")</f>
        <v/>
      </c>
      <c r="B8">
        <v>43000</v>
      </c>
      <c r="C8">
        <f>IF(RawData!J264="","",RawData!J264)</f>
        <v>8000</v>
      </c>
      <c r="D8">
        <f>IF(RawData!J265="","",RawData!J265)</f>
        <v>7.05</v>
      </c>
      <c r="E8">
        <f>IF(OR(C8="",D8=""),"",C8+D8)</f>
        <v>8007.05</v>
      </c>
    </row>
    <row r="9" spans="1:5" x14ac:dyDescent="0.25">
      <c r="A9" t="str">
        <f>IF(B9=$B$4,"ATM","")</f>
        <v/>
      </c>
      <c r="B9">
        <v>43500</v>
      </c>
      <c r="C9">
        <f>IF(RawData!J266="","",RawData!J266)</f>
        <v>18263.650000000001</v>
      </c>
      <c r="D9">
        <f>IF(RawData!J267="","",RawData!J267)</f>
        <v>6.8</v>
      </c>
      <c r="E9">
        <f>IF(OR(C9="",D9=""),"",C9+D9)</f>
        <v>18270.45</v>
      </c>
    </row>
    <row r="10" spans="1:5" x14ac:dyDescent="0.25">
      <c r="A10" t="str">
        <f>IF(B10=$B$4,"ATM","")</f>
        <v/>
      </c>
      <c r="B10">
        <v>44000</v>
      </c>
      <c r="C10">
        <f>IF(RawData!J268="","",RawData!J268)</f>
        <v>12162</v>
      </c>
      <c r="D10">
        <f>IF(RawData!J269="","",RawData!J269)</f>
        <v>7.65</v>
      </c>
      <c r="E10">
        <f>IF(OR(C10="",D10=""),"",C10+D10)</f>
        <v>12169.65</v>
      </c>
    </row>
    <row r="11" spans="1:5" x14ac:dyDescent="0.25">
      <c r="A11" t="str">
        <f>IF(B11=$B$4,"ATM","")</f>
        <v/>
      </c>
      <c r="B11">
        <v>44500</v>
      </c>
      <c r="C11">
        <f>IF(RawData!J270="","",RawData!J270)</f>
        <v>17280.099999999999</v>
      </c>
      <c r="D11">
        <f>IF(RawData!J271="","",RawData!J271)</f>
        <v>8.3000000000000007</v>
      </c>
      <c r="E11">
        <f>IF(OR(C11="",D11=""),"",C11+D11)</f>
        <v>17288.399999999998</v>
      </c>
    </row>
    <row r="12" spans="1:5" x14ac:dyDescent="0.25">
      <c r="A12" t="str">
        <f>IF(B12=$B$4,"ATM","")</f>
        <v/>
      </c>
      <c r="B12">
        <v>45000</v>
      </c>
      <c r="C12">
        <f>IF(RawData!J272="","",RawData!J272)</f>
        <v>16788.349999999999</v>
      </c>
      <c r="D12">
        <f>IF(RawData!J273="","",RawData!J273)</f>
        <v>8.75</v>
      </c>
      <c r="E12">
        <f>IF(OR(C12="",D12=""),"",C12+D12)</f>
        <v>16797.099999999999</v>
      </c>
    </row>
    <row r="13" spans="1:5" x14ac:dyDescent="0.25">
      <c r="A13" t="str">
        <f>IF(B13=$B$4,"ATM","")</f>
        <v/>
      </c>
      <c r="B13">
        <v>45300</v>
      </c>
      <c r="C13">
        <f>IF(RawData!J274="","",RawData!J274)</f>
        <v>15239</v>
      </c>
      <c r="D13">
        <f>IF(RawData!J275="","",RawData!J275)</f>
        <v>11.05</v>
      </c>
      <c r="E13">
        <f>IF(OR(C13="",D13=""),"",C13+D13)</f>
        <v>15250.05</v>
      </c>
    </row>
    <row r="14" spans="1:5" x14ac:dyDescent="0.25">
      <c r="A14" t="str">
        <f>IF(B14=$B$4,"ATM","")</f>
        <v/>
      </c>
      <c r="B14">
        <v>45400</v>
      </c>
      <c r="C14">
        <f>IF(RawData!J276="","",RawData!J276)</f>
        <v>15140.55</v>
      </c>
      <c r="D14">
        <f>IF(RawData!J277="","",RawData!J277)</f>
        <v>12.75</v>
      </c>
      <c r="E14">
        <f>IF(OR(C14="",D14=""),"",C14+D14)</f>
        <v>15153.3</v>
      </c>
    </row>
    <row r="15" spans="1:5" x14ac:dyDescent="0.25">
      <c r="A15" t="str">
        <f>IF(B15=$B$4,"ATM","")</f>
        <v/>
      </c>
      <c r="B15">
        <v>45500</v>
      </c>
      <c r="C15">
        <f>IF(RawData!J278="","",RawData!J278)</f>
        <v>16296.6</v>
      </c>
      <c r="D15">
        <f>IF(RawData!J279="","",RawData!J279)</f>
        <v>11.3</v>
      </c>
      <c r="E15">
        <f>IF(OR(C15="",D15=""),"",C15+D15)</f>
        <v>16307.9</v>
      </c>
    </row>
    <row r="16" spans="1:5" x14ac:dyDescent="0.25">
      <c r="A16" t="str">
        <f>IF(B16=$B$4,"ATM","")</f>
        <v/>
      </c>
      <c r="B16">
        <v>45600</v>
      </c>
      <c r="C16">
        <f>IF(RawData!J280="","",RawData!J280)</f>
        <v>15647.5</v>
      </c>
      <c r="D16">
        <f>IF(RawData!J281="","",RawData!J281)</f>
        <v>13.2</v>
      </c>
      <c r="E16">
        <f>IF(OR(C16="",D16=""),"",C16+D16)</f>
        <v>15660.7</v>
      </c>
    </row>
    <row r="17" spans="1:5" x14ac:dyDescent="0.25">
      <c r="A17" t="str">
        <f>IF(B17=$B$4,"ATM","")</f>
        <v/>
      </c>
      <c r="B17">
        <v>45700</v>
      </c>
      <c r="C17">
        <f>IF(RawData!J282="","",RawData!J282)</f>
        <v>15549.05</v>
      </c>
      <c r="D17">
        <f>IF(RawData!J283="","",RawData!J283)</f>
        <v>10.5</v>
      </c>
      <c r="E17">
        <f>IF(OR(C17="",D17=""),"",C17+D17)</f>
        <v>15559.55</v>
      </c>
    </row>
    <row r="18" spans="1:5" x14ac:dyDescent="0.25">
      <c r="A18" t="str">
        <f>IF(B18=$B$4,"ATM","")</f>
        <v/>
      </c>
      <c r="B18">
        <v>45800</v>
      </c>
      <c r="C18">
        <f>IF(RawData!J284="","",RawData!J284)</f>
        <v>15450.65</v>
      </c>
      <c r="D18">
        <f>IF(RawData!J285="","",RawData!J285)</f>
        <v>11.15</v>
      </c>
      <c r="E18">
        <f>IF(OR(C18="",D18=""),"",C18+D18)</f>
        <v>15461.8</v>
      </c>
    </row>
    <row r="19" spans="1:5" x14ac:dyDescent="0.25">
      <c r="A19" t="str">
        <f>IF(B19=$B$4,"ATM","")</f>
        <v/>
      </c>
      <c r="B19">
        <v>45900</v>
      </c>
      <c r="C19">
        <f>IF(RawData!J286="","",RawData!J286)</f>
        <v>15352.25</v>
      </c>
      <c r="D19">
        <f>IF(RawData!J287="","",RawData!J287)</f>
        <v>12.35</v>
      </c>
      <c r="E19">
        <f>IF(OR(C19="",D19=""),"",C19+D19)</f>
        <v>15364.6</v>
      </c>
    </row>
    <row r="20" spans="1:5" x14ac:dyDescent="0.25">
      <c r="A20" t="str">
        <f>IF(B20=$B$4,"ATM","")</f>
        <v/>
      </c>
      <c r="B20">
        <v>46000</v>
      </c>
      <c r="C20">
        <f>IF(RawData!J288="","",RawData!J288)</f>
        <v>9080.75</v>
      </c>
      <c r="D20">
        <f>IF(RawData!J289="","",RawData!J289)</f>
        <v>12.7</v>
      </c>
      <c r="E20">
        <f>IF(OR(C20="",D20=""),"",C20+D20)</f>
        <v>9093.4500000000007</v>
      </c>
    </row>
    <row r="21" spans="1:5" x14ac:dyDescent="0.25">
      <c r="A21" t="str">
        <f>IF(B21=$B$4,"ATM","")</f>
        <v/>
      </c>
      <c r="B21">
        <v>46100</v>
      </c>
      <c r="C21">
        <f>IF(RawData!J290="","",RawData!J290)</f>
        <v>15706.55</v>
      </c>
      <c r="D21">
        <f>IF(RawData!J291="","",RawData!J291)</f>
        <v>13.65</v>
      </c>
      <c r="E21">
        <f>IF(OR(C21="",D21=""),"",C21+D21)</f>
        <v>15720.199999999999</v>
      </c>
    </row>
    <row r="22" spans="1:5" x14ac:dyDescent="0.25">
      <c r="A22" t="str">
        <f>IF(B22=$B$4,"ATM","")</f>
        <v/>
      </c>
      <c r="B22">
        <v>46200</v>
      </c>
      <c r="C22">
        <f>IF(RawData!J292="","",RawData!J292)</f>
        <v>15608.2</v>
      </c>
      <c r="D22">
        <f>IF(RawData!J293="","",RawData!J293)</f>
        <v>13</v>
      </c>
      <c r="E22">
        <f>IF(OR(C22="",D22=""),"",C22+D22)</f>
        <v>15621.2</v>
      </c>
    </row>
    <row r="23" spans="1:5" x14ac:dyDescent="0.25">
      <c r="A23" t="str">
        <f>IF(B23=$B$4,"ATM","")</f>
        <v/>
      </c>
      <c r="B23">
        <v>46300</v>
      </c>
      <c r="C23">
        <f>IF(RawData!J294="","",RawData!J294)</f>
        <v>15509.85</v>
      </c>
      <c r="D23">
        <f>IF(RawData!J295="","",RawData!J295)</f>
        <v>13.05</v>
      </c>
      <c r="E23">
        <f>IF(OR(C23="",D23=""),"",C23+D23)</f>
        <v>15522.9</v>
      </c>
    </row>
    <row r="24" spans="1:5" x14ac:dyDescent="0.25">
      <c r="A24" t="str">
        <f>IF(B24=$B$4,"ATM","")</f>
        <v/>
      </c>
      <c r="B24">
        <v>46400</v>
      </c>
      <c r="C24">
        <f>IF(RawData!J296="","",RawData!J296)</f>
        <v>15411.5</v>
      </c>
      <c r="D24">
        <f>IF(RawData!J297="","",RawData!J297)</f>
        <v>14.1</v>
      </c>
      <c r="E24">
        <f>IF(OR(C24="",D24=""),"",C24+D24)</f>
        <v>15425.6</v>
      </c>
    </row>
    <row r="25" spans="1:5" x14ac:dyDescent="0.25">
      <c r="A25" t="str">
        <f>IF(B25=$B$4,"ATM","")</f>
        <v/>
      </c>
      <c r="B25">
        <v>46500</v>
      </c>
      <c r="C25">
        <f>IF(RawData!J298="","",RawData!J298)</f>
        <v>10600</v>
      </c>
      <c r="D25">
        <f>IF(RawData!J299="","",RawData!J299)</f>
        <v>15</v>
      </c>
      <c r="E25">
        <f>IF(OR(C25="",D25=""),"",C25+D25)</f>
        <v>10615</v>
      </c>
    </row>
    <row r="26" spans="1:5" x14ac:dyDescent="0.25">
      <c r="A26" t="str">
        <f>IF(B26=$B$4,"ATM","")</f>
        <v/>
      </c>
      <c r="B26">
        <v>46600</v>
      </c>
      <c r="C26">
        <f>IF(RawData!J300="","",RawData!J300)</f>
        <v>15214.8</v>
      </c>
      <c r="D26">
        <f>IF(RawData!J301="","",RawData!J301)</f>
        <v>15.35</v>
      </c>
      <c r="E26">
        <f>IF(OR(C26="",D26=""),"",C26+D26)</f>
        <v>15230.15</v>
      </c>
    </row>
    <row r="27" spans="1:5" x14ac:dyDescent="0.25">
      <c r="A27" t="str">
        <f>IF(B27=$B$4,"ATM","")</f>
        <v/>
      </c>
      <c r="B27">
        <v>46700</v>
      </c>
      <c r="C27">
        <f>IF(RawData!J302="","",RawData!J302)</f>
        <v>15116.5</v>
      </c>
      <c r="D27">
        <f>IF(RawData!J303="","",RawData!J303)</f>
        <v>20.55</v>
      </c>
      <c r="E27">
        <f>IF(OR(C27="",D27=""),"",C27+D27)</f>
        <v>15137.05</v>
      </c>
    </row>
    <row r="28" spans="1:5" x14ac:dyDescent="0.25">
      <c r="A28" t="str">
        <f>IF(B28=$B$4,"ATM","")</f>
        <v/>
      </c>
      <c r="B28">
        <v>46800</v>
      </c>
      <c r="C28">
        <f>IF(RawData!J304="","",RawData!J304)</f>
        <v>15018.15</v>
      </c>
      <c r="D28">
        <f>IF(RawData!J305="","",RawData!J305)</f>
        <v>20.65</v>
      </c>
      <c r="E28">
        <f>IF(OR(C28="",D28=""),"",C28+D28)</f>
        <v>15038.8</v>
      </c>
    </row>
    <row r="29" spans="1:5" x14ac:dyDescent="0.25">
      <c r="A29" t="str">
        <f>IF(B29=$B$4,"ATM","")</f>
        <v/>
      </c>
      <c r="B29">
        <v>46900</v>
      </c>
      <c r="C29">
        <f>IF(RawData!J306="","",RawData!J306)</f>
        <v>14919.8</v>
      </c>
      <c r="D29">
        <f>IF(RawData!J307="","",RawData!J307)</f>
        <v>20.399999999999999</v>
      </c>
      <c r="E29">
        <f>IF(OR(C29="",D29=""),"",C29+D29)</f>
        <v>14940.199999999999</v>
      </c>
    </row>
    <row r="30" spans="1:5" x14ac:dyDescent="0.25">
      <c r="A30" t="str">
        <f>IF(B30=$B$4,"ATM","")</f>
        <v/>
      </c>
      <c r="B30">
        <v>47000</v>
      </c>
      <c r="C30">
        <f>IF(RawData!J308="","",RawData!J308)</f>
        <v>7707.45</v>
      </c>
      <c r="D30">
        <f>IF(RawData!J309="","",RawData!J309)</f>
        <v>18.399999999999999</v>
      </c>
      <c r="E30">
        <f>IF(OR(C30="",D30=""),"",C30+D30)</f>
        <v>7725.8499999999995</v>
      </c>
    </row>
    <row r="31" spans="1:5" x14ac:dyDescent="0.25">
      <c r="A31" t="str">
        <f>IF(B31=$B$4,"ATM","")</f>
        <v/>
      </c>
      <c r="B31">
        <v>47100</v>
      </c>
      <c r="C31">
        <f>IF(RawData!J310="","",RawData!J310)</f>
        <v>14723.15</v>
      </c>
      <c r="D31">
        <f>IF(RawData!J311="","",RawData!J311)</f>
        <v>20</v>
      </c>
      <c r="E31">
        <f>IF(OR(C31="",D31=""),"",C31+D31)</f>
        <v>14743.15</v>
      </c>
    </row>
    <row r="32" spans="1:5" x14ac:dyDescent="0.25">
      <c r="A32" t="str">
        <f>IF(B32=$B$4,"ATM","")</f>
        <v/>
      </c>
      <c r="B32">
        <v>47200</v>
      </c>
      <c r="C32">
        <f>IF(RawData!J312="","",RawData!J312)</f>
        <v>14624.85</v>
      </c>
      <c r="D32">
        <f>IF(RawData!J313="","",RawData!J313)</f>
        <v>0.25</v>
      </c>
      <c r="E32">
        <f>IF(OR(C32="",D32=""),"",C32+D32)</f>
        <v>14625.1</v>
      </c>
    </row>
    <row r="33" spans="1:5" x14ac:dyDescent="0.25">
      <c r="A33" t="str">
        <f>IF(B33=$B$4,"ATM","")</f>
        <v/>
      </c>
      <c r="B33">
        <v>47300</v>
      </c>
      <c r="C33">
        <f>IF(RawData!J314="","",RawData!J314)</f>
        <v>14526.5</v>
      </c>
      <c r="D33">
        <f>IF(RawData!J315="","",RawData!J315)</f>
        <v>0.3</v>
      </c>
      <c r="E33">
        <f>IF(OR(C33="",D33=""),"",C33+D33)</f>
        <v>14526.8</v>
      </c>
    </row>
    <row r="34" spans="1:5" x14ac:dyDescent="0.25">
      <c r="A34" t="str">
        <f>IF(B34=$B$4,"ATM","")</f>
        <v/>
      </c>
      <c r="B34">
        <v>47400</v>
      </c>
      <c r="C34">
        <f>IF(RawData!J316="","",RawData!J316)</f>
        <v>14428.2</v>
      </c>
      <c r="D34">
        <f>IF(RawData!J317="","",RawData!J317)</f>
        <v>0.35</v>
      </c>
      <c r="E34">
        <f>IF(OR(C34="",D34=""),"",C34+D34)</f>
        <v>14428.550000000001</v>
      </c>
    </row>
    <row r="35" spans="1:5" x14ac:dyDescent="0.25">
      <c r="A35" t="str">
        <f>IF(B35=$B$4,"ATM","")</f>
        <v/>
      </c>
      <c r="B35">
        <v>47500</v>
      </c>
      <c r="C35">
        <f>IF(RawData!J318="","",RawData!J318)</f>
        <v>9500</v>
      </c>
      <c r="D35">
        <f>IF(RawData!J319="","",RawData!J319)</f>
        <v>22.85</v>
      </c>
      <c r="E35">
        <f>IF(OR(C35="",D35=""),"",C35+D35)</f>
        <v>9522.85</v>
      </c>
    </row>
    <row r="36" spans="1:5" x14ac:dyDescent="0.25">
      <c r="A36" t="str">
        <f>IF(B36=$B$4,"ATM","")</f>
        <v/>
      </c>
      <c r="B36">
        <v>47600</v>
      </c>
      <c r="C36">
        <f>IF(RawData!J320="","",RawData!J320)</f>
        <v>14231.55</v>
      </c>
      <c r="D36">
        <f>IF(RawData!J321="","",RawData!J321)</f>
        <v>0.4</v>
      </c>
      <c r="E36">
        <f>IF(OR(C36="",D36=""),"",C36+D36)</f>
        <v>14231.949999999999</v>
      </c>
    </row>
    <row r="37" spans="1:5" x14ac:dyDescent="0.25">
      <c r="A37" t="str">
        <f>IF(B37=$B$4,"ATM","")</f>
        <v/>
      </c>
      <c r="B37">
        <v>47700</v>
      </c>
      <c r="C37">
        <f>IF(RawData!J322="","",RawData!J322)</f>
        <v>14133.25</v>
      </c>
      <c r="D37">
        <f>IF(RawData!J323="","",RawData!J323)</f>
        <v>0.45</v>
      </c>
      <c r="E37">
        <f>IF(OR(C37="",D37=""),"",C37+D37)</f>
        <v>14133.7</v>
      </c>
    </row>
    <row r="38" spans="1:5" x14ac:dyDescent="0.25">
      <c r="A38" t="str">
        <f>IF(B38=$B$4,"ATM","")</f>
        <v/>
      </c>
      <c r="B38">
        <v>47800</v>
      </c>
      <c r="C38">
        <f>IF(RawData!J324="","",RawData!J324)</f>
        <v>14034.95</v>
      </c>
      <c r="D38">
        <f>IF(RawData!J325="","",RawData!J325)</f>
        <v>0.5</v>
      </c>
      <c r="E38">
        <f>IF(OR(C38="",D38=""),"",C38+D38)</f>
        <v>14035.45</v>
      </c>
    </row>
    <row r="39" spans="1:5" x14ac:dyDescent="0.25">
      <c r="A39" t="str">
        <f>IF(B39=$B$4,"ATM","")</f>
        <v/>
      </c>
      <c r="B39">
        <v>47900</v>
      </c>
      <c r="C39">
        <f>IF(RawData!J326="","",RawData!J326)</f>
        <v>13936.65</v>
      </c>
      <c r="D39">
        <f>IF(RawData!J327="","",RawData!J327)</f>
        <v>0.55000000000000004</v>
      </c>
      <c r="E39">
        <f>IF(OR(C39="",D39=""),"",C39+D39)</f>
        <v>13937.199999999999</v>
      </c>
    </row>
    <row r="40" spans="1:5" x14ac:dyDescent="0.25">
      <c r="A40" t="str">
        <f>IF(B40=$B$4,"ATM","")</f>
        <v/>
      </c>
      <c r="B40">
        <v>48000</v>
      </c>
      <c r="C40">
        <f>IF(RawData!J328="","",RawData!J328)</f>
        <v>6870</v>
      </c>
      <c r="D40">
        <f>IF(RawData!J329="","",RawData!J329)</f>
        <v>28.85</v>
      </c>
      <c r="E40">
        <f>IF(OR(C40="",D40=""),"",C40+D40)</f>
        <v>6898.85</v>
      </c>
    </row>
    <row r="41" spans="1:5" x14ac:dyDescent="0.25">
      <c r="A41" t="str">
        <f>IF(B41=$B$4,"ATM","")</f>
        <v/>
      </c>
      <c r="B41">
        <v>48100</v>
      </c>
      <c r="C41">
        <f>IF(RawData!J330="","",RawData!J330)</f>
        <v>13740.05</v>
      </c>
      <c r="D41">
        <f>IF(RawData!J331="","",RawData!J331)</f>
        <v>0.65</v>
      </c>
      <c r="E41">
        <f>IF(OR(C41="",D41=""),"",C41+D41)</f>
        <v>13740.699999999999</v>
      </c>
    </row>
    <row r="42" spans="1:5" x14ac:dyDescent="0.25">
      <c r="A42" t="str">
        <f>IF(B42=$B$4,"ATM","")</f>
        <v/>
      </c>
      <c r="B42">
        <v>48200</v>
      </c>
      <c r="C42">
        <f>IF(RawData!J332="","",RawData!J332)</f>
        <v>13641.75</v>
      </c>
      <c r="D42">
        <f>IF(RawData!J333="","",RawData!J333)</f>
        <v>0.75</v>
      </c>
      <c r="E42">
        <f>IF(OR(C42="",D42=""),"",C42+D42)</f>
        <v>13642.5</v>
      </c>
    </row>
    <row r="43" spans="1:5" x14ac:dyDescent="0.25">
      <c r="A43" t="str">
        <f>IF(B43=$B$4,"ATM","")</f>
        <v/>
      </c>
      <c r="B43">
        <v>48300</v>
      </c>
      <c r="C43">
        <f>IF(RawData!J334="","",RawData!J334)</f>
        <v>13543.45</v>
      </c>
      <c r="D43">
        <f>IF(RawData!J335="","",RawData!J335)</f>
        <v>0.8</v>
      </c>
      <c r="E43">
        <f>IF(OR(C43="",D43=""),"",C43+D43)</f>
        <v>13544.25</v>
      </c>
    </row>
    <row r="44" spans="1:5" x14ac:dyDescent="0.25">
      <c r="A44" t="str">
        <f>IF(B44=$B$4,"ATM","")</f>
        <v/>
      </c>
      <c r="B44">
        <v>48400</v>
      </c>
      <c r="C44">
        <f>IF(RawData!J336="","",RawData!J336)</f>
        <v>13445.2</v>
      </c>
      <c r="D44">
        <f>IF(RawData!J337="","",RawData!J337)</f>
        <v>0.9</v>
      </c>
      <c r="E44">
        <f>IF(OR(C44="",D44=""),"",C44+D44)</f>
        <v>13446.1</v>
      </c>
    </row>
    <row r="45" spans="1:5" x14ac:dyDescent="0.25">
      <c r="A45" t="str">
        <f>IF(B45=$B$4,"ATM","")</f>
        <v/>
      </c>
      <c r="B45">
        <v>48500</v>
      </c>
      <c r="C45">
        <f>IF(RawData!J338="","",RawData!J338)</f>
        <v>8150</v>
      </c>
      <c r="D45">
        <f>IF(RawData!J339="","",RawData!J339)</f>
        <v>37.549999999999997</v>
      </c>
      <c r="E45">
        <f>IF(OR(C45="",D45=""),"",C45+D45)</f>
        <v>8187.55</v>
      </c>
    </row>
    <row r="46" spans="1:5" x14ac:dyDescent="0.25">
      <c r="A46" t="str">
        <f>IF(B46=$B$4,"ATM","")</f>
        <v/>
      </c>
      <c r="B46">
        <v>48600</v>
      </c>
      <c r="C46">
        <f>IF(RawData!J340="","",RawData!J340)</f>
        <v>13248.7</v>
      </c>
      <c r="D46">
        <f>IF(RawData!J341="","",RawData!J341)</f>
        <v>1.05</v>
      </c>
      <c r="E46">
        <f>IF(OR(C46="",D46=""),"",C46+D46)</f>
        <v>13249.75</v>
      </c>
    </row>
    <row r="47" spans="1:5" x14ac:dyDescent="0.25">
      <c r="A47" t="str">
        <f>IF(B47=$B$4,"ATM","")</f>
        <v/>
      </c>
      <c r="B47">
        <v>48700</v>
      </c>
      <c r="C47">
        <f>IF(RawData!J342="","",RawData!J342)</f>
        <v>13150.45</v>
      </c>
      <c r="D47">
        <f>IF(RawData!J343="","",RawData!J343)</f>
        <v>43.05</v>
      </c>
      <c r="E47">
        <f>IF(OR(C47="",D47=""),"",C47+D47)</f>
        <v>13193.5</v>
      </c>
    </row>
    <row r="48" spans="1:5" x14ac:dyDescent="0.25">
      <c r="A48" t="str">
        <f>IF(B48=$B$4,"ATM","")</f>
        <v/>
      </c>
      <c r="B48">
        <v>48800</v>
      </c>
      <c r="C48">
        <f>IF(RawData!J344="","",RawData!J344)</f>
        <v>13052.2</v>
      </c>
      <c r="D48">
        <f>IF(RawData!J345="","",RawData!J345)</f>
        <v>1.3</v>
      </c>
      <c r="E48">
        <f>IF(OR(C48="",D48=""),"",C48+D48)</f>
        <v>13053.5</v>
      </c>
    </row>
    <row r="49" spans="1:5" x14ac:dyDescent="0.25">
      <c r="A49" t="str">
        <f>IF(B49=$B$4,"ATM","")</f>
        <v/>
      </c>
      <c r="B49">
        <v>48900</v>
      </c>
      <c r="C49">
        <f>IF(RawData!J346="","",RawData!J346)</f>
        <v>7361</v>
      </c>
      <c r="D49">
        <f>IF(RawData!J347="","",RawData!J347)</f>
        <v>1.4</v>
      </c>
      <c r="E49">
        <f>IF(OR(C49="",D49=""),"",C49+D49)</f>
        <v>7362.4</v>
      </c>
    </row>
    <row r="50" spans="1:5" x14ac:dyDescent="0.25">
      <c r="A50" t="str">
        <f>IF(B50=$B$4,"ATM","")</f>
        <v/>
      </c>
      <c r="B50">
        <v>49000</v>
      </c>
      <c r="C50">
        <f>IF(RawData!J348="","",RawData!J348)</f>
        <v>5626.9</v>
      </c>
      <c r="D50">
        <f>IF(RawData!J349="","",RawData!J349)</f>
        <v>48.85</v>
      </c>
      <c r="E50">
        <f>IF(OR(C50="",D50=""),"",C50+D50)</f>
        <v>5675.75</v>
      </c>
    </row>
    <row r="51" spans="1:5" x14ac:dyDescent="0.25">
      <c r="A51" t="str">
        <f>IF(B51=$B$4,"ATM","")</f>
        <v/>
      </c>
      <c r="B51">
        <v>49100</v>
      </c>
      <c r="C51">
        <f>IF(RawData!J350="","",RawData!J350)</f>
        <v>7244</v>
      </c>
      <c r="D51">
        <f>IF(RawData!J351="","",RawData!J351)</f>
        <v>51.3</v>
      </c>
      <c r="E51">
        <f>IF(OR(C51="",D51=""),"",C51+D51)</f>
        <v>7295.3</v>
      </c>
    </row>
    <row r="52" spans="1:5" x14ac:dyDescent="0.25">
      <c r="A52" t="str">
        <f>IF(B52=$B$4,"ATM","")</f>
        <v/>
      </c>
      <c r="B52">
        <v>49200</v>
      </c>
      <c r="C52">
        <f>IF(RawData!J352="","",RawData!J352)</f>
        <v>12659.35</v>
      </c>
      <c r="D52">
        <f>IF(RawData!J353="","",RawData!J353)</f>
        <v>53.9</v>
      </c>
      <c r="E52">
        <f>IF(OR(C52="",D52=""),"",C52+D52)</f>
        <v>12713.25</v>
      </c>
    </row>
    <row r="53" spans="1:5" x14ac:dyDescent="0.25">
      <c r="A53" t="str">
        <f>IF(B53=$B$4,"ATM","")</f>
        <v/>
      </c>
      <c r="B53">
        <v>49300</v>
      </c>
      <c r="C53">
        <f>IF(RawData!J354="","",RawData!J354)</f>
        <v>12561.2</v>
      </c>
      <c r="D53">
        <f>IF(RawData!J355="","",RawData!J355)</f>
        <v>2.0499999999999998</v>
      </c>
      <c r="E53">
        <f>IF(OR(C53="",D53=""),"",C53+D53)</f>
        <v>12563.25</v>
      </c>
    </row>
    <row r="54" spans="1:5" x14ac:dyDescent="0.25">
      <c r="A54" t="str">
        <f>IF(B54=$B$4,"ATM","")</f>
        <v/>
      </c>
      <c r="B54">
        <v>49400</v>
      </c>
      <c r="C54">
        <f>IF(RawData!J356="","",RawData!J356)</f>
        <v>3202.1</v>
      </c>
      <c r="D54">
        <f>IF(RawData!J357="","",RawData!J357)</f>
        <v>2.25</v>
      </c>
      <c r="E54">
        <f>IF(OR(C54="",D54=""),"",C54+D54)</f>
        <v>3204.35</v>
      </c>
    </row>
    <row r="55" spans="1:5" x14ac:dyDescent="0.25">
      <c r="A55" t="str">
        <f>IF(B55=$B$4,"ATM","")</f>
        <v/>
      </c>
      <c r="B55">
        <v>49500</v>
      </c>
      <c r="C55">
        <f>IF(RawData!J358="","",RawData!J358)</f>
        <v>5530</v>
      </c>
      <c r="D55">
        <f>IF(RawData!J359="","",RawData!J359)</f>
        <v>62.35</v>
      </c>
      <c r="E55">
        <f>IF(OR(C55="",D55=""),"",C55+D55)</f>
        <v>5592.35</v>
      </c>
    </row>
    <row r="56" spans="1:5" x14ac:dyDescent="0.25">
      <c r="A56" t="str">
        <f>IF(B56=$B$4,"ATM","")</f>
        <v/>
      </c>
      <c r="B56">
        <v>49600</v>
      </c>
      <c r="C56">
        <f>IF(RawData!J360="","",RawData!J360)</f>
        <v>5849</v>
      </c>
      <c r="D56">
        <f>IF(RawData!J361="","",RawData!J361)</f>
        <v>66.349999999999994</v>
      </c>
      <c r="E56">
        <f>IF(OR(C56="",D56=""),"",C56+D56)</f>
        <v>5915.35</v>
      </c>
    </row>
    <row r="57" spans="1:5" x14ac:dyDescent="0.25">
      <c r="A57" t="str">
        <f>IF(B57=$B$4,"ATM","")</f>
        <v/>
      </c>
      <c r="B57">
        <v>49700</v>
      </c>
      <c r="C57">
        <f>IF(RawData!J362="","",RawData!J362)</f>
        <v>12168.65</v>
      </c>
      <c r="D57">
        <f>IF(RawData!J363="","",RawData!J363)</f>
        <v>67.45</v>
      </c>
      <c r="E57">
        <f>IF(OR(C57="",D57=""),"",C57+D57)</f>
        <v>12236.1</v>
      </c>
    </row>
    <row r="58" spans="1:5" x14ac:dyDescent="0.25">
      <c r="A58" t="str">
        <f>IF(B58=$B$4,"ATM","")</f>
        <v/>
      </c>
      <c r="B58">
        <v>49800</v>
      </c>
      <c r="C58">
        <f>IF(RawData!J364="","",RawData!J364)</f>
        <v>5672.7</v>
      </c>
      <c r="D58">
        <f>IF(RawData!J365="","",RawData!J365)</f>
        <v>73.349999999999994</v>
      </c>
      <c r="E58">
        <f>IF(OR(C58="",D58=""),"",C58+D58)</f>
        <v>5746.05</v>
      </c>
    </row>
    <row r="59" spans="1:5" x14ac:dyDescent="0.25">
      <c r="A59" t="str">
        <f>IF(B59=$B$4,"ATM","")</f>
        <v/>
      </c>
      <c r="B59">
        <v>49900</v>
      </c>
      <c r="C59">
        <f>IF(RawData!J366="","",RawData!J366)</f>
        <v>11972.5</v>
      </c>
      <c r="D59">
        <f>IF(RawData!J367="","",RawData!J367)</f>
        <v>77.900000000000006</v>
      </c>
      <c r="E59">
        <f>IF(OR(C59="",D59=""),"",C59+D59)</f>
        <v>12050.4</v>
      </c>
    </row>
    <row r="60" spans="1:5" x14ac:dyDescent="0.25">
      <c r="A60" t="str">
        <f>IF(B60=$B$4,"ATM","")</f>
        <v/>
      </c>
      <c r="B60">
        <v>50000</v>
      </c>
      <c r="C60">
        <f>IF(RawData!J368="","",RawData!J368)</f>
        <v>5046.75</v>
      </c>
      <c r="D60">
        <f>IF(RawData!J369="","",RawData!J369)</f>
        <v>82.2</v>
      </c>
      <c r="E60">
        <f>IF(OR(C60="",D60=""),"",C60+D60)</f>
        <v>5128.95</v>
      </c>
    </row>
    <row r="61" spans="1:5" x14ac:dyDescent="0.25">
      <c r="A61" t="str">
        <f>IF(B61=$B$4,"ATM","")</f>
        <v/>
      </c>
      <c r="B61">
        <v>50100</v>
      </c>
      <c r="C61">
        <f>IF(RawData!J370="","",RawData!J370)</f>
        <v>11776.45</v>
      </c>
      <c r="D61">
        <f>IF(RawData!J371="","",RawData!J371)</f>
        <v>87.2</v>
      </c>
      <c r="E61">
        <f>IF(OR(C61="",D61=""),"",C61+D61)</f>
        <v>11863.650000000001</v>
      </c>
    </row>
    <row r="62" spans="1:5" x14ac:dyDescent="0.25">
      <c r="A62" t="str">
        <f>IF(B62=$B$4,"ATM","")</f>
        <v/>
      </c>
      <c r="B62">
        <v>50200</v>
      </c>
      <c r="C62">
        <f>IF(RawData!J372="","",RawData!J372)</f>
        <v>4547.3</v>
      </c>
      <c r="D62">
        <f>IF(RawData!J373="","",RawData!J373)</f>
        <v>87.95</v>
      </c>
      <c r="E62">
        <f>IF(OR(C62="",D62=""),"",C62+D62)</f>
        <v>4635.25</v>
      </c>
    </row>
    <row r="63" spans="1:5" x14ac:dyDescent="0.25">
      <c r="A63" t="str">
        <f>IF(B63=$B$4,"ATM","")</f>
        <v/>
      </c>
      <c r="B63">
        <v>50300</v>
      </c>
      <c r="C63">
        <f>IF(RawData!J374="","",RawData!J374)</f>
        <v>4200</v>
      </c>
      <c r="D63">
        <f>IF(RawData!J375="","",RawData!J375)</f>
        <v>94.95</v>
      </c>
      <c r="E63">
        <f>IF(OR(C63="",D63=""),"",C63+D63)</f>
        <v>4294.95</v>
      </c>
    </row>
    <row r="64" spans="1:5" x14ac:dyDescent="0.25">
      <c r="A64" t="str">
        <f>IF(B64=$B$4,"ATM","")</f>
        <v/>
      </c>
      <c r="B64">
        <v>50400</v>
      </c>
      <c r="C64">
        <f>IF(RawData!J376="","",RawData!J376)</f>
        <v>3633.85</v>
      </c>
      <c r="D64">
        <f>IF(RawData!J377="","",RawData!J377)</f>
        <v>98.7</v>
      </c>
      <c r="E64">
        <f>IF(OR(C64="",D64=""),"",C64+D64)</f>
        <v>3732.5499999999997</v>
      </c>
    </row>
    <row r="65" spans="1:5" x14ac:dyDescent="0.25">
      <c r="A65" t="str">
        <f>IF(B65=$B$4,"ATM","")</f>
        <v/>
      </c>
      <c r="B65">
        <v>50500</v>
      </c>
      <c r="C65">
        <f>IF(RawData!J378="","",RawData!J378)</f>
        <v>4315</v>
      </c>
      <c r="D65">
        <f>IF(RawData!J379="","",RawData!J379)</f>
        <v>108.25</v>
      </c>
      <c r="E65">
        <f>IF(OR(C65="",D65=""),"",C65+D65)</f>
        <v>4423.25</v>
      </c>
    </row>
    <row r="66" spans="1:5" x14ac:dyDescent="0.25">
      <c r="A66" t="str">
        <f>IF(B66=$B$4,"ATM","")</f>
        <v/>
      </c>
      <c r="B66">
        <v>50600</v>
      </c>
      <c r="C66">
        <f>IF(RawData!J380="","",RawData!J380)</f>
        <v>7075</v>
      </c>
      <c r="D66">
        <f>IF(RawData!J381="","",RawData!J381)</f>
        <v>111.8</v>
      </c>
      <c r="E66">
        <f>IF(OR(C66="",D66=""),"",C66+D66)</f>
        <v>7186.8</v>
      </c>
    </row>
    <row r="67" spans="1:5" x14ac:dyDescent="0.25">
      <c r="A67" t="str">
        <f>IF(B67=$B$4,"ATM","")</f>
        <v/>
      </c>
      <c r="B67">
        <v>50700</v>
      </c>
      <c r="C67">
        <f>IF(RawData!J382="","",RawData!J382)</f>
        <v>5411.1</v>
      </c>
      <c r="D67">
        <f>IF(RawData!J383="","",RawData!J383)</f>
        <v>119.6</v>
      </c>
      <c r="E67">
        <f>IF(OR(C67="",D67=""),"",C67+D67)</f>
        <v>5530.7000000000007</v>
      </c>
    </row>
    <row r="68" spans="1:5" x14ac:dyDescent="0.25">
      <c r="A68" t="str">
        <f>IF(B68=$B$4,"ATM","")</f>
        <v/>
      </c>
      <c r="B68">
        <v>50800</v>
      </c>
      <c r="C68">
        <f>IF(RawData!J384="","",RawData!J384)</f>
        <v>5393.7</v>
      </c>
      <c r="D68">
        <f>IF(RawData!J385="","",RawData!J385)</f>
        <v>124.3</v>
      </c>
      <c r="E68">
        <f>IF(OR(C68="",D68=""),"",C68+D68)</f>
        <v>5518</v>
      </c>
    </row>
    <row r="69" spans="1:5" x14ac:dyDescent="0.25">
      <c r="A69" t="str">
        <f>IF(B69=$B$4,"ATM","")</f>
        <v/>
      </c>
      <c r="B69">
        <v>50900</v>
      </c>
      <c r="C69">
        <f>IF(RawData!J386="","",RawData!J386)</f>
        <v>5000</v>
      </c>
      <c r="D69">
        <f>IF(RawData!J387="","",RawData!J387)</f>
        <v>133</v>
      </c>
      <c r="E69">
        <f>IF(OR(C69="",D69=""),"",C69+D69)</f>
        <v>5133</v>
      </c>
    </row>
    <row r="70" spans="1:5" x14ac:dyDescent="0.25">
      <c r="A70" t="str">
        <f>IF(B70=$B$4,"ATM","")</f>
        <v/>
      </c>
      <c r="B70">
        <v>51000</v>
      </c>
      <c r="C70">
        <f>IF(RawData!J388="","",RawData!J388)</f>
        <v>4107.05</v>
      </c>
      <c r="D70">
        <f>IF(RawData!J389="","",RawData!J389)</f>
        <v>140.75</v>
      </c>
      <c r="E70">
        <f>IF(OR(C70="",D70=""),"",C70+D70)</f>
        <v>4247.8</v>
      </c>
    </row>
    <row r="71" spans="1:5" x14ac:dyDescent="0.25">
      <c r="A71" t="str">
        <f>IF(B71=$B$4,"ATM","")</f>
        <v/>
      </c>
      <c r="B71">
        <v>51100</v>
      </c>
      <c r="C71">
        <f>IF(RawData!J390="","",RawData!J390)</f>
        <v>3990</v>
      </c>
      <c r="D71">
        <f>IF(RawData!J391="","",RawData!J391)</f>
        <v>149.65</v>
      </c>
      <c r="E71">
        <f>IF(OR(C71="",D71=""),"",C71+D71)</f>
        <v>4139.6499999999996</v>
      </c>
    </row>
    <row r="72" spans="1:5" x14ac:dyDescent="0.25">
      <c r="A72" t="str">
        <f>IF(B72=$B$4,"ATM","")</f>
        <v/>
      </c>
      <c r="B72">
        <v>51200</v>
      </c>
      <c r="C72">
        <f>IF(RawData!J392="","",RawData!J392)</f>
        <v>3723.7</v>
      </c>
      <c r="D72">
        <f>IF(RawData!J393="","",RawData!J393)</f>
        <v>155.9</v>
      </c>
      <c r="E72">
        <f>IF(OR(C72="",D72=""),"",C72+D72)</f>
        <v>3879.6</v>
      </c>
    </row>
    <row r="73" spans="1:5" x14ac:dyDescent="0.25">
      <c r="A73" t="str">
        <f>IF(B73=$B$4,"ATM","")</f>
        <v/>
      </c>
      <c r="B73">
        <v>51300</v>
      </c>
      <c r="C73">
        <f>IF(RawData!J394="","",RawData!J394)</f>
        <v>3753</v>
      </c>
      <c r="D73">
        <f>IF(RawData!J395="","",RawData!J395)</f>
        <v>165.4</v>
      </c>
      <c r="E73">
        <f>IF(OR(C73="",D73=""),"",C73+D73)</f>
        <v>3918.4</v>
      </c>
    </row>
    <row r="74" spans="1:5" x14ac:dyDescent="0.25">
      <c r="A74" t="str">
        <f>IF(B74=$B$4,"ATM","")</f>
        <v/>
      </c>
      <c r="B74">
        <v>51400</v>
      </c>
      <c r="C74">
        <f>IF(RawData!J396="","",RawData!J396)</f>
        <v>3600</v>
      </c>
      <c r="D74">
        <f>IF(RawData!J397="","",RawData!J397)</f>
        <v>176.7</v>
      </c>
      <c r="E74">
        <f>IF(OR(C74="",D74=""),"",C74+D74)</f>
        <v>3776.7</v>
      </c>
    </row>
    <row r="75" spans="1:5" x14ac:dyDescent="0.25">
      <c r="A75" t="str">
        <f>IF(B75=$B$4,"ATM","")</f>
        <v/>
      </c>
      <c r="B75">
        <v>51500</v>
      </c>
      <c r="C75">
        <f>IF(RawData!J398="","",RawData!J398)</f>
        <v>3390</v>
      </c>
      <c r="D75">
        <f>IF(RawData!J399="","",RawData!J399)</f>
        <v>183.4</v>
      </c>
      <c r="E75">
        <f>IF(OR(C75="",D75=""),"",C75+D75)</f>
        <v>3573.4</v>
      </c>
    </row>
    <row r="76" spans="1:5" x14ac:dyDescent="0.25">
      <c r="A76" t="str">
        <f>IF(B76=$B$4,"ATM","")</f>
        <v/>
      </c>
      <c r="B76">
        <v>51600</v>
      </c>
      <c r="C76">
        <f>IF(RawData!J400="","",RawData!J400)</f>
        <v>4361.95</v>
      </c>
      <c r="D76">
        <f>IF(RawData!J401="","",RawData!J401)</f>
        <v>196.6</v>
      </c>
      <c r="E76">
        <f>IF(OR(C76="",D76=""),"",C76+D76)</f>
        <v>4558.55</v>
      </c>
    </row>
    <row r="77" spans="1:5" x14ac:dyDescent="0.25">
      <c r="A77" t="str">
        <f>IF(B77=$B$4,"ATM","")</f>
        <v/>
      </c>
      <c r="B77">
        <v>51700</v>
      </c>
      <c r="C77">
        <f>IF(RawData!J402="","",RawData!J402)</f>
        <v>6000</v>
      </c>
      <c r="D77">
        <f>IF(RawData!J403="","",RawData!J403)</f>
        <v>200.05</v>
      </c>
      <c r="E77">
        <f>IF(OR(C77="",D77=""),"",C77+D77)</f>
        <v>6200.05</v>
      </c>
    </row>
    <row r="78" spans="1:5" x14ac:dyDescent="0.25">
      <c r="A78" t="str">
        <f>IF(B78=$B$4,"ATM","")</f>
        <v/>
      </c>
      <c r="B78">
        <v>51800</v>
      </c>
      <c r="C78">
        <f>IF(RawData!J404="","",RawData!J404)</f>
        <v>3175.3</v>
      </c>
      <c r="D78">
        <f>IF(RawData!J405="","",RawData!J405)</f>
        <v>216.9</v>
      </c>
      <c r="E78">
        <f>IF(OR(C78="",D78=""),"",C78+D78)</f>
        <v>3392.2000000000003</v>
      </c>
    </row>
    <row r="79" spans="1:5" x14ac:dyDescent="0.25">
      <c r="A79" t="str">
        <f>IF(B79=$B$4,"ATM","")</f>
        <v/>
      </c>
      <c r="B79">
        <v>51900</v>
      </c>
      <c r="C79">
        <f>IF(RawData!J406="","",RawData!J406)</f>
        <v>3900</v>
      </c>
      <c r="D79">
        <f>IF(RawData!J407="","",RawData!J407)</f>
        <v>232.55</v>
      </c>
      <c r="E79">
        <f>IF(OR(C79="",D79=""),"",C79+D79)</f>
        <v>4132.55</v>
      </c>
    </row>
    <row r="80" spans="1:5" x14ac:dyDescent="0.25">
      <c r="A80" t="str">
        <f>IF(B80=$B$4,"ATM","")</f>
        <v/>
      </c>
      <c r="B80">
        <v>52000</v>
      </c>
      <c r="C80">
        <f>IF(RawData!J408="","",RawData!J408)</f>
        <v>3181</v>
      </c>
      <c r="D80">
        <f>IF(RawData!J409="","",RawData!J409)</f>
        <v>240</v>
      </c>
      <c r="E80">
        <f>IF(OR(C80="",D80=""),"",C80+D80)</f>
        <v>3421</v>
      </c>
    </row>
    <row r="81" spans="1:5" x14ac:dyDescent="0.25">
      <c r="A81" t="str">
        <f>IF(B81=$B$4,"ATM","")</f>
        <v/>
      </c>
      <c r="B81">
        <v>52100</v>
      </c>
      <c r="C81">
        <f>IF(RawData!J410="","",RawData!J410)</f>
        <v>3222.3</v>
      </c>
      <c r="D81">
        <f>IF(RawData!J411="","",RawData!J411)</f>
        <v>258</v>
      </c>
      <c r="E81">
        <f>IF(OR(C81="",D81=""),"",C81+D81)</f>
        <v>3480.3</v>
      </c>
    </row>
    <row r="82" spans="1:5" x14ac:dyDescent="0.25">
      <c r="A82" t="str">
        <f>IF(B82=$B$4,"ATM","")</f>
        <v/>
      </c>
      <c r="B82">
        <v>52200</v>
      </c>
      <c r="C82">
        <f>IF(RawData!J412="","",RawData!J412)</f>
        <v>2769</v>
      </c>
      <c r="D82">
        <f>IF(RawData!J413="","",RawData!J413)</f>
        <v>260.3</v>
      </c>
      <c r="E82">
        <f>IF(OR(C82="",D82=""),"",C82+D82)</f>
        <v>3029.3</v>
      </c>
    </row>
    <row r="83" spans="1:5" x14ac:dyDescent="0.25">
      <c r="A83" t="str">
        <f>IF(B83=$B$4,"ATM","")</f>
        <v/>
      </c>
      <c r="B83">
        <v>52300</v>
      </c>
      <c r="C83">
        <f>IF(RawData!J414="","",RawData!J414)</f>
        <v>4548.75</v>
      </c>
      <c r="D83">
        <f>IF(RawData!J415="","",RawData!J415)</f>
        <v>278.89999999999998</v>
      </c>
      <c r="E83">
        <f>IF(OR(C83="",D83=""),"",C83+D83)</f>
        <v>4827.6499999999996</v>
      </c>
    </row>
    <row r="84" spans="1:5" x14ac:dyDescent="0.25">
      <c r="A84" t="str">
        <f>IF(B84=$B$4,"ATM","")</f>
        <v/>
      </c>
      <c r="B84">
        <v>52400</v>
      </c>
      <c r="C84">
        <f>IF(RawData!J416="","",RawData!J416)</f>
        <v>4183.5</v>
      </c>
      <c r="D84">
        <f>IF(RawData!J417="","",RawData!J417)</f>
        <v>288.39999999999998</v>
      </c>
      <c r="E84">
        <f>IF(OR(C84="",D84=""),"",C84+D84)</f>
        <v>4471.8999999999996</v>
      </c>
    </row>
    <row r="85" spans="1:5" x14ac:dyDescent="0.25">
      <c r="A85" t="str">
        <f>IF(B85=$B$4,"ATM","")</f>
        <v/>
      </c>
      <c r="B85">
        <v>52500</v>
      </c>
      <c r="C85">
        <f>IF(RawData!J418="","",RawData!J418)</f>
        <v>2860</v>
      </c>
      <c r="D85">
        <f>IF(RawData!J419="","",RawData!J419)</f>
        <v>313.55</v>
      </c>
      <c r="E85">
        <f>IF(OR(C85="",D85=""),"",C85+D85)</f>
        <v>3173.55</v>
      </c>
    </row>
    <row r="86" spans="1:5" x14ac:dyDescent="0.25">
      <c r="A86" t="str">
        <f>IF(B86=$B$4,"ATM","")</f>
        <v/>
      </c>
      <c r="B86">
        <v>52600</v>
      </c>
      <c r="C86">
        <f>IF(RawData!J420="","",RawData!J420)</f>
        <v>2600</v>
      </c>
      <c r="D86">
        <f>IF(RawData!J421="","",RawData!J421)</f>
        <v>328.2</v>
      </c>
      <c r="E86">
        <f>IF(OR(C86="",D86=""),"",C86+D86)</f>
        <v>2928.2</v>
      </c>
    </row>
    <row r="87" spans="1:5" x14ac:dyDescent="0.25">
      <c r="A87" t="str">
        <f>IF(B87=$B$4,"ATM","")</f>
        <v/>
      </c>
      <c r="B87">
        <v>52700</v>
      </c>
      <c r="C87">
        <f>IF(RawData!J422="","",RawData!J422)</f>
        <v>2650</v>
      </c>
      <c r="D87">
        <f>IF(RawData!J423="","",RawData!J423)</f>
        <v>345.45</v>
      </c>
      <c r="E87">
        <f>IF(OR(C87="",D87=""),"",C87+D87)</f>
        <v>2995.45</v>
      </c>
    </row>
    <row r="88" spans="1:5" x14ac:dyDescent="0.25">
      <c r="A88" t="str">
        <f>IF(B88=$B$4,"ATM","")</f>
        <v/>
      </c>
      <c r="B88">
        <v>52800</v>
      </c>
      <c r="C88">
        <f>IF(RawData!J424="","",RawData!J424)</f>
        <v>2561.0500000000002</v>
      </c>
      <c r="D88">
        <f>IF(RawData!J425="","",RawData!J425)</f>
        <v>366.8</v>
      </c>
      <c r="E88">
        <f>IF(OR(C88="",D88=""),"",C88+D88)</f>
        <v>2927.8500000000004</v>
      </c>
    </row>
    <row r="89" spans="1:5" x14ac:dyDescent="0.25">
      <c r="A89" t="str">
        <f>IF(B89=$B$4,"ATM","")</f>
        <v/>
      </c>
      <c r="B89">
        <v>52900</v>
      </c>
      <c r="C89">
        <f>IF(RawData!J426="","",RawData!J426)</f>
        <v>2525</v>
      </c>
      <c r="D89">
        <f>IF(RawData!J427="","",RawData!J427)</f>
        <v>388.05</v>
      </c>
      <c r="E89">
        <f>IF(OR(C89="",D89=""),"",C89+D89)</f>
        <v>2913.05</v>
      </c>
    </row>
    <row r="90" spans="1:5" x14ac:dyDescent="0.25">
      <c r="A90" t="str">
        <f>IF(B90=$B$4,"ATM","")</f>
        <v/>
      </c>
      <c r="B90">
        <v>53000</v>
      </c>
      <c r="C90">
        <f>IF(RawData!J428="","",RawData!J428)</f>
        <v>2409.9499999999998</v>
      </c>
      <c r="D90">
        <f>IF(RawData!J429="","",RawData!J429)</f>
        <v>400.2</v>
      </c>
      <c r="E90">
        <f>IF(OR(C90="",D90=""),"",C90+D90)</f>
        <v>2810.1499999999996</v>
      </c>
    </row>
    <row r="91" spans="1:5" x14ac:dyDescent="0.25">
      <c r="A91" t="str">
        <f>IF(B91=$B$4,"ATM","")</f>
        <v/>
      </c>
      <c r="B91">
        <v>53100</v>
      </c>
      <c r="C91">
        <f>IF(RawData!J430="","",RawData!J430)</f>
        <v>2639.35</v>
      </c>
      <c r="D91">
        <f>IF(RawData!J431="","",RawData!J431)</f>
        <v>424.5</v>
      </c>
      <c r="E91">
        <f>IF(OR(C91="",D91=""),"",C91+D91)</f>
        <v>3063.85</v>
      </c>
    </row>
    <row r="92" spans="1:5" x14ac:dyDescent="0.25">
      <c r="A92" t="str">
        <f>IF(B92=$B$4,"ATM","")</f>
        <v/>
      </c>
      <c r="B92">
        <v>53200</v>
      </c>
      <c r="C92">
        <f>IF(RawData!J432="","",RawData!J432)</f>
        <v>2308.85</v>
      </c>
      <c r="D92">
        <f>IF(RawData!J433="","",RawData!J433)</f>
        <v>444.95</v>
      </c>
      <c r="E92">
        <f>IF(OR(C92="",D92=""),"",C92+D92)</f>
        <v>2753.7999999999997</v>
      </c>
    </row>
    <row r="93" spans="1:5" x14ac:dyDescent="0.25">
      <c r="A93" t="str">
        <f>IF(B93=$B$4,"ATM","")</f>
        <v/>
      </c>
      <c r="B93">
        <v>53300</v>
      </c>
      <c r="C93">
        <f>IF(RawData!J434="","",RawData!J434)</f>
        <v>2170</v>
      </c>
      <c r="D93">
        <f>IF(RawData!J435="","",RawData!J435)</f>
        <v>466.05</v>
      </c>
      <c r="E93">
        <f>IF(OR(C93="",D93=""),"",C93+D93)</f>
        <v>2636.05</v>
      </c>
    </row>
    <row r="94" spans="1:5" x14ac:dyDescent="0.25">
      <c r="A94" t="str">
        <f>IF(B94=$B$4,"ATM","")</f>
        <v/>
      </c>
      <c r="B94">
        <v>53400</v>
      </c>
      <c r="C94">
        <f>IF(RawData!J436="","",RawData!J436)</f>
        <v>2090.5500000000002</v>
      </c>
      <c r="D94">
        <f>IF(RawData!J437="","",RawData!J437)</f>
        <v>490</v>
      </c>
      <c r="E94">
        <f>IF(OR(C94="",D94=""),"",C94+D94)</f>
        <v>2580.5500000000002</v>
      </c>
    </row>
    <row r="95" spans="1:5" x14ac:dyDescent="0.25">
      <c r="A95" t="str">
        <f>IF(B95=$B$4,"ATM","")</f>
        <v/>
      </c>
      <c r="B95">
        <v>53500</v>
      </c>
      <c r="C95">
        <f>IF(RawData!J438="","",RawData!J438)</f>
        <v>2000.35</v>
      </c>
      <c r="D95">
        <f>IF(RawData!J439="","",RawData!J439)</f>
        <v>517.1</v>
      </c>
      <c r="E95">
        <f>IF(OR(C95="",D95=""),"",C95+D95)</f>
        <v>2517.4499999999998</v>
      </c>
    </row>
    <row r="96" spans="1:5" x14ac:dyDescent="0.25">
      <c r="A96" t="str">
        <f>IF(B96=$B$4,"ATM","")</f>
        <v/>
      </c>
      <c r="B96">
        <v>53600</v>
      </c>
      <c r="C96">
        <f>IF(RawData!J440="","",RawData!J440)</f>
        <v>1694.1</v>
      </c>
      <c r="D96">
        <f>IF(RawData!J441="","",RawData!J441)</f>
        <v>545.1</v>
      </c>
      <c r="E96">
        <f>IF(OR(C96="",D96=""),"",C96+D96)</f>
        <v>2239.1999999999998</v>
      </c>
    </row>
    <row r="97" spans="1:5" x14ac:dyDescent="0.25">
      <c r="A97" t="str">
        <f>IF(B97=$B$4,"ATM","")</f>
        <v/>
      </c>
      <c r="B97">
        <v>53700</v>
      </c>
      <c r="C97">
        <f>IF(RawData!J442="","",RawData!J442)</f>
        <v>1676.85</v>
      </c>
      <c r="D97">
        <f>IF(RawData!J443="","",RawData!J443)</f>
        <v>578.6</v>
      </c>
      <c r="E97">
        <f>IF(OR(C97="",D97=""),"",C97+D97)</f>
        <v>2255.4499999999998</v>
      </c>
    </row>
    <row r="98" spans="1:5" x14ac:dyDescent="0.25">
      <c r="A98" t="str">
        <f>IF(B98=$B$4,"ATM","")</f>
        <v/>
      </c>
      <c r="B98">
        <v>53800</v>
      </c>
      <c r="C98">
        <f>IF(RawData!J444="","",RawData!J444)</f>
        <v>1800</v>
      </c>
      <c r="D98">
        <f>IF(RawData!J445="","",RawData!J445)</f>
        <v>603.15</v>
      </c>
      <c r="E98">
        <f>IF(OR(C98="",D98=""),"",C98+D98)</f>
        <v>2403.15</v>
      </c>
    </row>
    <row r="99" spans="1:5" x14ac:dyDescent="0.25">
      <c r="A99" t="str">
        <f>IF(B99=$B$4,"ATM","")</f>
        <v/>
      </c>
      <c r="B99">
        <v>53900</v>
      </c>
      <c r="C99">
        <f>IF(RawData!J446="","",RawData!J446)</f>
        <v>1692.1</v>
      </c>
      <c r="D99">
        <f>IF(RawData!J447="","",RawData!J447)</f>
        <v>628.1</v>
      </c>
      <c r="E99">
        <f>IF(OR(C99="",D99=""),"",C99+D99)</f>
        <v>2320.1999999999998</v>
      </c>
    </row>
    <row r="100" spans="1:5" x14ac:dyDescent="0.25">
      <c r="A100" t="str">
        <f>IF(B100=$B$4,"ATM","")</f>
        <v/>
      </c>
      <c r="B100">
        <v>54000</v>
      </c>
      <c r="C100">
        <f>IF(RawData!J448="","",RawData!J448)</f>
        <v>1655.05</v>
      </c>
      <c r="D100">
        <f>IF(RawData!J449="","",RawData!J449)</f>
        <v>656.85</v>
      </c>
      <c r="E100">
        <f>IF(OR(C100="",D100=""),"",C100+D100)</f>
        <v>2311.9</v>
      </c>
    </row>
    <row r="101" spans="1:5" x14ac:dyDescent="0.25">
      <c r="A101" t="str">
        <f>IF(B101=$B$4,"ATM","")</f>
        <v/>
      </c>
      <c r="B101">
        <v>54100</v>
      </c>
      <c r="C101">
        <f>IF(RawData!J450="","",RawData!J450)</f>
        <v>1556.1</v>
      </c>
      <c r="D101">
        <f>IF(RawData!J451="","",RawData!J451)</f>
        <v>700.5</v>
      </c>
      <c r="E101">
        <f>IF(OR(C101="",D101=""),"",C101+D101)</f>
        <v>2256.6</v>
      </c>
    </row>
    <row r="102" spans="1:5" x14ac:dyDescent="0.25">
      <c r="A102" t="str">
        <f>IF(B102=$B$4,"ATM","")</f>
        <v/>
      </c>
      <c r="B102">
        <v>54200</v>
      </c>
      <c r="C102">
        <f>IF(RawData!J452="","",RawData!J452)</f>
        <v>1525</v>
      </c>
      <c r="D102">
        <f>IF(RawData!J453="","",RawData!J453)</f>
        <v>725</v>
      </c>
      <c r="E102">
        <f>IF(OR(C102="",D102=""),"",C102+D102)</f>
        <v>2250</v>
      </c>
    </row>
    <row r="103" spans="1:5" x14ac:dyDescent="0.25">
      <c r="A103" t="str">
        <f>IF(B103=$B$4,"ATM","")</f>
        <v/>
      </c>
      <c r="B103">
        <v>54300</v>
      </c>
      <c r="C103">
        <f>IF(RawData!J454="","",RawData!J454)</f>
        <v>1443.8</v>
      </c>
      <c r="D103">
        <f>IF(RawData!J455="","",RawData!J455)</f>
        <v>756.45</v>
      </c>
      <c r="E103">
        <f>IF(OR(C103="",D103=""),"",C103+D103)</f>
        <v>2200.25</v>
      </c>
    </row>
    <row r="104" spans="1:5" x14ac:dyDescent="0.25">
      <c r="A104" t="str">
        <f>IF(B104=$B$4,"ATM","")</f>
        <v/>
      </c>
      <c r="B104">
        <v>54400</v>
      </c>
      <c r="C104">
        <f>IF(RawData!J456="","",RawData!J456)</f>
        <v>1392.35</v>
      </c>
      <c r="D104">
        <f>IF(RawData!J457="","",RawData!J457)</f>
        <v>800.65</v>
      </c>
      <c r="E104">
        <f>IF(OR(C104="",D104=""),"",C104+D104)</f>
        <v>2193</v>
      </c>
    </row>
    <row r="105" spans="1:5" x14ac:dyDescent="0.25">
      <c r="A105" t="str">
        <f>IF(B105=$B$4,"ATM","")</f>
        <v/>
      </c>
      <c r="B105">
        <v>54500</v>
      </c>
      <c r="C105">
        <f>IF(RawData!J458="","",RawData!J458)</f>
        <v>1337.2</v>
      </c>
      <c r="D105">
        <f>IF(RawData!J459="","",RawData!J459)</f>
        <v>828.2</v>
      </c>
      <c r="E105">
        <f>IF(OR(C105="",D105=""),"",C105+D105)</f>
        <v>2165.4</v>
      </c>
    </row>
    <row r="106" spans="1:5" x14ac:dyDescent="0.25">
      <c r="A106" t="str">
        <f>IF(B106=$B$4,"ATM","")</f>
        <v/>
      </c>
      <c r="B106">
        <v>54600</v>
      </c>
      <c r="C106">
        <f>IF(RawData!J460="","",RawData!J460)</f>
        <v>1275</v>
      </c>
      <c r="D106">
        <f>IF(RawData!J461="","",RawData!J461)</f>
        <v>870.3</v>
      </c>
      <c r="E106">
        <f>IF(OR(C106="",D106=""),"",C106+D106)</f>
        <v>2145.3000000000002</v>
      </c>
    </row>
    <row r="107" spans="1:5" x14ac:dyDescent="0.25">
      <c r="A107" t="str">
        <f>IF(B107=$B$4,"ATM","")</f>
        <v>ATM</v>
      </c>
      <c r="B107">
        <v>54700</v>
      </c>
      <c r="C107">
        <f>IF(RawData!J462="","",RawData!J462)</f>
        <v>1217.5</v>
      </c>
      <c r="D107">
        <f>IF(RawData!J463="","",RawData!J463)</f>
        <v>910</v>
      </c>
      <c r="E107">
        <f>IF(OR(C107="",D107=""),"",C107+D107)</f>
        <v>2127.5</v>
      </c>
    </row>
    <row r="108" spans="1:5" x14ac:dyDescent="0.25">
      <c r="A108" t="str">
        <f>IF(B108=$B$4,"ATM","")</f>
        <v/>
      </c>
      <c r="B108">
        <v>54800</v>
      </c>
      <c r="C108">
        <f>IF(RawData!J464="","",RawData!J464)</f>
        <v>1159</v>
      </c>
      <c r="D108">
        <f>IF(RawData!J465="","",RawData!J465)</f>
        <v>951.05</v>
      </c>
      <c r="E108">
        <f>IF(OR(C108="",D108=""),"",C108+D108)</f>
        <v>2110.0500000000002</v>
      </c>
    </row>
    <row r="109" spans="1:5" x14ac:dyDescent="0.25">
      <c r="A109" t="str">
        <f>IF(B109=$B$4,"ATM","")</f>
        <v/>
      </c>
      <c r="B109">
        <v>54900</v>
      </c>
      <c r="C109">
        <f>IF(RawData!J466="","",RawData!J466)</f>
        <v>1103.3</v>
      </c>
      <c r="D109">
        <f>IF(RawData!J467="","",RawData!J467)</f>
        <v>1000.5</v>
      </c>
      <c r="E109">
        <f>IF(OR(C109="",D109=""),"",C109+D109)</f>
        <v>2103.8000000000002</v>
      </c>
    </row>
    <row r="110" spans="1:5" x14ac:dyDescent="0.25">
      <c r="A110" t="str">
        <f>IF(B110=$B$4,"ATM","")</f>
        <v/>
      </c>
      <c r="B110">
        <v>55000</v>
      </c>
      <c r="C110">
        <f>IF(RawData!J468="","",RawData!J468)</f>
        <v>1046.4000000000001</v>
      </c>
      <c r="D110">
        <f>IF(RawData!J469="","",RawData!J469)</f>
        <v>1041.25</v>
      </c>
      <c r="E110">
        <f>IF(OR(C110="",D110=""),"",C110+D110)</f>
        <v>2087.65</v>
      </c>
    </row>
    <row r="111" spans="1:5" x14ac:dyDescent="0.25">
      <c r="A111" t="str">
        <f>IF(B111=$B$4,"ATM","")</f>
        <v/>
      </c>
      <c r="B111">
        <v>55100</v>
      </c>
      <c r="C111">
        <f>IF(RawData!J470="","",RawData!J470)</f>
        <v>993.35</v>
      </c>
      <c r="D111">
        <f>IF(RawData!J471="","",RawData!J471)</f>
        <v>1092.95</v>
      </c>
      <c r="E111">
        <f>IF(OR(C111="",D111=""),"",C111+D111)</f>
        <v>2086.3000000000002</v>
      </c>
    </row>
    <row r="112" spans="1:5" x14ac:dyDescent="0.25">
      <c r="A112" t="str">
        <f>IF(B112=$B$4,"ATM","")</f>
        <v/>
      </c>
      <c r="B112">
        <v>55200</v>
      </c>
      <c r="C112">
        <f>IF(RawData!J472="","",RawData!J472)</f>
        <v>944.45</v>
      </c>
      <c r="D112">
        <f>IF(RawData!J473="","",RawData!J473)</f>
        <v>1158.75</v>
      </c>
      <c r="E112">
        <f>IF(OR(C112="",D112=""),"",C112+D112)</f>
        <v>2103.1999999999998</v>
      </c>
    </row>
    <row r="113" spans="1:5" x14ac:dyDescent="0.25">
      <c r="A113" t="str">
        <f>IF(B113=$B$4,"ATM","")</f>
        <v/>
      </c>
      <c r="B113">
        <v>55300</v>
      </c>
      <c r="C113">
        <f>IF(RawData!J474="","",RawData!J474)</f>
        <v>891.45</v>
      </c>
      <c r="D113">
        <f>IF(RawData!J475="","",RawData!J475)</f>
        <v>1210</v>
      </c>
      <c r="E113">
        <f>IF(OR(C113="",D113=""),"",C113+D113)</f>
        <v>2101.4499999999998</v>
      </c>
    </row>
    <row r="114" spans="1:5" x14ac:dyDescent="0.25">
      <c r="A114" t="str">
        <f>IF(B114=$B$4,"ATM","")</f>
        <v/>
      </c>
      <c r="B114">
        <v>55400</v>
      </c>
      <c r="C114">
        <f>IF(RawData!J476="","",RawData!J476)</f>
        <v>839.2</v>
      </c>
      <c r="D114">
        <f>IF(RawData!J477="","",RawData!J477)</f>
        <v>1253.8</v>
      </c>
      <c r="E114">
        <f>IF(OR(C114="",D114=""),"",C114+D114)</f>
        <v>2093</v>
      </c>
    </row>
    <row r="115" spans="1:5" x14ac:dyDescent="0.25">
      <c r="A115" t="str">
        <f>IF(B115=$B$4,"ATM","")</f>
        <v/>
      </c>
      <c r="B115">
        <v>55500</v>
      </c>
      <c r="C115">
        <f>IF(RawData!J478="","",RawData!J478)</f>
        <v>805</v>
      </c>
      <c r="D115">
        <f>IF(RawData!J479="","",RawData!J479)</f>
        <v>1291.7</v>
      </c>
      <c r="E115">
        <f>IF(OR(C115="",D115=""),"",C115+D115)</f>
        <v>2096.6999999999998</v>
      </c>
    </row>
    <row r="116" spans="1:5" x14ac:dyDescent="0.25">
      <c r="A116" t="str">
        <f>IF(B116=$B$4,"ATM","")</f>
        <v/>
      </c>
      <c r="B116">
        <v>55600</v>
      </c>
      <c r="C116">
        <f>IF(RawData!J480="","",RawData!J480)</f>
        <v>756</v>
      </c>
      <c r="D116">
        <f>IF(RawData!J481="","",RawData!J481)</f>
        <v>1320.35</v>
      </c>
      <c r="E116">
        <f>IF(OR(C116="",D116=""),"",C116+D116)</f>
        <v>2076.35</v>
      </c>
    </row>
    <row r="117" spans="1:5" x14ac:dyDescent="0.25">
      <c r="A117" t="str">
        <f>IF(B117=$B$4,"ATM","")</f>
        <v/>
      </c>
      <c r="B117">
        <v>55700</v>
      </c>
      <c r="C117">
        <f>IF(RawData!J482="","",RawData!J482)</f>
        <v>706.55</v>
      </c>
      <c r="D117">
        <f>IF(RawData!J483="","",RawData!J483)</f>
        <v>1423.2</v>
      </c>
      <c r="E117">
        <f>IF(OR(C117="",D117=""),"",C117+D117)</f>
        <v>2129.75</v>
      </c>
    </row>
    <row r="118" spans="1:5" x14ac:dyDescent="0.25">
      <c r="A118" t="str">
        <f>IF(B118=$B$4,"ATM","")</f>
        <v/>
      </c>
      <c r="B118">
        <v>55800</v>
      </c>
      <c r="C118">
        <f>IF(RawData!J484="","",RawData!J484)</f>
        <v>676</v>
      </c>
      <c r="D118">
        <f>IF(RawData!J485="","",RawData!J485)</f>
        <v>1460.2</v>
      </c>
      <c r="E118">
        <f>IF(OR(C118="",D118=""),"",C118+D118)</f>
        <v>2136.1999999999998</v>
      </c>
    </row>
    <row r="119" spans="1:5" x14ac:dyDescent="0.25">
      <c r="A119" t="str">
        <f>IF(B119=$B$4,"ATM","")</f>
        <v/>
      </c>
      <c r="B119">
        <v>55900</v>
      </c>
      <c r="C119">
        <f>IF(RawData!J486="","",RawData!J486)</f>
        <v>635</v>
      </c>
      <c r="D119">
        <f>IF(RawData!J487="","",RawData!J487)</f>
        <v>1523.8</v>
      </c>
      <c r="E119">
        <f>IF(OR(C119="",D119=""),"",C119+D119)</f>
        <v>2158.8000000000002</v>
      </c>
    </row>
    <row r="120" spans="1:5" x14ac:dyDescent="0.25">
      <c r="A120" t="str">
        <f>IF(B120=$B$4,"ATM","")</f>
        <v/>
      </c>
      <c r="B120">
        <v>56000</v>
      </c>
      <c r="C120">
        <f>IF(RawData!J488="","",RawData!J488)</f>
        <v>600.04999999999995</v>
      </c>
      <c r="D120">
        <f>IF(RawData!J489="","",RawData!J489)</f>
        <v>1584.9</v>
      </c>
      <c r="E120">
        <f>IF(OR(C120="",D120=""),"",C120+D120)</f>
        <v>2184.9499999999998</v>
      </c>
    </row>
    <row r="121" spans="1:5" x14ac:dyDescent="0.25">
      <c r="A121" t="str">
        <f>IF(B121=$B$4,"ATM","")</f>
        <v/>
      </c>
      <c r="B121">
        <v>56100</v>
      </c>
      <c r="C121">
        <f>IF(RawData!J490="","",RawData!J490)</f>
        <v>565</v>
      </c>
      <c r="D121">
        <f>IF(RawData!J491="","",RawData!J491)</f>
        <v>1619.35</v>
      </c>
      <c r="E121">
        <f>IF(OR(C121="",D121=""),"",C121+D121)</f>
        <v>2184.35</v>
      </c>
    </row>
    <row r="122" spans="1:5" x14ac:dyDescent="0.25">
      <c r="A122" t="str">
        <f>IF(B122=$B$4,"ATM","")</f>
        <v/>
      </c>
      <c r="B122">
        <v>56200</v>
      </c>
      <c r="C122">
        <f>IF(RawData!J492="","",RawData!J492)</f>
        <v>520.65</v>
      </c>
      <c r="D122">
        <f>IF(RawData!J493="","",RawData!J493)</f>
        <v>1700.8</v>
      </c>
      <c r="E122">
        <f>IF(OR(C122="",D122=""),"",C122+D122)</f>
        <v>2221.4499999999998</v>
      </c>
    </row>
    <row r="123" spans="1:5" x14ac:dyDescent="0.25">
      <c r="A123" t="str">
        <f>IF(B123=$B$4,"ATM","")</f>
        <v/>
      </c>
      <c r="B123">
        <v>56300</v>
      </c>
      <c r="C123">
        <f>IF(RawData!J494="","",RawData!J494)</f>
        <v>496.9</v>
      </c>
      <c r="D123">
        <f>IF(RawData!J495="","",RawData!J495)</f>
        <v>1770</v>
      </c>
      <c r="E123">
        <f>IF(OR(C123="",D123=""),"",C123+D123)</f>
        <v>2266.9</v>
      </c>
    </row>
    <row r="124" spans="1:5" x14ac:dyDescent="0.25">
      <c r="A124" t="str">
        <f>IF(B124=$B$4,"ATM","")</f>
        <v/>
      </c>
      <c r="B124">
        <v>56400</v>
      </c>
      <c r="C124">
        <f>IF(RawData!J496="","",RawData!J496)</f>
        <v>467.1</v>
      </c>
      <c r="D124">
        <f>IF(RawData!J497="","",RawData!J497)</f>
        <v>2020</v>
      </c>
      <c r="E124">
        <f>IF(OR(C124="",D124=""),"",C124+D124)</f>
        <v>2487.1</v>
      </c>
    </row>
    <row r="125" spans="1:5" x14ac:dyDescent="0.25">
      <c r="A125" t="str">
        <f>IF(B125=$B$4,"ATM","")</f>
        <v/>
      </c>
      <c r="B125">
        <v>56500</v>
      </c>
      <c r="C125">
        <f>IF(RawData!J498="","",RawData!J498)</f>
        <v>438</v>
      </c>
      <c r="D125">
        <f>IF(RawData!J499="","",RawData!J499)</f>
        <v>1910.05</v>
      </c>
      <c r="E125">
        <f>IF(OR(C125="",D125=""),"",C125+D125)</f>
        <v>2348.0500000000002</v>
      </c>
    </row>
    <row r="126" spans="1:5" x14ac:dyDescent="0.25">
      <c r="A126" t="str">
        <f>IF(B126=$B$4,"ATM","")</f>
        <v/>
      </c>
      <c r="B126">
        <v>56600</v>
      </c>
      <c r="C126">
        <f>IF(RawData!J500="","",RawData!J500)</f>
        <v>414.2</v>
      </c>
      <c r="D126">
        <f>IF(RawData!J501="","",RawData!J501)</f>
        <v>2265</v>
      </c>
      <c r="E126">
        <f>IF(OR(C126="",D126=""),"",C126+D126)</f>
        <v>2679.2</v>
      </c>
    </row>
    <row r="127" spans="1:5" x14ac:dyDescent="0.25">
      <c r="A127" t="str">
        <f>IF(B127=$B$4,"ATM","")</f>
        <v/>
      </c>
      <c r="B127">
        <v>56700</v>
      </c>
      <c r="C127">
        <f>IF(RawData!J502="","",RawData!J502)</f>
        <v>384.1</v>
      </c>
      <c r="D127">
        <f>IF(RawData!J503="","",RawData!J503)</f>
        <v>2075</v>
      </c>
      <c r="E127">
        <f>IF(OR(C127="",D127=""),"",C127+D127)</f>
        <v>2459.1</v>
      </c>
    </row>
    <row r="128" spans="1:5" x14ac:dyDescent="0.25">
      <c r="A128" t="str">
        <f>IF(B128=$B$4,"ATM","")</f>
        <v/>
      </c>
      <c r="B128">
        <v>56800</v>
      </c>
      <c r="C128">
        <f>IF(RawData!J504="","",RawData!J504)</f>
        <v>352.05</v>
      </c>
      <c r="D128">
        <f>IF(RawData!J505="","",RawData!J505)</f>
        <v>2100</v>
      </c>
      <c r="E128">
        <f>IF(OR(C128="",D128=""),"",C128+D128)</f>
        <v>2452.0500000000002</v>
      </c>
    </row>
    <row r="129" spans="1:5" x14ac:dyDescent="0.25">
      <c r="A129" t="str">
        <f>IF(B129=$B$4,"ATM","")</f>
        <v/>
      </c>
      <c r="B129">
        <v>56900</v>
      </c>
      <c r="C129">
        <f>IF(RawData!J506="","",RawData!J506)</f>
        <v>333.35</v>
      </c>
      <c r="D129">
        <f>IF(RawData!J507="","",RawData!J507)</f>
        <v>2165</v>
      </c>
      <c r="E129">
        <f>IF(OR(C129="",D129=""),"",C129+D129)</f>
        <v>2498.35</v>
      </c>
    </row>
    <row r="130" spans="1:5" x14ac:dyDescent="0.25">
      <c r="A130" t="str">
        <f>IF(B130=$B$4,"ATM","")</f>
        <v/>
      </c>
      <c r="B130">
        <v>57000</v>
      </c>
      <c r="C130">
        <f>IF(RawData!J508="","",RawData!J508)</f>
        <v>314.60000000000002</v>
      </c>
      <c r="D130">
        <f>IF(RawData!J509="","",RawData!J509)</f>
        <v>2320</v>
      </c>
      <c r="E130">
        <f>IF(OR(C130="",D130=""),"",C130+D130)</f>
        <v>2634.6</v>
      </c>
    </row>
    <row r="131" spans="1:5" x14ac:dyDescent="0.25">
      <c r="A131" t="str">
        <f>IF(B131=$B$4,"ATM","")</f>
        <v/>
      </c>
      <c r="B131">
        <v>57100</v>
      </c>
      <c r="C131">
        <f>IF(RawData!J510="","",RawData!J510)</f>
        <v>287.55</v>
      </c>
      <c r="D131">
        <f>IF(RawData!J511="","",RawData!J511)</f>
        <v>2550</v>
      </c>
      <c r="E131">
        <f>IF(OR(C131="",D131=""),"",C131+D131)</f>
        <v>2837.55</v>
      </c>
    </row>
    <row r="132" spans="1:5" x14ac:dyDescent="0.25">
      <c r="A132" t="str">
        <f>IF(B132=$B$4,"ATM","")</f>
        <v/>
      </c>
      <c r="B132">
        <v>57200</v>
      </c>
      <c r="C132">
        <f>IF(RawData!J512="","",RawData!J512)</f>
        <v>269.2</v>
      </c>
      <c r="D132">
        <f>IF(RawData!J513="","",RawData!J513)</f>
        <v>2900</v>
      </c>
      <c r="E132">
        <f>IF(OR(C132="",D132=""),"",C132+D132)</f>
        <v>3169.2</v>
      </c>
    </row>
    <row r="133" spans="1:5" x14ac:dyDescent="0.25">
      <c r="A133" t="str">
        <f>IF(B133=$B$4,"ATM","")</f>
        <v/>
      </c>
      <c r="B133">
        <v>57300</v>
      </c>
      <c r="C133">
        <f>IF(RawData!J514="","",RawData!J514)</f>
        <v>250.25</v>
      </c>
      <c r="D133">
        <f>IF(RawData!J515="","",RawData!J515)</f>
        <v>2500.4499999999998</v>
      </c>
      <c r="E133">
        <f>IF(OR(C133="",D133=""),"",C133+D133)</f>
        <v>2750.7</v>
      </c>
    </row>
    <row r="134" spans="1:5" x14ac:dyDescent="0.25">
      <c r="A134" t="str">
        <f>IF(B134=$B$4,"ATM","")</f>
        <v/>
      </c>
      <c r="B134">
        <v>57400</v>
      </c>
      <c r="C134">
        <f>IF(RawData!J516="","",RawData!J516)</f>
        <v>238.05</v>
      </c>
      <c r="D134">
        <f>IF(RawData!J517="","",RawData!J517)</f>
        <v>2829.25</v>
      </c>
      <c r="E134">
        <f>IF(OR(C134="",D134=""),"",C134+D134)</f>
        <v>3067.3</v>
      </c>
    </row>
    <row r="135" spans="1:5" x14ac:dyDescent="0.25">
      <c r="A135" t="str">
        <f>IF(B135=$B$4,"ATM","")</f>
        <v/>
      </c>
      <c r="B135">
        <v>57500</v>
      </c>
      <c r="C135">
        <f>IF(RawData!J518="","",RawData!J518)</f>
        <v>222.4</v>
      </c>
      <c r="D135">
        <f>IF(RawData!J519="","",RawData!J519)</f>
        <v>2679</v>
      </c>
      <c r="E135">
        <f>IF(OR(C135="",D135=""),"",C135+D135)</f>
        <v>2901.4</v>
      </c>
    </row>
    <row r="136" spans="1:5" x14ac:dyDescent="0.25">
      <c r="A136" t="str">
        <f>IF(B136=$B$4,"ATM","")</f>
        <v/>
      </c>
      <c r="B136">
        <v>57600</v>
      </c>
      <c r="C136">
        <f>IF(RawData!J520="","",RawData!J520)</f>
        <v>205.05</v>
      </c>
      <c r="D136">
        <f>IF(RawData!J521="","",RawData!J521)</f>
        <v>2705</v>
      </c>
      <c r="E136">
        <f>IF(OR(C136="",D136=""),"",C136+D136)</f>
        <v>2910.05</v>
      </c>
    </row>
    <row r="137" spans="1:5" x14ac:dyDescent="0.25">
      <c r="A137" t="str">
        <f>IF(B137=$B$4,"ATM","")</f>
        <v/>
      </c>
      <c r="B137">
        <v>57700</v>
      </c>
      <c r="C137">
        <f>IF(RawData!J522="","",RawData!J522)</f>
        <v>193.15</v>
      </c>
      <c r="D137">
        <f>IF(RawData!J523="","",RawData!J523)</f>
        <v>2826.1</v>
      </c>
      <c r="E137">
        <f>IF(OR(C137="",D137=""),"",C137+D137)</f>
        <v>3019.25</v>
      </c>
    </row>
    <row r="138" spans="1:5" x14ac:dyDescent="0.25">
      <c r="A138" t="str">
        <f>IF(B138=$B$4,"ATM","")</f>
        <v/>
      </c>
      <c r="B138">
        <v>57800</v>
      </c>
      <c r="C138">
        <f>IF(RawData!J524="","",RawData!J524)</f>
        <v>180</v>
      </c>
      <c r="D138">
        <f>IF(RawData!J525="","",RawData!J525)</f>
        <v>3072.15</v>
      </c>
      <c r="E138">
        <f>IF(OR(C138="",D138=""),"",C138+D138)</f>
        <v>3252.15</v>
      </c>
    </row>
    <row r="139" spans="1:5" x14ac:dyDescent="0.25">
      <c r="A139" t="str">
        <f>IF(B139=$B$4,"ATM","")</f>
        <v/>
      </c>
      <c r="B139">
        <v>57900</v>
      </c>
      <c r="C139">
        <f>IF(RawData!J526="","",RawData!J526)</f>
        <v>167.3</v>
      </c>
      <c r="D139">
        <f>IF(RawData!J527="","",RawData!J527)</f>
        <v>2860.35</v>
      </c>
      <c r="E139">
        <f>IF(OR(C139="",D139=""),"",C139+D139)</f>
        <v>3027.65</v>
      </c>
    </row>
    <row r="140" spans="1:5" x14ac:dyDescent="0.25">
      <c r="A140" t="str">
        <f>IF(B140=$B$4,"ATM","")</f>
        <v/>
      </c>
      <c r="B140">
        <v>58000</v>
      </c>
      <c r="C140">
        <f>IF(RawData!J528="","",RawData!J528)</f>
        <v>156.35</v>
      </c>
      <c r="D140">
        <f>IF(RawData!J529="","",RawData!J529)</f>
        <v>3100</v>
      </c>
      <c r="E140">
        <f>IF(OR(C140="",D140=""),"",C140+D140)</f>
        <v>3256.35</v>
      </c>
    </row>
    <row r="141" spans="1:5" x14ac:dyDescent="0.25">
      <c r="A141" t="str">
        <f>IF(B141=$B$4,"ATM","")</f>
        <v/>
      </c>
      <c r="B141">
        <v>58100</v>
      </c>
      <c r="C141">
        <f>IF(RawData!J530="","",RawData!J530)</f>
        <v>146.69999999999999</v>
      </c>
      <c r="D141">
        <f>IF(RawData!J531="","",RawData!J531)</f>
        <v>3697.9</v>
      </c>
      <c r="E141">
        <f>IF(OR(C141="",D141=""),"",C141+D141)</f>
        <v>3844.6</v>
      </c>
    </row>
    <row r="142" spans="1:5" x14ac:dyDescent="0.25">
      <c r="A142" t="str">
        <f>IF(B142=$B$4,"ATM","")</f>
        <v/>
      </c>
      <c r="B142">
        <v>58200</v>
      </c>
      <c r="C142">
        <f>IF(RawData!J532="","",RawData!J532)</f>
        <v>135.5</v>
      </c>
      <c r="D142">
        <f>IF(RawData!J533="","",RawData!J533)</f>
        <v>3647.1</v>
      </c>
      <c r="E142">
        <f>IF(OR(C142="",D142=""),"",C142+D142)</f>
        <v>3782.6</v>
      </c>
    </row>
    <row r="143" spans="1:5" x14ac:dyDescent="0.25">
      <c r="A143" t="str">
        <f>IF(B143=$B$4,"ATM","")</f>
        <v/>
      </c>
      <c r="B143">
        <v>58300</v>
      </c>
      <c r="C143">
        <f>IF(RawData!J534="","",RawData!J534)</f>
        <v>127.95</v>
      </c>
      <c r="D143">
        <f>IF(RawData!J535="","",RawData!J535)</f>
        <v>3736.2</v>
      </c>
      <c r="E143">
        <f>IF(OR(C143="",D143=""),"",C143+D143)</f>
        <v>3864.1499999999996</v>
      </c>
    </row>
    <row r="144" spans="1:5" x14ac:dyDescent="0.25">
      <c r="A144" t="str">
        <f>IF(B144=$B$4,"ATM","")</f>
        <v/>
      </c>
      <c r="B144">
        <v>58400</v>
      </c>
      <c r="C144">
        <f>IF(RawData!J536="","",RawData!J536)</f>
        <v>115.35</v>
      </c>
      <c r="D144">
        <f>IF(RawData!J537="","",RawData!J537)</f>
        <v>3784.65</v>
      </c>
      <c r="E144">
        <f>IF(OR(C144="",D144=""),"",C144+D144)</f>
        <v>3900</v>
      </c>
    </row>
    <row r="145" spans="1:5" x14ac:dyDescent="0.25">
      <c r="A145" t="str">
        <f>IF(B145=$B$4,"ATM","")</f>
        <v/>
      </c>
      <c r="B145">
        <v>58500</v>
      </c>
      <c r="C145">
        <f>IF(RawData!J538="","",RawData!J538)</f>
        <v>108.95</v>
      </c>
      <c r="D145">
        <f>IF(RawData!J539="","",RawData!J539)</f>
        <v>4045.35</v>
      </c>
      <c r="E145">
        <f>IF(OR(C145="",D145=""),"",C145+D145)</f>
        <v>4154.3</v>
      </c>
    </row>
    <row r="146" spans="1:5" x14ac:dyDescent="0.25">
      <c r="A146" t="str">
        <f>IF(B146=$B$4,"ATM","")</f>
        <v/>
      </c>
      <c r="B146">
        <v>58600</v>
      </c>
      <c r="C146">
        <f>IF(RawData!J540="","",RawData!J540)</f>
        <v>103.4</v>
      </c>
      <c r="D146">
        <f>IF(RawData!J541="","",RawData!J541)</f>
        <v>3866.85</v>
      </c>
      <c r="E146">
        <f>IF(OR(C146="",D146=""),"",C146+D146)</f>
        <v>3970.25</v>
      </c>
    </row>
    <row r="147" spans="1:5" x14ac:dyDescent="0.25">
      <c r="A147" t="str">
        <f>IF(B147=$B$4,"ATM","")</f>
        <v/>
      </c>
      <c r="B147">
        <v>58700</v>
      </c>
      <c r="C147">
        <f>IF(RawData!J542="","",RawData!J542)</f>
        <v>96.3</v>
      </c>
      <c r="D147">
        <f>IF(RawData!J543="","",RawData!J543)</f>
        <v>3970.85</v>
      </c>
      <c r="E147">
        <f>IF(OR(C147="",D147=""),"",C147+D147)</f>
        <v>4067.15</v>
      </c>
    </row>
    <row r="148" spans="1:5" x14ac:dyDescent="0.25">
      <c r="A148" t="str">
        <f>IF(B148=$B$4,"ATM","")</f>
        <v/>
      </c>
      <c r="B148">
        <v>58800</v>
      </c>
      <c r="C148">
        <f>IF(RawData!J544="","",RawData!J544)</f>
        <v>89.95</v>
      </c>
      <c r="D148">
        <f>IF(RawData!J545="","",RawData!J545)</f>
        <v>4027.15</v>
      </c>
      <c r="E148">
        <f>IF(OR(C148="",D148=""),"",C148+D148)</f>
        <v>4117.1000000000004</v>
      </c>
    </row>
    <row r="149" spans="1:5" x14ac:dyDescent="0.25">
      <c r="A149" t="str">
        <f>IF(B149=$B$4,"ATM","")</f>
        <v/>
      </c>
      <c r="B149">
        <v>58900</v>
      </c>
      <c r="C149">
        <f>IF(RawData!J546="","",RawData!J546)</f>
        <v>82.3</v>
      </c>
      <c r="D149">
        <f>IF(RawData!J547="","",RawData!J547)</f>
        <v>3573.9</v>
      </c>
      <c r="E149">
        <f>IF(OR(C149="",D149=""),"",C149+D149)</f>
        <v>3656.2000000000003</v>
      </c>
    </row>
    <row r="150" spans="1:5" x14ac:dyDescent="0.25">
      <c r="A150" t="str">
        <f>IF(B150=$B$4,"ATM","")</f>
        <v/>
      </c>
      <c r="B150">
        <v>59000</v>
      </c>
      <c r="C150">
        <f>IF(RawData!J548="","",RawData!J548)</f>
        <v>78</v>
      </c>
      <c r="D150">
        <f>IF(RawData!J549="","",RawData!J549)</f>
        <v>4035.2</v>
      </c>
      <c r="E150">
        <f>IF(OR(C150="",D150=""),"",C150+D150)</f>
        <v>4113.2</v>
      </c>
    </row>
    <row r="151" spans="1:5" x14ac:dyDescent="0.25">
      <c r="A151" t="str">
        <f>IF(B151=$B$4,"ATM","")</f>
        <v/>
      </c>
      <c r="B151">
        <v>59100</v>
      </c>
      <c r="C151">
        <f>IF(RawData!J550="","",RawData!J550)</f>
        <v>74</v>
      </c>
      <c r="D151">
        <f>IF(RawData!J551="","",RawData!J551)</f>
        <v>3746.65</v>
      </c>
      <c r="E151">
        <f>IF(OR(C151="",D151=""),"",C151+D151)</f>
        <v>3820.65</v>
      </c>
    </row>
    <row r="152" spans="1:5" x14ac:dyDescent="0.25">
      <c r="A152" t="str">
        <f>IF(B152=$B$4,"ATM","")</f>
        <v/>
      </c>
      <c r="B152">
        <v>59200</v>
      </c>
      <c r="C152">
        <f>IF(RawData!J552="","",RawData!J552)</f>
        <v>67.5</v>
      </c>
      <c r="D152">
        <f>IF(RawData!J553="","",RawData!J553)</f>
        <v>3723.05</v>
      </c>
      <c r="E152">
        <f>IF(OR(C152="",D152=""),"",C152+D152)</f>
        <v>3790.55</v>
      </c>
    </row>
    <row r="153" spans="1:5" x14ac:dyDescent="0.25">
      <c r="A153" t="str">
        <f>IF(B153=$B$4,"ATM","")</f>
        <v/>
      </c>
      <c r="B153">
        <v>59300</v>
      </c>
      <c r="C153">
        <f>IF(RawData!J554="","",RawData!J554)</f>
        <v>63</v>
      </c>
      <c r="D153">
        <f>IF(RawData!J555="","",RawData!J555)</f>
        <v>3164.65</v>
      </c>
      <c r="E153">
        <f>IF(OR(C153="",D153=""),"",C153+D153)</f>
        <v>3227.65</v>
      </c>
    </row>
    <row r="154" spans="1:5" x14ac:dyDescent="0.25">
      <c r="A154" t="str">
        <f>IF(B154=$B$4,"ATM","")</f>
        <v/>
      </c>
      <c r="B154">
        <v>59400</v>
      </c>
      <c r="C154">
        <f>IF(RawData!J556="","",RawData!J556)</f>
        <v>59.45</v>
      </c>
      <c r="D154">
        <f>IF(RawData!J557="","",RawData!J557)</f>
        <v>4259.75</v>
      </c>
      <c r="E154">
        <f>IF(OR(C154="",D154=""),"",C154+D154)</f>
        <v>4319.2</v>
      </c>
    </row>
    <row r="155" spans="1:5" x14ac:dyDescent="0.25">
      <c r="A155" t="str">
        <f>IF(B155=$B$4,"ATM","")</f>
        <v/>
      </c>
      <c r="B155">
        <v>59500</v>
      </c>
      <c r="C155">
        <f>IF(RawData!J558="","",RawData!J558)</f>
        <v>55</v>
      </c>
      <c r="D155">
        <f>IF(RawData!J559="","",RawData!J559)</f>
        <v>5037</v>
      </c>
      <c r="E155">
        <f>IF(OR(C155="",D155=""),"",C155+D155)</f>
        <v>5092</v>
      </c>
    </row>
    <row r="156" spans="1:5" x14ac:dyDescent="0.25">
      <c r="A156" t="str">
        <f>IF(B156=$B$4,"ATM","")</f>
        <v/>
      </c>
      <c r="B156">
        <v>59600</v>
      </c>
      <c r="C156">
        <f>IF(RawData!J560="","",RawData!J560)</f>
        <v>51.7</v>
      </c>
      <c r="D156">
        <f>IF(RawData!J561="","",RawData!J561)</f>
        <v>3627.55</v>
      </c>
      <c r="E156">
        <f>IF(OR(C156="",D156=""),"",C156+D156)</f>
        <v>3679.25</v>
      </c>
    </row>
    <row r="157" spans="1:5" x14ac:dyDescent="0.25">
      <c r="A157" t="str">
        <f>IF(B157=$B$4,"ATM","")</f>
        <v/>
      </c>
      <c r="B157">
        <v>59700</v>
      </c>
      <c r="C157">
        <f>IF(RawData!J562="","",RawData!J562)</f>
        <v>48.85</v>
      </c>
      <c r="D157">
        <f>IF(RawData!J563="","",RawData!J563)</f>
        <v>3620</v>
      </c>
      <c r="E157">
        <f>IF(OR(C157="",D157=""),"",C157+D157)</f>
        <v>3668.85</v>
      </c>
    </row>
    <row r="158" spans="1:5" x14ac:dyDescent="0.25">
      <c r="A158" t="str">
        <f>IF(B158=$B$4,"ATM","")</f>
        <v/>
      </c>
      <c r="B158">
        <v>59800</v>
      </c>
      <c r="C158">
        <f>IF(RawData!J564="","",RawData!J564)</f>
        <v>44.55</v>
      </c>
      <c r="D158">
        <f>IF(RawData!J565="","",RawData!J565)</f>
        <v>3280</v>
      </c>
      <c r="E158">
        <f>IF(OR(C158="",D158=""),"",C158+D158)</f>
        <v>3324.55</v>
      </c>
    </row>
    <row r="159" spans="1:5" x14ac:dyDescent="0.25">
      <c r="A159" t="str">
        <f>IF(B159=$B$4,"ATM","")</f>
        <v/>
      </c>
      <c r="B159">
        <v>59900</v>
      </c>
      <c r="C159">
        <f>IF(RawData!J566="","",RawData!J566)</f>
        <v>42.5</v>
      </c>
      <c r="D159">
        <f>IF(RawData!J567="","",RawData!J567)</f>
        <v>3649.85</v>
      </c>
      <c r="E159">
        <f>IF(OR(C159="",D159=""),"",C159+D159)</f>
        <v>3692.35</v>
      </c>
    </row>
    <row r="160" spans="1:5" x14ac:dyDescent="0.25">
      <c r="A160" t="str">
        <f>IF(B160=$B$4,"ATM","")</f>
        <v/>
      </c>
      <c r="B160">
        <v>60000</v>
      </c>
      <c r="C160">
        <f>IF(RawData!J568="","",RawData!J568)</f>
        <v>39.6</v>
      </c>
      <c r="D160">
        <f>IF(RawData!J569="","",RawData!J569)</f>
        <v>4965</v>
      </c>
      <c r="E160">
        <f>IF(OR(C160="",D160=""),"",C160+D160)</f>
        <v>5004.6000000000004</v>
      </c>
    </row>
    <row r="161" spans="1:5" x14ac:dyDescent="0.25">
      <c r="A161" t="str">
        <f>IF(B161=$B$4,"ATM","")</f>
        <v/>
      </c>
      <c r="B161">
        <v>60100</v>
      </c>
      <c r="C161">
        <f>IF(RawData!J570="","",RawData!J570)</f>
        <v>37.950000000000003</v>
      </c>
      <c r="D161">
        <f>IF(RawData!J571="","",RawData!J571)</f>
        <v>4892.5</v>
      </c>
      <c r="E161">
        <f>IF(OR(C161="",D161=""),"",C161+D161)</f>
        <v>4930.45</v>
      </c>
    </row>
    <row r="162" spans="1:5" x14ac:dyDescent="0.25">
      <c r="A162" t="str">
        <f>IF(B162=$B$4,"ATM","")</f>
        <v/>
      </c>
      <c r="B162">
        <v>60200</v>
      </c>
      <c r="C162">
        <f>IF(RawData!J572="","",RawData!J572)</f>
        <v>36.25</v>
      </c>
      <c r="D162">
        <f>IF(RawData!J573="","",RawData!J573)</f>
        <v>4220</v>
      </c>
      <c r="E162">
        <f>IF(OR(C162="",D162=""),"",C162+D162)</f>
        <v>4256.25</v>
      </c>
    </row>
    <row r="163" spans="1:5" x14ac:dyDescent="0.25">
      <c r="A163" t="str">
        <f>IF(B163=$B$4,"ATM","")</f>
        <v/>
      </c>
      <c r="B163">
        <v>60300</v>
      </c>
      <c r="C163">
        <f>IF(RawData!J574="","",RawData!J574)</f>
        <v>32.65</v>
      </c>
      <c r="D163">
        <f>IF(RawData!J575="","",RawData!J575)</f>
        <v>3930.55</v>
      </c>
      <c r="E163">
        <f>IF(OR(C163="",D163=""),"",C163+D163)</f>
        <v>3963.2000000000003</v>
      </c>
    </row>
    <row r="164" spans="1:5" x14ac:dyDescent="0.25">
      <c r="A164" t="str">
        <f>IF(B164=$B$4,"ATM","")</f>
        <v/>
      </c>
      <c r="B164">
        <v>60400</v>
      </c>
      <c r="C164">
        <f>IF(RawData!J576="","",RawData!J576)</f>
        <v>31.5</v>
      </c>
      <c r="D164">
        <f>IF(RawData!J577="","",RawData!J577)</f>
        <v>4130</v>
      </c>
      <c r="E164">
        <f>IF(OR(C164="",D164=""),"",C164+D164)</f>
        <v>4161.5</v>
      </c>
    </row>
    <row r="165" spans="1:5" x14ac:dyDescent="0.25">
      <c r="A165" t="str">
        <f>IF(B165=$B$4,"ATM","")</f>
        <v/>
      </c>
      <c r="B165">
        <v>60500</v>
      </c>
      <c r="C165">
        <f>IF(RawData!J578="","",RawData!J578)</f>
        <v>28.8</v>
      </c>
      <c r="D165">
        <f>IF(RawData!J579="","",RawData!J579)</f>
        <v>5342.75</v>
      </c>
      <c r="E165">
        <f>IF(OR(C165="",D165=""),"",C165+D165)</f>
        <v>5371.55</v>
      </c>
    </row>
    <row r="166" spans="1:5" x14ac:dyDescent="0.25">
      <c r="A166" t="str">
        <f>IF(B166=$B$4,"ATM","")</f>
        <v/>
      </c>
      <c r="B166">
        <v>60600</v>
      </c>
      <c r="C166">
        <f>IF(RawData!J580="","",RawData!J580)</f>
        <v>28</v>
      </c>
      <c r="D166">
        <f>IF(RawData!J581="","",RawData!J581)</f>
        <v>5117.6000000000004</v>
      </c>
      <c r="E166">
        <f>IF(OR(C166="",D166=""),"",C166+D166)</f>
        <v>5145.6000000000004</v>
      </c>
    </row>
    <row r="167" spans="1:5" x14ac:dyDescent="0.25">
      <c r="A167" t="str">
        <f>IF(B167=$B$4,"ATM","")</f>
        <v/>
      </c>
      <c r="B167">
        <v>60700</v>
      </c>
      <c r="C167">
        <f>IF(RawData!J582="","",RawData!J582)</f>
        <v>27.1</v>
      </c>
      <c r="D167">
        <f>IF(RawData!J583="","",RawData!J583)</f>
        <v>4710.3999999999996</v>
      </c>
      <c r="E167">
        <f>IF(OR(C167="",D167=""),"",C167+D167)</f>
        <v>4737.5</v>
      </c>
    </row>
    <row r="168" spans="1:5" x14ac:dyDescent="0.25">
      <c r="A168" t="str">
        <f>IF(B168=$B$4,"ATM","")</f>
        <v/>
      </c>
      <c r="B168">
        <v>60800</v>
      </c>
      <c r="C168">
        <f>IF(RawData!J584="","",RawData!J584)</f>
        <v>25.1</v>
      </c>
      <c r="D168">
        <f>IF(RawData!J585="","",RawData!J585)</f>
        <v>6000</v>
      </c>
      <c r="E168">
        <f>IF(OR(C168="",D168=""),"",C168+D168)</f>
        <v>6025.1</v>
      </c>
    </row>
    <row r="169" spans="1:5" x14ac:dyDescent="0.25">
      <c r="A169" t="str">
        <f>IF(B169=$B$4,"ATM","")</f>
        <v/>
      </c>
      <c r="B169">
        <v>60900</v>
      </c>
      <c r="C169">
        <f>IF(RawData!J586="","",RawData!J586)</f>
        <v>22.85</v>
      </c>
      <c r="D169">
        <f>IF(RawData!J587="","",RawData!J587)</f>
        <v>7396.6</v>
      </c>
      <c r="E169">
        <f>IF(OR(C169="",D169=""),"",C169+D169)</f>
        <v>7419.4500000000007</v>
      </c>
    </row>
    <row r="170" spans="1:5" x14ac:dyDescent="0.25">
      <c r="A170" t="str">
        <f>IF(B170=$B$4,"ATM","")</f>
        <v/>
      </c>
      <c r="B170">
        <v>61000</v>
      </c>
      <c r="C170">
        <f>IF(RawData!J588="","",RawData!J588)</f>
        <v>21.55</v>
      </c>
      <c r="D170">
        <f>IF(RawData!J589="","",RawData!J589)</f>
        <v>5901.35</v>
      </c>
      <c r="E170">
        <f>IF(OR(C170="",D170=""),"",C170+D170)</f>
        <v>5922.9000000000005</v>
      </c>
    </row>
    <row r="171" spans="1:5" x14ac:dyDescent="0.25">
      <c r="A171" t="str">
        <f>IF(B171=$B$4,"ATM","")</f>
        <v/>
      </c>
      <c r="B171">
        <v>61100</v>
      </c>
      <c r="C171">
        <f>IF(RawData!J590="","",RawData!J590)</f>
        <v>21.65</v>
      </c>
      <c r="D171">
        <f>IF(RawData!J591="","",RawData!J591)</f>
        <v>8733.6</v>
      </c>
      <c r="E171">
        <f>IF(OR(C171="",D171=""),"",C171+D171)</f>
        <v>8755.25</v>
      </c>
    </row>
    <row r="172" spans="1:5" x14ac:dyDescent="0.25">
      <c r="A172" t="str">
        <f>IF(B172=$B$4,"ATM","")</f>
        <v/>
      </c>
      <c r="B172">
        <v>61200</v>
      </c>
      <c r="C172">
        <f>IF(RawData!J592="","",RawData!J592)</f>
        <v>20.25</v>
      </c>
      <c r="D172">
        <f>IF(RawData!J593="","",RawData!J593)</f>
        <v>8804.9</v>
      </c>
      <c r="E172">
        <f>IF(OR(C172="",D172=""),"",C172+D172)</f>
        <v>8825.15</v>
      </c>
    </row>
    <row r="173" spans="1:5" x14ac:dyDescent="0.25">
      <c r="A173" t="str">
        <f>IF(B173=$B$4,"ATM","")</f>
        <v/>
      </c>
      <c r="B173">
        <v>61300</v>
      </c>
      <c r="C173">
        <f>IF(RawData!J594="","",RawData!J594)</f>
        <v>19.45</v>
      </c>
      <c r="D173">
        <f>IF(RawData!J595="","",RawData!J595)</f>
        <v>3600</v>
      </c>
      <c r="E173">
        <f>IF(OR(C173="",D173=""),"",C173+D173)</f>
        <v>3619.45</v>
      </c>
    </row>
    <row r="174" spans="1:5" x14ac:dyDescent="0.25">
      <c r="A174" t="str">
        <f>IF(B174=$B$4,"ATM","")</f>
        <v/>
      </c>
      <c r="B174">
        <v>61400</v>
      </c>
      <c r="C174">
        <f>IF(RawData!J596="","",RawData!J596)</f>
        <v>18.05</v>
      </c>
      <c r="D174">
        <f>IF(RawData!J597="","",RawData!J597)</f>
        <v>6667.6</v>
      </c>
      <c r="E174">
        <f>IF(OR(C174="",D174=""),"",C174+D174)</f>
        <v>6685.6500000000005</v>
      </c>
    </row>
    <row r="175" spans="1:5" x14ac:dyDescent="0.25">
      <c r="A175" t="str">
        <f>IF(B175=$B$4,"ATM","")</f>
        <v/>
      </c>
      <c r="B175">
        <v>61500</v>
      </c>
      <c r="C175">
        <f>IF(RawData!J598="","",RawData!J598)</f>
        <v>16.649999999999999</v>
      </c>
      <c r="D175">
        <f>IF(RawData!J599="","",RawData!J599)</f>
        <v>6320.75</v>
      </c>
      <c r="E175">
        <f>IF(OR(C175="",D175=""),"",C175+D175)</f>
        <v>6337.4</v>
      </c>
    </row>
    <row r="176" spans="1:5" x14ac:dyDescent="0.25">
      <c r="A176" t="str">
        <f>IF(B176=$B$4,"ATM","")</f>
        <v/>
      </c>
      <c r="B176">
        <v>61600</v>
      </c>
      <c r="C176">
        <f>IF(RawData!J600="","",RawData!J600)</f>
        <v>15.5</v>
      </c>
      <c r="D176">
        <f>IF(RawData!J601="","",RawData!J601)</f>
        <v>6857.3</v>
      </c>
      <c r="E176">
        <f>IF(OR(C176="",D176=""),"",C176+D176)</f>
        <v>6872.8</v>
      </c>
    </row>
    <row r="177" spans="1:5" x14ac:dyDescent="0.25">
      <c r="A177" t="str">
        <f>IF(B177=$B$4,"ATM","")</f>
        <v/>
      </c>
      <c r="B177">
        <v>61700</v>
      </c>
      <c r="C177">
        <f>IF(RawData!J602="","",RawData!J602)</f>
        <v>15.2</v>
      </c>
      <c r="D177">
        <f>IF(RawData!J603="","",RawData!J603)</f>
        <v>6951.45</v>
      </c>
      <c r="E177">
        <f>IF(OR(C177="",D177=""),"",C177+D177)</f>
        <v>6966.65</v>
      </c>
    </row>
    <row r="178" spans="1:5" x14ac:dyDescent="0.25">
      <c r="A178" t="str">
        <f>IF(B178=$B$4,"ATM","")</f>
        <v/>
      </c>
      <c r="B178">
        <v>61800</v>
      </c>
      <c r="C178">
        <f>IF(RawData!J604="","",RawData!J604)</f>
        <v>14.35</v>
      </c>
      <c r="D178">
        <f>IF(RawData!J605="","",RawData!J605)</f>
        <v>7051</v>
      </c>
      <c r="E178">
        <f>IF(OR(C178="",D178=""),"",C178+D178)</f>
        <v>7065.35</v>
      </c>
    </row>
    <row r="179" spans="1:5" x14ac:dyDescent="0.25">
      <c r="A179" t="str">
        <f>IF(B179=$B$4,"ATM","")</f>
        <v/>
      </c>
      <c r="B179">
        <v>61900</v>
      </c>
      <c r="C179">
        <f>IF(RawData!J606="","",RawData!J606)</f>
        <v>14.45</v>
      </c>
      <c r="D179">
        <f>IF(RawData!J607="","",RawData!J607)</f>
        <v>7146.4</v>
      </c>
      <c r="E179">
        <f>IF(OR(C179="",D179=""),"",C179+D179)</f>
        <v>7160.8499999999995</v>
      </c>
    </row>
    <row r="180" spans="1:5" x14ac:dyDescent="0.25">
      <c r="A180" t="str">
        <f>IF(B180=$B$4,"ATM","")</f>
        <v/>
      </c>
      <c r="B180">
        <v>62000</v>
      </c>
      <c r="C180">
        <f>IF(RawData!J608="","",RawData!J608)</f>
        <v>13.6</v>
      </c>
      <c r="D180">
        <f>IF(RawData!J609="","",RawData!J609)</f>
        <v>6924</v>
      </c>
      <c r="E180">
        <f>IF(OR(C180="",D180=""),"",C180+D180)</f>
        <v>6937.6</v>
      </c>
    </row>
    <row r="181" spans="1:5" x14ac:dyDescent="0.25">
      <c r="A181" t="str">
        <f>IF(B181=$B$4,"ATM","")</f>
        <v/>
      </c>
      <c r="B181">
        <v>62100</v>
      </c>
      <c r="C181">
        <f>IF(RawData!J610="","",RawData!J610)</f>
        <v>13.8</v>
      </c>
      <c r="D181">
        <f>IF(RawData!J611="","",RawData!J611)</f>
        <v>7339.75</v>
      </c>
      <c r="E181">
        <f>IF(OR(C181="",D181=""),"",C181+D181)</f>
        <v>7353.55</v>
      </c>
    </row>
    <row r="182" spans="1:5" x14ac:dyDescent="0.25">
      <c r="A182" t="str">
        <f>IF(B182=$B$4,"ATM","")</f>
        <v/>
      </c>
      <c r="B182">
        <v>62200</v>
      </c>
      <c r="C182">
        <f>IF(RawData!J612="","",RawData!J612)</f>
        <v>12.7</v>
      </c>
      <c r="D182">
        <f>IF(RawData!J613="","",RawData!J613)</f>
        <v>7439.85</v>
      </c>
      <c r="E182">
        <f>IF(OR(C182="",D182=""),"",C182+D182)</f>
        <v>7452.55</v>
      </c>
    </row>
    <row r="183" spans="1:5" x14ac:dyDescent="0.25">
      <c r="A183" t="str">
        <f>IF(B183=$B$4,"ATM","")</f>
        <v/>
      </c>
      <c r="B183">
        <v>62300</v>
      </c>
      <c r="C183">
        <f>IF(RawData!J614="","",RawData!J614)</f>
        <v>12.4</v>
      </c>
      <c r="D183">
        <f>IF(RawData!J615="","",RawData!J615)</f>
        <v>7536.9</v>
      </c>
      <c r="E183">
        <f>IF(OR(C183="",D183=""),"",C183+D183)</f>
        <v>7549.2999999999993</v>
      </c>
    </row>
    <row r="184" spans="1:5" x14ac:dyDescent="0.25">
      <c r="A184" t="str">
        <f>IF(B184=$B$4,"ATM","")</f>
        <v/>
      </c>
      <c r="B184">
        <v>62400</v>
      </c>
      <c r="C184">
        <f>IF(RawData!J616="","",RawData!J616)</f>
        <v>11.8</v>
      </c>
      <c r="D184">
        <f>IF(RawData!J617="","",RawData!J617)</f>
        <v>7634.05</v>
      </c>
      <c r="E184">
        <f>IF(OR(C184="",D184=""),"",C184+D184)</f>
        <v>7645.85</v>
      </c>
    </row>
    <row r="185" spans="1:5" x14ac:dyDescent="0.25">
      <c r="A185" t="str">
        <f>IF(B185=$B$4,"ATM","")</f>
        <v/>
      </c>
      <c r="B185">
        <v>62500</v>
      </c>
      <c r="C185">
        <f>IF(RawData!J618="","",RawData!J618)</f>
        <v>10.85</v>
      </c>
      <c r="D185">
        <f>IF(RawData!J619="","",RawData!J619)</f>
        <v>8000</v>
      </c>
      <c r="E185">
        <f>IF(OR(C185="",D185=""),"",C185+D185)</f>
        <v>8010.85</v>
      </c>
    </row>
    <row r="186" spans="1:5" x14ac:dyDescent="0.25">
      <c r="A186" t="str">
        <f>IF(B186=$B$4,"ATM","")</f>
        <v/>
      </c>
      <c r="B186">
        <v>62600</v>
      </c>
      <c r="C186">
        <f>IF(RawData!J620="","",RawData!J620)</f>
        <v>11.4</v>
      </c>
      <c r="D186">
        <f>IF(RawData!J621="","",RawData!J621)</f>
        <v>9296.1</v>
      </c>
      <c r="E186">
        <f>IF(OR(C186="",D186=""),"",C186+D186)</f>
        <v>9307.5</v>
      </c>
    </row>
    <row r="187" spans="1:5" x14ac:dyDescent="0.25">
      <c r="A187" t="str">
        <f>IF(B187=$B$4,"ATM","")</f>
        <v/>
      </c>
      <c r="B187">
        <v>62700</v>
      </c>
      <c r="C187">
        <f>IF(RawData!J622="","",RawData!J622)</f>
        <v>10.25</v>
      </c>
      <c r="D187">
        <f>IF(RawData!J623="","",RawData!J623)</f>
        <v>9390.5</v>
      </c>
      <c r="E187">
        <f>IF(OR(C187="",D187=""),"",C187+D187)</f>
        <v>9400.75</v>
      </c>
    </row>
    <row r="188" spans="1:5" x14ac:dyDescent="0.25">
      <c r="A188" t="str">
        <f>IF(B188=$B$4,"ATM","")</f>
        <v/>
      </c>
      <c r="B188">
        <v>62800</v>
      </c>
      <c r="C188">
        <f>IF(RawData!J624="","",RawData!J624)</f>
        <v>10</v>
      </c>
      <c r="D188">
        <f>IF(RawData!J625="","",RawData!J625)</f>
        <v>9484.15</v>
      </c>
      <c r="E188">
        <f>IF(OR(C188="",D188=""),"",C188+D188)</f>
        <v>9494.15</v>
      </c>
    </row>
    <row r="189" spans="1:5" x14ac:dyDescent="0.25">
      <c r="A189" t="str">
        <f>IF(B189=$B$4,"ATM","")</f>
        <v/>
      </c>
      <c r="B189">
        <v>62900</v>
      </c>
      <c r="C189">
        <f>IF(RawData!J626="","",RawData!J626)</f>
        <v>9</v>
      </c>
      <c r="D189">
        <f>IF(RawData!J627="","",RawData!J627)</f>
        <v>6473.5</v>
      </c>
      <c r="E189">
        <f>IF(OR(C189="",D189=""),"",C189+D189)</f>
        <v>6482.5</v>
      </c>
    </row>
    <row r="190" spans="1:5" x14ac:dyDescent="0.25">
      <c r="A190" t="str">
        <f>IF(B190=$B$4,"ATM","")</f>
        <v/>
      </c>
      <c r="B190">
        <v>63000</v>
      </c>
      <c r="C190">
        <f>IF(RawData!J628="","",RawData!J628)</f>
        <v>8.85</v>
      </c>
      <c r="D190">
        <f>IF(RawData!J629="","",RawData!J629)</f>
        <v>7945</v>
      </c>
      <c r="E190">
        <f>IF(OR(C190="",D190=""),"",C190+D190)</f>
        <v>7953.85</v>
      </c>
    </row>
    <row r="191" spans="1:5" x14ac:dyDescent="0.25">
      <c r="A191" t="str">
        <f>IF(B191=$B$4,"ATM","")</f>
        <v/>
      </c>
      <c r="B191">
        <v>63100</v>
      </c>
      <c r="C191">
        <f>IF(RawData!J630="","",RawData!J630)</f>
        <v>8.75</v>
      </c>
      <c r="D191">
        <f>IF(RawData!J631="","",RawData!J631)</f>
        <v>6570</v>
      </c>
      <c r="E191">
        <f>IF(OR(C191="",D191=""),"",C191+D191)</f>
        <v>6578.75</v>
      </c>
    </row>
    <row r="192" spans="1:5" x14ac:dyDescent="0.25">
      <c r="A192" t="str">
        <f>IF(B192=$B$4,"ATM","")</f>
        <v/>
      </c>
      <c r="B192">
        <v>63200</v>
      </c>
      <c r="C192">
        <f>IF(RawData!J632="","",RawData!J632)</f>
        <v>8.75</v>
      </c>
      <c r="D192">
        <f>IF(RawData!J633="","",RawData!J633)</f>
        <v>9865.35</v>
      </c>
      <c r="E192">
        <f>IF(OR(C192="",D192=""),"",C192+D192)</f>
        <v>9874.1</v>
      </c>
    </row>
    <row r="193" spans="1:5" x14ac:dyDescent="0.25">
      <c r="A193" t="str">
        <f>IF(B193=$B$4,"ATM","")</f>
        <v/>
      </c>
      <c r="B193">
        <v>63300</v>
      </c>
      <c r="C193">
        <f>IF(RawData!J634="","",RawData!J634)</f>
        <v>8.15</v>
      </c>
      <c r="D193">
        <f>IF(RawData!J635="","",RawData!J635)</f>
        <v>9961</v>
      </c>
      <c r="E193">
        <f>IF(OR(C193="",D193=""),"",C193+D193)</f>
        <v>9969.15</v>
      </c>
    </row>
    <row r="194" spans="1:5" x14ac:dyDescent="0.25">
      <c r="A194" t="str">
        <f>IF(B194=$B$4,"ATM","")</f>
        <v/>
      </c>
      <c r="B194">
        <v>63400</v>
      </c>
      <c r="C194">
        <f>IF(RawData!J636="","",RawData!J636)</f>
        <v>8.65</v>
      </c>
      <c r="D194">
        <f>IF(RawData!J637="","",RawData!J637)</f>
        <v>10056.450000000001</v>
      </c>
      <c r="E194">
        <f>IF(OR(C194="",D194=""),"",C194+D194)</f>
        <v>10065.1</v>
      </c>
    </row>
    <row r="195" spans="1:5" x14ac:dyDescent="0.25">
      <c r="A195" t="str">
        <f>IF(B195=$B$4,"ATM","")</f>
        <v/>
      </c>
      <c r="B195">
        <v>63500</v>
      </c>
      <c r="C195">
        <f>IF(RawData!J638="","",RawData!J638)</f>
        <v>7.35</v>
      </c>
      <c r="D195">
        <f>IF(RawData!J639="","",RawData!J639)</f>
        <v>7069.55</v>
      </c>
      <c r="E195">
        <f>IF(OR(C195="",D195=""),"",C195+D195)</f>
        <v>7076.9000000000005</v>
      </c>
    </row>
    <row r="196" spans="1:5" x14ac:dyDescent="0.25">
      <c r="A196" t="str">
        <f>IF(B196=$B$4,"ATM","")</f>
        <v/>
      </c>
      <c r="B196">
        <v>63600</v>
      </c>
      <c r="C196">
        <f>IF(RawData!J640="","",RawData!J640)</f>
        <v>7.3</v>
      </c>
      <c r="D196">
        <f>IF(RawData!J641="","",RawData!J641)</f>
        <v>10249.1</v>
      </c>
      <c r="E196">
        <f>IF(OR(C196="",D196=""),"",C196+D196)</f>
        <v>10256.4</v>
      </c>
    </row>
    <row r="197" spans="1:5" x14ac:dyDescent="0.25">
      <c r="A197" t="str">
        <f>IF(B197=$B$4,"ATM","")</f>
        <v/>
      </c>
      <c r="B197">
        <v>63700</v>
      </c>
      <c r="C197">
        <f>IF(RawData!J642="","",RawData!J642)</f>
        <v>6.5</v>
      </c>
      <c r="D197">
        <f>IF(RawData!J643="","",RawData!J643)</f>
        <v>10342.9</v>
      </c>
      <c r="E197">
        <f>IF(OR(C197="",D197=""),"",C197+D197)</f>
        <v>10349.4</v>
      </c>
    </row>
    <row r="198" spans="1:5" x14ac:dyDescent="0.25">
      <c r="A198" t="str">
        <f>IF(B198=$B$4,"ATM","")</f>
        <v/>
      </c>
      <c r="B198">
        <v>63800</v>
      </c>
      <c r="C198">
        <f>IF(RawData!J644="","",RawData!J644)</f>
        <v>6.7</v>
      </c>
      <c r="D198">
        <f>IF(RawData!J645="","",RawData!J645)</f>
        <v>10438.4</v>
      </c>
      <c r="E198">
        <f>IF(OR(C198="",D198=""),"",C198+D198)</f>
        <v>10445.1</v>
      </c>
    </row>
    <row r="199" spans="1:5" x14ac:dyDescent="0.25">
      <c r="A199" t="str">
        <f>IF(B199=$B$4,"ATM","")</f>
        <v/>
      </c>
      <c r="B199">
        <v>63900</v>
      </c>
      <c r="C199">
        <f>IF(RawData!J646="","",RawData!J646)</f>
        <v>6.7</v>
      </c>
      <c r="D199">
        <f>IF(RawData!J647="","",RawData!J647)</f>
        <v>10549.5</v>
      </c>
      <c r="E199">
        <f>IF(OR(C199="",D199=""),"",C199+D199)</f>
        <v>10556.2</v>
      </c>
    </row>
    <row r="200" spans="1:5" x14ac:dyDescent="0.25">
      <c r="A200" t="str">
        <f>IF(B200=$B$4,"ATM","")</f>
        <v/>
      </c>
      <c r="B200">
        <v>64000</v>
      </c>
      <c r="C200">
        <f>IF(RawData!J648="","",RawData!J648)</f>
        <v>5.6</v>
      </c>
      <c r="D200">
        <f>IF(RawData!J649="","",RawData!J649)</f>
        <v>8123.4</v>
      </c>
      <c r="E200">
        <f>IF(OR(C200="",D200=""),"",C200+D200)</f>
        <v>8129</v>
      </c>
    </row>
    <row r="201" spans="1:5" x14ac:dyDescent="0.25">
      <c r="A201" t="str">
        <f>IF(B201=$B$4,"ATM","")</f>
        <v/>
      </c>
      <c r="B201">
        <v>64100</v>
      </c>
      <c r="C201">
        <f>IF(RawData!J650="","",RawData!J650)</f>
        <v>6.25</v>
      </c>
      <c r="D201">
        <f>IF(RawData!J651="","",RawData!J651)</f>
        <v>10727.5</v>
      </c>
      <c r="E201">
        <f>IF(OR(C201="",D201=""),"",C201+D201)</f>
        <v>10733.75</v>
      </c>
    </row>
    <row r="202" spans="1:5" x14ac:dyDescent="0.25">
      <c r="A202" t="str">
        <f>IF(B202=$B$4,"ATM","")</f>
        <v/>
      </c>
      <c r="B202">
        <v>64200</v>
      </c>
      <c r="C202">
        <f>IF(RawData!J652="","",RawData!J652)</f>
        <v>6.1</v>
      </c>
      <c r="D202">
        <f>IF(RawData!J653="","",RawData!J653)</f>
        <v>10822.75</v>
      </c>
      <c r="E202">
        <f>IF(OR(C202="",D202=""),"",C202+D202)</f>
        <v>10828.85</v>
      </c>
    </row>
    <row r="203" spans="1:5" x14ac:dyDescent="0.25">
      <c r="A203" t="str">
        <f>IF(B203=$B$4,"ATM","")</f>
        <v/>
      </c>
      <c r="B203">
        <v>64300</v>
      </c>
      <c r="C203">
        <f>IF(RawData!J654="","",RawData!J654)</f>
        <v>5.75</v>
      </c>
      <c r="D203">
        <f>IF(RawData!J655="","",RawData!J655)</f>
        <v>10935.2</v>
      </c>
      <c r="E203">
        <f>IF(OR(C203="",D203=""),"",C203+D203)</f>
        <v>10940.95</v>
      </c>
    </row>
    <row r="204" spans="1:5" x14ac:dyDescent="0.25">
      <c r="A204" t="str">
        <f>IF(B204=$B$4,"ATM","")</f>
        <v/>
      </c>
      <c r="B204">
        <v>64400</v>
      </c>
      <c r="C204">
        <f>IF(RawData!J656="","",RawData!J656)</f>
        <v>6.65</v>
      </c>
      <c r="D204">
        <f>IF(RawData!J657="","",RawData!J657)</f>
        <v>7000.05</v>
      </c>
      <c r="E204">
        <f>IF(OR(C204="",D204=""),"",C204+D204)</f>
        <v>7006.7</v>
      </c>
    </row>
    <row r="205" spans="1:5" x14ac:dyDescent="0.25">
      <c r="A205" t="str">
        <f>IF(B205=$B$4,"ATM","")</f>
        <v/>
      </c>
      <c r="B205">
        <v>64500</v>
      </c>
      <c r="C205">
        <f>IF(RawData!J658="","",RawData!J658)</f>
        <v>5.25</v>
      </c>
      <c r="D205">
        <f>IF(RawData!J659="","",RawData!J659)</f>
        <v>11127.6</v>
      </c>
      <c r="E205">
        <f>IF(OR(C205="",D205=""),"",C205+D205)</f>
        <v>11132.85</v>
      </c>
    </row>
    <row r="206" spans="1:5" x14ac:dyDescent="0.25">
      <c r="A206" t="str">
        <f>IF(B206=$B$4,"ATM","")</f>
        <v/>
      </c>
      <c r="B206">
        <v>64600</v>
      </c>
      <c r="C206">
        <f>IF(RawData!J660="","",RawData!J660)</f>
        <v>5.2</v>
      </c>
      <c r="D206">
        <f>IF(RawData!J661="","",RawData!J661)</f>
        <v>11223.95</v>
      </c>
      <c r="E206">
        <f>IF(OR(C206="",D206=""),"",C206+D206)</f>
        <v>11229.150000000001</v>
      </c>
    </row>
    <row r="207" spans="1:5" x14ac:dyDescent="0.25">
      <c r="A207" t="str">
        <f>IF(B207=$B$4,"ATM","")</f>
        <v/>
      </c>
      <c r="B207">
        <v>64700</v>
      </c>
      <c r="C207">
        <f>IF(RawData!J662="","",RawData!J662)</f>
        <v>5.3</v>
      </c>
      <c r="D207">
        <f>IF(RawData!J663="","",RawData!J663)</f>
        <v>11320.55</v>
      </c>
      <c r="E207">
        <f>IF(OR(C207="",D207=""),"",C207+D207)</f>
        <v>11325.849999999999</v>
      </c>
    </row>
    <row r="208" spans="1:5" x14ac:dyDescent="0.25">
      <c r="A208" t="str">
        <f>IF(B208=$B$4,"ATM","")</f>
        <v/>
      </c>
      <c r="B208">
        <v>64800</v>
      </c>
      <c r="C208">
        <f>IF(RawData!J664="","",RawData!J664)</f>
        <v>4.9000000000000004</v>
      </c>
      <c r="D208">
        <f>IF(RawData!J665="","",RawData!J665)</f>
        <v>11417.5</v>
      </c>
      <c r="E208">
        <f>IF(OR(C208="",D208=""),"",C208+D208)</f>
        <v>11422.4</v>
      </c>
    </row>
    <row r="209" spans="1:5" x14ac:dyDescent="0.25">
      <c r="A209" t="str">
        <f>IF(B209=$B$4,"ATM","")</f>
        <v/>
      </c>
      <c r="B209">
        <v>64900</v>
      </c>
      <c r="C209">
        <f>IF(RawData!J666="","",RawData!J666)</f>
        <v>4.5999999999999996</v>
      </c>
      <c r="D209">
        <f>IF(RawData!J667="","",RawData!J667)</f>
        <v>11514.05</v>
      </c>
      <c r="E209">
        <f>IF(OR(C209="",D209=""),"",C209+D209)</f>
        <v>11518.65</v>
      </c>
    </row>
    <row r="210" spans="1:5" x14ac:dyDescent="0.25">
      <c r="A210" t="str">
        <f>IF(B210=$B$4,"ATM","")</f>
        <v/>
      </c>
      <c r="B210">
        <v>65000</v>
      </c>
      <c r="C210">
        <f>IF(RawData!J668="","",RawData!J668)</f>
        <v>4.5999999999999996</v>
      </c>
      <c r="D210">
        <f>IF(RawData!J669="","",RawData!J669)</f>
        <v>9865.4</v>
      </c>
      <c r="E210">
        <f>IF(OR(C210="",D210=""),"",C210+D210)</f>
        <v>9870</v>
      </c>
    </row>
    <row r="211" spans="1:5" x14ac:dyDescent="0.25">
      <c r="A211" t="str">
        <f>IF(B211=$B$4,"ATM","")</f>
        <v/>
      </c>
      <c r="B211">
        <v>65100</v>
      </c>
      <c r="C211">
        <f>IF(RawData!J670="","",RawData!J670)</f>
        <v>4.3499999999999996</v>
      </c>
      <c r="D211">
        <f>IF(RawData!J671="","",RawData!J671)</f>
        <v>10464.85</v>
      </c>
      <c r="E211">
        <f>IF(OR(C211="",D211=""),"",C211+D211)</f>
        <v>10469.200000000001</v>
      </c>
    </row>
    <row r="212" spans="1:5" x14ac:dyDescent="0.25">
      <c r="A212" t="str">
        <f>IF(B212=$B$4,"ATM","")</f>
        <v/>
      </c>
      <c r="B212">
        <v>65200</v>
      </c>
      <c r="C212">
        <f>IF(RawData!J672="","",RawData!J672)</f>
        <v>4.95</v>
      </c>
      <c r="D212">
        <f>IF(RawData!J673="","",RawData!J673)</f>
        <v>10572.45</v>
      </c>
      <c r="E212">
        <f>IF(OR(C212="",D212=""),"",C212+D212)</f>
        <v>10577.400000000001</v>
      </c>
    </row>
    <row r="213" spans="1:5" x14ac:dyDescent="0.25">
      <c r="A213" t="str">
        <f>IF(B213=$B$4,"ATM","")</f>
        <v/>
      </c>
      <c r="B213">
        <v>65300</v>
      </c>
      <c r="C213">
        <f>IF(RawData!J674="","",RawData!J674)</f>
        <v>5.5</v>
      </c>
      <c r="D213">
        <f>IF(RawData!J675="","",RawData!J675)</f>
        <v>7350</v>
      </c>
      <c r="E213">
        <f>IF(OR(C213="",D213=""),"",C213+D213)</f>
        <v>7355.5</v>
      </c>
    </row>
    <row r="214" spans="1:5" x14ac:dyDescent="0.25">
      <c r="A214" t="str">
        <f>IF(B214=$B$4,"ATM","")</f>
        <v/>
      </c>
      <c r="B214">
        <v>65400</v>
      </c>
      <c r="C214">
        <f>IF(RawData!J676="","",RawData!J676)</f>
        <v>4.1500000000000004</v>
      </c>
      <c r="D214">
        <f>IF(RawData!J677="","",RawData!J677)</f>
        <v>10104.75</v>
      </c>
      <c r="E214">
        <f>IF(OR(C214="",D214=""),"",C214+D214)</f>
        <v>10108.9</v>
      </c>
    </row>
    <row r="215" spans="1:5" x14ac:dyDescent="0.25">
      <c r="A215" t="str">
        <f>IF(B215=$B$4,"ATM","")</f>
        <v/>
      </c>
      <c r="B215">
        <v>65500</v>
      </c>
      <c r="C215">
        <f>IF(RawData!J678="","",RawData!J678)</f>
        <v>4.25</v>
      </c>
      <c r="D215">
        <f>IF(RawData!J679="","",RawData!J679)</f>
        <v>10851.45</v>
      </c>
      <c r="E215">
        <f>IF(OR(C215="",D215=""),"",C215+D215)</f>
        <v>10855.7</v>
      </c>
    </row>
    <row r="216" spans="1:5" x14ac:dyDescent="0.25">
      <c r="A216" t="str">
        <f>IF(B216=$B$4,"ATM","")</f>
        <v/>
      </c>
      <c r="B216">
        <v>65600</v>
      </c>
      <c r="C216">
        <f>IF(RawData!J680="","",RawData!J680)</f>
        <v>6</v>
      </c>
      <c r="D216">
        <f>IF(RawData!J681="","",RawData!J681)</f>
        <v>10948.45</v>
      </c>
      <c r="E216">
        <f>IF(OR(C216="",D216=""),"",C216+D216)</f>
        <v>10954.45</v>
      </c>
    </row>
    <row r="217" spans="1:5" x14ac:dyDescent="0.25">
      <c r="A217" t="str">
        <f>IF(B217=$B$4,"ATM","")</f>
        <v/>
      </c>
      <c r="B217">
        <v>65700</v>
      </c>
      <c r="C217">
        <f>IF(RawData!J682="","",RawData!J682)</f>
        <v>4.5</v>
      </c>
      <c r="D217">
        <f>IF(RawData!J683="","",RawData!J683)</f>
        <v>11045.75</v>
      </c>
      <c r="E217">
        <f>IF(OR(C217="",D217=""),"",C217+D217)</f>
        <v>11050.25</v>
      </c>
    </row>
    <row r="218" spans="1:5" x14ac:dyDescent="0.25">
      <c r="A218" t="str">
        <f>IF(B218=$B$4,"ATM","")</f>
        <v/>
      </c>
      <c r="B218">
        <v>65800</v>
      </c>
      <c r="C218">
        <f>IF(RawData!J684="","",RawData!J684)</f>
        <v>3.95</v>
      </c>
      <c r="D218">
        <f>IF(RawData!J685="","",RawData!J685)</f>
        <v>11153.9</v>
      </c>
      <c r="E218">
        <f>IF(OR(C218="",D218=""),"",C218+D218)</f>
        <v>11157.85</v>
      </c>
    </row>
    <row r="219" spans="1:5" x14ac:dyDescent="0.25">
      <c r="A219" t="str">
        <f>IF(B219=$B$4,"ATM","")</f>
        <v/>
      </c>
      <c r="B219">
        <v>65900</v>
      </c>
      <c r="C219">
        <f>IF(RawData!J686="","",RawData!J686)</f>
        <v>4.5</v>
      </c>
      <c r="D219">
        <f>IF(RawData!J687="","",RawData!J687)</f>
        <v>11256</v>
      </c>
      <c r="E219">
        <f>IF(OR(C219="",D219=""),"",C219+D219)</f>
        <v>11260.5</v>
      </c>
    </row>
    <row r="220" spans="1:5" x14ac:dyDescent="0.25">
      <c r="A220" t="str">
        <f>IF(B220=$B$4,"ATM","")</f>
        <v/>
      </c>
      <c r="B220">
        <v>66000</v>
      </c>
      <c r="C220">
        <f>IF(RawData!J688="","",RawData!J688)</f>
        <v>3.85</v>
      </c>
      <c r="D220">
        <f>IF(RawData!J689="","",RawData!J689)</f>
        <v>10708.7</v>
      </c>
      <c r="E220">
        <f>IF(OR(C220="",D220=""),"",C220+D220)</f>
        <v>10712.550000000001</v>
      </c>
    </row>
    <row r="221" spans="1:5" x14ac:dyDescent="0.25">
      <c r="A221" t="str">
        <f>IF(B221=$B$4,"ATM","")</f>
        <v/>
      </c>
      <c r="B221">
        <v>66100</v>
      </c>
      <c r="C221">
        <f>IF(RawData!J690="","",RawData!J690)</f>
        <v>4.5</v>
      </c>
      <c r="D221">
        <f>IF(RawData!J691="","",RawData!J691)</f>
        <v>8550</v>
      </c>
      <c r="E221">
        <f>IF(OR(C221="",D221=""),"",C221+D221)</f>
        <v>8554.5</v>
      </c>
    </row>
    <row r="222" spans="1:5" x14ac:dyDescent="0.25">
      <c r="A222" t="str">
        <f>IF(B222=$B$4,"ATM","")</f>
        <v/>
      </c>
      <c r="B222">
        <v>66200</v>
      </c>
      <c r="C222">
        <f>IF(RawData!J692="","",RawData!J692)</f>
        <v>3.95</v>
      </c>
      <c r="D222">
        <f>IF(RawData!J693="","",RawData!J693)</f>
        <v>10450.450000000001</v>
      </c>
      <c r="E222">
        <f>IF(OR(C222="",D222=""),"",C222+D222)</f>
        <v>10454.400000000001</v>
      </c>
    </row>
    <row r="223" spans="1:5" x14ac:dyDescent="0.25">
      <c r="A223" t="str">
        <f>IF(B223=$B$4,"ATM","")</f>
        <v/>
      </c>
      <c r="B223">
        <v>66500</v>
      </c>
      <c r="C223">
        <f>IF(RawData!J694="","",RawData!J694)</f>
        <v>3.45</v>
      </c>
      <c r="D223">
        <f>IF(RawData!J695="","",RawData!J695)</f>
        <v>9643</v>
      </c>
      <c r="E223">
        <f>IF(OR(C223="",D223=""),"",C223+D223)</f>
        <v>9646.4500000000007</v>
      </c>
    </row>
    <row r="224" spans="1:5" x14ac:dyDescent="0.25">
      <c r="A224" t="str">
        <f>IF(B224=$B$4,"ATM","")</f>
        <v/>
      </c>
      <c r="B224">
        <v>67000</v>
      </c>
      <c r="C224">
        <f>IF(RawData!J696="","",RawData!J696)</f>
        <v>3.55</v>
      </c>
      <c r="D224">
        <f>IF(RawData!J697="","",RawData!J697)</f>
        <v>5284.5</v>
      </c>
      <c r="E224">
        <f>IF(OR(C224="",D224=""),"",C224+D224)</f>
        <v>5288.05</v>
      </c>
    </row>
    <row r="225" spans="1:5" x14ac:dyDescent="0.25">
      <c r="A225" t="str">
        <f>IF(B225=$B$4,"ATM","")</f>
        <v/>
      </c>
      <c r="B225">
        <v>67500</v>
      </c>
      <c r="C225">
        <f>IF(RawData!J698="","",RawData!J698)</f>
        <v>3.25</v>
      </c>
      <c r="D225">
        <f>IF(RawData!J699="","",RawData!J699)</f>
        <v>9388</v>
      </c>
      <c r="E225">
        <f>IF(OR(C225="",D225=""),"",C225+D225)</f>
        <v>9391.25</v>
      </c>
    </row>
    <row r="226" spans="1:5" x14ac:dyDescent="0.25">
      <c r="A226" t="str">
        <f>IF(B226=$B$4,"ATM","")</f>
        <v/>
      </c>
      <c r="B226">
        <v>68000</v>
      </c>
      <c r="C226">
        <f>IF(RawData!J700="","",RawData!J700)</f>
        <v>3.35</v>
      </c>
      <c r="D226">
        <f>IF(RawData!J701="","",RawData!J701)</f>
        <v>12789.75</v>
      </c>
      <c r="E226">
        <f>IF(OR(C226="",D226=""),"",C226+D226)</f>
        <v>12793.1</v>
      </c>
    </row>
    <row r="227" spans="1:5" x14ac:dyDescent="0.25">
      <c r="A227" t="str">
        <f>IF(B227=$B$4,"ATM","")</f>
        <v/>
      </c>
      <c r="B227">
        <v>68500</v>
      </c>
      <c r="C227">
        <f>IF(RawData!J702="","",RawData!J702)</f>
        <v>3.25</v>
      </c>
      <c r="D227">
        <f>IF(RawData!J703="","",RawData!J703)</f>
        <v>10900</v>
      </c>
      <c r="E227">
        <f>IF(OR(C227="",D227=""),"",C227+D227)</f>
        <v>10903.25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2"/>
  <sheetViews>
    <sheetView showGridLines="0" workbookViewId="0">
      <pane ySplit="7" topLeftCell="A8" activePane="bottomLeft" state="frozen"/>
      <selection pane="bottomLeft" sqref="A1:E1"/>
    </sheetView>
  </sheetViews>
  <sheetFormatPr defaultRowHeight="15" x14ac:dyDescent="0.25"/>
  <cols>
    <col min="1" max="1" width="10" customWidth="1"/>
    <col min="2" max="4" width="14" customWidth="1"/>
    <col min="5" max="5" width="16" customWidth="1"/>
  </cols>
  <sheetData>
    <row r="1" spans="1:5" ht="21" x14ac:dyDescent="0.35">
      <c r="A1" s="8" t="s">
        <v>21</v>
      </c>
      <c r="B1" s="9"/>
      <c r="C1" s="9"/>
      <c r="D1" s="9"/>
      <c r="E1" s="9"/>
    </row>
    <row r="3" spans="1:5" x14ac:dyDescent="0.25">
      <c r="A3" s="2" t="s">
        <v>2</v>
      </c>
      <c r="B3" s="4">
        <v>46149</v>
      </c>
      <c r="D3" s="2" t="s">
        <v>3</v>
      </c>
      <c r="E3" s="2">
        <v>76984.91</v>
      </c>
    </row>
    <row r="4" spans="1:5" x14ac:dyDescent="0.25">
      <c r="A4" s="2" t="s">
        <v>4</v>
      </c>
      <c r="B4" s="2">
        <v>77000</v>
      </c>
      <c r="D4" s="2" t="s">
        <v>5</v>
      </c>
      <c r="E4" s="2">
        <v>887.45</v>
      </c>
    </row>
    <row r="5" spans="1:5" x14ac:dyDescent="0.25">
      <c r="A5" s="2" t="s">
        <v>10</v>
      </c>
      <c r="B5" s="7">
        <v>46147.586527777778</v>
      </c>
      <c r="D5" s="2" t="s">
        <v>6</v>
      </c>
      <c r="E5" s="2" t="s">
        <v>1176</v>
      </c>
    </row>
    <row r="7" spans="1: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 x14ac:dyDescent="0.25">
      <c r="A8" t="str">
        <f>IF(B8=$B$4,"ATM","")</f>
        <v/>
      </c>
      <c r="B8">
        <v>64900</v>
      </c>
      <c r="C8">
        <f>IF(RawData!J705="","",RawData!J705)</f>
        <v>12398.75</v>
      </c>
      <c r="D8">
        <f>IF(RawData!J706="","",RawData!J706)</f>
        <v>0.7</v>
      </c>
      <c r="E8">
        <f>IF(OR(C8="",D8=""),"",C8+D8)</f>
        <v>12399.45</v>
      </c>
    </row>
    <row r="9" spans="1:5" x14ac:dyDescent="0.25">
      <c r="A9" t="str">
        <f>IF(B9=$B$4,"ATM","")</f>
        <v/>
      </c>
      <c r="B9">
        <v>65000</v>
      </c>
      <c r="C9">
        <f>IF(RawData!J707="","",RawData!J707)</f>
        <v>12198</v>
      </c>
      <c r="D9">
        <f>IF(RawData!J708="","",RawData!J708)</f>
        <v>0.75</v>
      </c>
      <c r="E9">
        <f>IF(OR(C9="",D9=""),"",C9+D9)</f>
        <v>12198.75</v>
      </c>
    </row>
    <row r="10" spans="1:5" x14ac:dyDescent="0.25">
      <c r="A10" t="str">
        <f>IF(B10=$B$4,"ATM","")</f>
        <v/>
      </c>
      <c r="B10">
        <v>65100</v>
      </c>
      <c r="C10">
        <f>IF(RawData!J709="","",RawData!J709)</f>
        <v>12198.8</v>
      </c>
      <c r="D10">
        <f>IF(RawData!J710="","",RawData!J710)</f>
        <v>1.35</v>
      </c>
      <c r="E10">
        <f>IF(OR(C10="",D10=""),"",C10+D10)</f>
        <v>12200.15</v>
      </c>
    </row>
    <row r="11" spans="1:5" x14ac:dyDescent="0.25">
      <c r="A11" t="str">
        <f>IF(B11=$B$4,"ATM","")</f>
        <v/>
      </c>
      <c r="B11">
        <v>65200</v>
      </c>
      <c r="C11">
        <f>IF(RawData!J711="","",RawData!J711)</f>
        <v>12098.85</v>
      </c>
      <c r="D11">
        <f>IF(RawData!J712="","",RawData!J712)</f>
        <v>1.3</v>
      </c>
      <c r="E11">
        <f>IF(OR(C11="",D11=""),"",C11+D11)</f>
        <v>12100.15</v>
      </c>
    </row>
    <row r="12" spans="1:5" x14ac:dyDescent="0.25">
      <c r="A12" t="str">
        <f>IF(B12=$B$4,"ATM","")</f>
        <v/>
      </c>
      <c r="B12">
        <v>65300</v>
      </c>
      <c r="C12">
        <f>IF(RawData!J713="","",RawData!J713)</f>
        <v>11998.9</v>
      </c>
      <c r="D12">
        <f>IF(RawData!J714="","",RawData!J714)</f>
        <v>0.85</v>
      </c>
      <c r="E12">
        <f>IF(OR(C12="",D12=""),"",C12+D12)</f>
        <v>11999.75</v>
      </c>
    </row>
    <row r="13" spans="1:5" x14ac:dyDescent="0.25">
      <c r="A13" t="str">
        <f>IF(B13=$B$4,"ATM","")</f>
        <v/>
      </c>
      <c r="B13">
        <v>65400</v>
      </c>
      <c r="C13">
        <f>IF(RawData!J715="","",RawData!J715)</f>
        <v>11898.95</v>
      </c>
      <c r="D13">
        <f>IF(RawData!J716="","",RawData!J716)</f>
        <v>0.85</v>
      </c>
      <c r="E13">
        <f>IF(OR(C13="",D13=""),"",C13+D13)</f>
        <v>11899.800000000001</v>
      </c>
    </row>
    <row r="14" spans="1:5" x14ac:dyDescent="0.25">
      <c r="A14" t="str">
        <f>IF(B14=$B$4,"ATM","")</f>
        <v/>
      </c>
      <c r="B14">
        <v>65500</v>
      </c>
      <c r="C14">
        <f>IF(RawData!J717="","",RawData!J717)</f>
        <v>11799</v>
      </c>
      <c r="D14">
        <f>IF(RawData!J718="","",RawData!J718)</f>
        <v>1.05</v>
      </c>
      <c r="E14">
        <f>IF(OR(C14="",D14=""),"",C14+D14)</f>
        <v>11800.05</v>
      </c>
    </row>
    <row r="15" spans="1:5" x14ac:dyDescent="0.25">
      <c r="A15" t="str">
        <f>IF(B15=$B$4,"ATM","")</f>
        <v/>
      </c>
      <c r="B15">
        <v>65600</v>
      </c>
      <c r="C15">
        <f>IF(RawData!J719="","",RawData!J719)</f>
        <v>11699.05</v>
      </c>
      <c r="D15">
        <f>IF(RawData!J720="","",RawData!J720)</f>
        <v>1.95</v>
      </c>
      <c r="E15">
        <f>IF(OR(C15="",D15=""),"",C15+D15)</f>
        <v>11701</v>
      </c>
    </row>
    <row r="16" spans="1:5" x14ac:dyDescent="0.25">
      <c r="A16" t="str">
        <f>IF(B16=$B$4,"ATM","")</f>
        <v/>
      </c>
      <c r="B16">
        <v>65700</v>
      </c>
      <c r="C16">
        <f>IF(RawData!J721="","",RawData!J721)</f>
        <v>11599.1</v>
      </c>
      <c r="D16">
        <f>IF(RawData!J722="","",RawData!J722)</f>
        <v>1.8</v>
      </c>
      <c r="E16">
        <f>IF(OR(C16="",D16=""),"",C16+D16)</f>
        <v>11600.9</v>
      </c>
    </row>
    <row r="17" spans="1:5" x14ac:dyDescent="0.25">
      <c r="A17" t="str">
        <f>IF(B17=$B$4,"ATM","")</f>
        <v/>
      </c>
      <c r="B17">
        <v>65800</v>
      </c>
      <c r="C17">
        <f>IF(RawData!J723="","",RawData!J723)</f>
        <v>11499.15</v>
      </c>
      <c r="D17">
        <f>IF(RawData!J724="","",RawData!J724)</f>
        <v>1.35</v>
      </c>
      <c r="E17">
        <f>IF(OR(C17="",D17=""),"",C17+D17)</f>
        <v>11500.5</v>
      </c>
    </row>
    <row r="18" spans="1:5" x14ac:dyDescent="0.25">
      <c r="A18" t="str">
        <f>IF(B18=$B$4,"ATM","")</f>
        <v/>
      </c>
      <c r="B18">
        <v>65900</v>
      </c>
      <c r="C18">
        <f>IF(RawData!J725="","",RawData!J725)</f>
        <v>11399.2</v>
      </c>
      <c r="D18">
        <f>IF(RawData!J726="","",RawData!J726)</f>
        <v>1.4</v>
      </c>
      <c r="E18">
        <f>IF(OR(C18="",D18=""),"",C18+D18)</f>
        <v>11400.6</v>
      </c>
    </row>
    <row r="19" spans="1:5" x14ac:dyDescent="0.25">
      <c r="A19" t="str">
        <f>IF(B19=$B$4,"ATM","")</f>
        <v/>
      </c>
      <c r="B19">
        <v>66000</v>
      </c>
      <c r="C19">
        <f>IF(RawData!J727="","",RawData!J727)</f>
        <v>11299.25</v>
      </c>
      <c r="D19">
        <f>IF(RawData!J728="","",RawData!J728)</f>
        <v>1.25</v>
      </c>
      <c r="E19">
        <f>IF(OR(C19="",D19=""),"",C19+D19)</f>
        <v>11300.5</v>
      </c>
    </row>
    <row r="20" spans="1:5" x14ac:dyDescent="0.25">
      <c r="A20" t="str">
        <f>IF(B20=$B$4,"ATM","")</f>
        <v/>
      </c>
      <c r="B20">
        <v>66100</v>
      </c>
      <c r="C20">
        <f>IF(RawData!J729="","",RawData!J729)</f>
        <v>11199.25</v>
      </c>
      <c r="D20">
        <f>IF(RawData!J730="","",RawData!J730)</f>
        <v>1.4</v>
      </c>
      <c r="E20">
        <f>IF(OR(C20="",D20=""),"",C20+D20)</f>
        <v>11200.65</v>
      </c>
    </row>
    <row r="21" spans="1:5" x14ac:dyDescent="0.25">
      <c r="A21" t="str">
        <f>IF(B21=$B$4,"ATM","")</f>
        <v/>
      </c>
      <c r="B21">
        <v>66200</v>
      </c>
      <c r="C21">
        <f>IF(RawData!J731="","",RawData!J731)</f>
        <v>11099.3</v>
      </c>
      <c r="D21">
        <f>IF(RawData!J732="","",RawData!J732)</f>
        <v>1.1000000000000001</v>
      </c>
      <c r="E21">
        <f>IF(OR(C21="",D21=""),"",C21+D21)</f>
        <v>11100.4</v>
      </c>
    </row>
    <row r="22" spans="1:5" x14ac:dyDescent="0.25">
      <c r="A22" t="str">
        <f>IF(B22=$B$4,"ATM","")</f>
        <v/>
      </c>
      <c r="B22">
        <v>66300</v>
      </c>
      <c r="C22">
        <f>IF(RawData!J733="","",RawData!J733)</f>
        <v>10999.35</v>
      </c>
      <c r="D22">
        <f>IF(RawData!J734="","",RawData!J734)</f>
        <v>1</v>
      </c>
      <c r="E22">
        <f>IF(OR(C22="",D22=""),"",C22+D22)</f>
        <v>11000.35</v>
      </c>
    </row>
    <row r="23" spans="1:5" x14ac:dyDescent="0.25">
      <c r="A23" t="str">
        <f>IF(B23=$B$4,"ATM","")</f>
        <v/>
      </c>
      <c r="B23">
        <v>66400</v>
      </c>
      <c r="C23">
        <f>IF(RawData!J735="","",RawData!J735)</f>
        <v>10899.4</v>
      </c>
      <c r="D23">
        <f>IF(RawData!J736="","",RawData!J736)</f>
        <v>1.1499999999999999</v>
      </c>
      <c r="E23">
        <f>IF(OR(C23="",D23=""),"",C23+D23)</f>
        <v>10900.55</v>
      </c>
    </row>
    <row r="24" spans="1:5" x14ac:dyDescent="0.25">
      <c r="A24" t="str">
        <f>IF(B24=$B$4,"ATM","")</f>
        <v/>
      </c>
      <c r="B24">
        <v>66500</v>
      </c>
      <c r="C24">
        <f>IF(RawData!J737="","",RawData!J737)</f>
        <v>10799.45</v>
      </c>
      <c r="D24">
        <f>IF(RawData!J738="","",RawData!J738)</f>
        <v>1</v>
      </c>
      <c r="E24">
        <f>IF(OR(C24="",D24=""),"",C24+D24)</f>
        <v>10800.45</v>
      </c>
    </row>
    <row r="25" spans="1:5" x14ac:dyDescent="0.25">
      <c r="A25" t="str">
        <f>IF(B25=$B$4,"ATM","")</f>
        <v/>
      </c>
      <c r="B25">
        <v>66600</v>
      </c>
      <c r="C25">
        <f>IF(RawData!J739="","",RawData!J739)</f>
        <v>10699.5</v>
      </c>
      <c r="D25">
        <f>IF(RawData!J740="","",RawData!J740)</f>
        <v>1.45</v>
      </c>
      <c r="E25">
        <f>IF(OR(C25="",D25=""),"",C25+D25)</f>
        <v>10700.95</v>
      </c>
    </row>
    <row r="26" spans="1:5" x14ac:dyDescent="0.25">
      <c r="A26" t="str">
        <f>IF(B26=$B$4,"ATM","")</f>
        <v/>
      </c>
      <c r="B26">
        <v>66700</v>
      </c>
      <c r="C26">
        <f>IF(RawData!J741="","",RawData!J741)</f>
        <v>10599.55</v>
      </c>
      <c r="D26">
        <f>IF(RawData!J742="","",RawData!J742)</f>
        <v>1.2</v>
      </c>
      <c r="E26">
        <f>IF(OR(C26="",D26=""),"",C26+D26)</f>
        <v>10600.75</v>
      </c>
    </row>
    <row r="27" spans="1:5" x14ac:dyDescent="0.25">
      <c r="A27" t="str">
        <f>IF(B27=$B$4,"ATM","")</f>
        <v/>
      </c>
      <c r="B27">
        <v>66800</v>
      </c>
      <c r="C27">
        <f>IF(RawData!J743="","",RawData!J743)</f>
        <v>10499.6</v>
      </c>
      <c r="D27">
        <f>IF(RawData!J744="","",RawData!J744)</f>
        <v>1.4</v>
      </c>
      <c r="E27">
        <f>IF(OR(C27="",D27=""),"",C27+D27)</f>
        <v>10501</v>
      </c>
    </row>
    <row r="28" spans="1:5" x14ac:dyDescent="0.25">
      <c r="A28" t="str">
        <f>IF(B28=$B$4,"ATM","")</f>
        <v/>
      </c>
      <c r="B28">
        <v>66900</v>
      </c>
      <c r="C28">
        <f>IF(RawData!J745="","",RawData!J745)</f>
        <v>10399.65</v>
      </c>
      <c r="D28">
        <f>IF(RawData!J746="","",RawData!J746)</f>
        <v>2</v>
      </c>
      <c r="E28">
        <f>IF(OR(C28="",D28=""),"",C28+D28)</f>
        <v>10401.65</v>
      </c>
    </row>
    <row r="29" spans="1:5" x14ac:dyDescent="0.25">
      <c r="A29" t="str">
        <f>IF(B29=$B$4,"ATM","")</f>
        <v/>
      </c>
      <c r="B29">
        <v>67000</v>
      </c>
      <c r="C29">
        <f>IF(RawData!J747="","",RawData!J747)</f>
        <v>10299.700000000001</v>
      </c>
      <c r="D29">
        <f>IF(RawData!J748="","",RawData!J748)</f>
        <v>1</v>
      </c>
      <c r="E29">
        <f>IF(OR(C29="",D29=""),"",C29+D29)</f>
        <v>10300.700000000001</v>
      </c>
    </row>
    <row r="30" spans="1:5" x14ac:dyDescent="0.25">
      <c r="A30" t="str">
        <f>IF(B30=$B$4,"ATM","")</f>
        <v/>
      </c>
      <c r="B30">
        <v>67100</v>
      </c>
      <c r="C30">
        <f>IF(RawData!J749="","",RawData!J749)</f>
        <v>10199.75</v>
      </c>
      <c r="D30">
        <f>IF(RawData!J750="","",RawData!J750)</f>
        <v>1.85</v>
      </c>
      <c r="E30">
        <f>IF(OR(C30="",D30=""),"",C30+D30)</f>
        <v>10201.6</v>
      </c>
    </row>
    <row r="31" spans="1:5" x14ac:dyDescent="0.25">
      <c r="A31" t="str">
        <f>IF(B31=$B$4,"ATM","")</f>
        <v/>
      </c>
      <c r="B31">
        <v>67200</v>
      </c>
      <c r="C31">
        <f>IF(RawData!J751="","",RawData!J751)</f>
        <v>10099.75</v>
      </c>
      <c r="D31">
        <f>IF(RawData!J752="","",RawData!J752)</f>
        <v>1.4</v>
      </c>
      <c r="E31">
        <f>IF(OR(C31="",D31=""),"",C31+D31)</f>
        <v>10101.15</v>
      </c>
    </row>
    <row r="32" spans="1:5" x14ac:dyDescent="0.25">
      <c r="A32" t="str">
        <f>IF(B32=$B$4,"ATM","")</f>
        <v/>
      </c>
      <c r="B32">
        <v>67300</v>
      </c>
      <c r="C32">
        <f>IF(RawData!J753="","",RawData!J753)</f>
        <v>9999.7999999999993</v>
      </c>
      <c r="D32">
        <f>IF(RawData!J754="","",RawData!J754)</f>
        <v>1.1499999999999999</v>
      </c>
      <c r="E32">
        <f>IF(OR(C32="",D32=""),"",C32+D32)</f>
        <v>10000.949999999999</v>
      </c>
    </row>
    <row r="33" spans="1:5" x14ac:dyDescent="0.25">
      <c r="A33" t="str">
        <f>IF(B33=$B$4,"ATM","")</f>
        <v/>
      </c>
      <c r="B33">
        <v>67400</v>
      </c>
      <c r="C33">
        <f>IF(RawData!J755="","",RawData!J755)</f>
        <v>9899.85</v>
      </c>
      <c r="D33">
        <f>IF(RawData!J756="","",RawData!J756)</f>
        <v>1.45</v>
      </c>
      <c r="E33">
        <f>IF(OR(C33="",D33=""),"",C33+D33)</f>
        <v>9901.3000000000011</v>
      </c>
    </row>
    <row r="34" spans="1:5" x14ac:dyDescent="0.25">
      <c r="A34" t="str">
        <f>IF(B34=$B$4,"ATM","")</f>
        <v/>
      </c>
      <c r="B34">
        <v>67500</v>
      </c>
      <c r="C34">
        <f>IF(RawData!J757="","",RawData!J757)</f>
        <v>9799.9</v>
      </c>
      <c r="D34">
        <f>IF(RawData!J758="","",RawData!J758)</f>
        <v>1.1000000000000001</v>
      </c>
      <c r="E34">
        <f>IF(OR(C34="",D34=""),"",C34+D34)</f>
        <v>9801</v>
      </c>
    </row>
    <row r="35" spans="1:5" x14ac:dyDescent="0.25">
      <c r="A35" t="str">
        <f>IF(B35=$B$4,"ATM","")</f>
        <v/>
      </c>
      <c r="B35">
        <v>67600</v>
      </c>
      <c r="C35">
        <f>IF(RawData!J759="","",RawData!J759)</f>
        <v>9699.9500000000007</v>
      </c>
      <c r="D35">
        <f>IF(RawData!J760="","",RawData!J760)</f>
        <v>1.5</v>
      </c>
      <c r="E35">
        <f>IF(OR(C35="",D35=""),"",C35+D35)</f>
        <v>9701.4500000000007</v>
      </c>
    </row>
    <row r="36" spans="1:5" x14ac:dyDescent="0.25">
      <c r="A36" t="str">
        <f>IF(B36=$B$4,"ATM","")</f>
        <v/>
      </c>
      <c r="B36">
        <v>67700</v>
      </c>
      <c r="C36">
        <f>IF(RawData!J761="","",RawData!J761)</f>
        <v>9600</v>
      </c>
      <c r="D36">
        <f>IF(RawData!J762="","",RawData!J762)</f>
        <v>1.7</v>
      </c>
      <c r="E36">
        <f>IF(OR(C36="",D36=""),"",C36+D36)</f>
        <v>9601.7000000000007</v>
      </c>
    </row>
    <row r="37" spans="1:5" x14ac:dyDescent="0.25">
      <c r="A37" t="str">
        <f>IF(B37=$B$4,"ATM","")</f>
        <v/>
      </c>
      <c r="B37">
        <v>67800</v>
      </c>
      <c r="C37">
        <f>IF(RawData!J763="","",RawData!J763)</f>
        <v>9500.0499999999993</v>
      </c>
      <c r="D37">
        <f>IF(RawData!J764="","",RawData!J764)</f>
        <v>1.25</v>
      </c>
      <c r="E37">
        <f>IF(OR(C37="",D37=""),"",C37+D37)</f>
        <v>9501.2999999999993</v>
      </c>
    </row>
    <row r="38" spans="1:5" x14ac:dyDescent="0.25">
      <c r="A38" t="str">
        <f>IF(B38=$B$4,"ATM","")</f>
        <v/>
      </c>
      <c r="B38">
        <v>67900</v>
      </c>
      <c r="C38">
        <f>IF(RawData!J765="","",RawData!J765)</f>
        <v>9400.1</v>
      </c>
      <c r="D38">
        <f>IF(RawData!J766="","",RawData!J766)</f>
        <v>1.35</v>
      </c>
      <c r="E38">
        <f>IF(OR(C38="",D38=""),"",C38+D38)</f>
        <v>9401.4500000000007</v>
      </c>
    </row>
    <row r="39" spans="1:5" x14ac:dyDescent="0.25">
      <c r="A39" t="str">
        <f>IF(B39=$B$4,"ATM","")</f>
        <v/>
      </c>
      <c r="B39">
        <v>68000</v>
      </c>
      <c r="C39">
        <f>IF(RawData!J767="","",RawData!J767)</f>
        <v>8664.9500000000007</v>
      </c>
      <c r="D39">
        <f>IF(RawData!J768="","",RawData!J768)</f>
        <v>1.2</v>
      </c>
      <c r="E39">
        <f>IF(OR(C39="",D39=""),"",C39+D39)</f>
        <v>8666.1500000000015</v>
      </c>
    </row>
    <row r="40" spans="1:5" x14ac:dyDescent="0.25">
      <c r="A40" t="str">
        <f>IF(B40=$B$4,"ATM","")</f>
        <v/>
      </c>
      <c r="B40">
        <v>68100</v>
      </c>
      <c r="C40">
        <f>IF(RawData!J769="","",RawData!J769)</f>
        <v>9200.2000000000007</v>
      </c>
      <c r="D40">
        <f>IF(RawData!J770="","",RawData!J770)</f>
        <v>1.75</v>
      </c>
      <c r="E40">
        <f>IF(OR(C40="",D40=""),"",C40+D40)</f>
        <v>9201.9500000000007</v>
      </c>
    </row>
    <row r="41" spans="1:5" x14ac:dyDescent="0.25">
      <c r="A41" t="str">
        <f>IF(B41=$B$4,"ATM","")</f>
        <v/>
      </c>
      <c r="B41">
        <v>68200</v>
      </c>
      <c r="C41">
        <f>IF(RawData!J771="","",RawData!J771)</f>
        <v>9100.2000000000007</v>
      </c>
      <c r="D41">
        <f>IF(RawData!J772="","",RawData!J772)</f>
        <v>1.35</v>
      </c>
      <c r="E41">
        <f>IF(OR(C41="",D41=""),"",C41+D41)</f>
        <v>9101.5500000000011</v>
      </c>
    </row>
    <row r="42" spans="1:5" x14ac:dyDescent="0.25">
      <c r="A42" t="str">
        <f>IF(B42=$B$4,"ATM","")</f>
        <v/>
      </c>
      <c r="B42">
        <v>68300</v>
      </c>
      <c r="C42">
        <f>IF(RawData!J773="","",RawData!J773)</f>
        <v>9000.25</v>
      </c>
      <c r="D42">
        <f>IF(RawData!J774="","",RawData!J774)</f>
        <v>1.55</v>
      </c>
      <c r="E42">
        <f>IF(OR(C42="",D42=""),"",C42+D42)</f>
        <v>9001.7999999999993</v>
      </c>
    </row>
    <row r="43" spans="1:5" x14ac:dyDescent="0.25">
      <c r="A43" t="str">
        <f>IF(B43=$B$4,"ATM","")</f>
        <v/>
      </c>
      <c r="B43">
        <v>68400</v>
      </c>
      <c r="C43">
        <f>IF(RawData!J775="","",RawData!J775)</f>
        <v>8900.2999999999993</v>
      </c>
      <c r="D43">
        <f>IF(RawData!J776="","",RawData!J776)</f>
        <v>1.65</v>
      </c>
      <c r="E43">
        <f>IF(OR(C43="",D43=""),"",C43+D43)</f>
        <v>8901.9499999999989</v>
      </c>
    </row>
    <row r="44" spans="1:5" x14ac:dyDescent="0.25">
      <c r="A44" t="str">
        <f>IF(B44=$B$4,"ATM","")</f>
        <v/>
      </c>
      <c r="B44">
        <v>68500</v>
      </c>
      <c r="C44">
        <f>IF(RawData!J777="","",RawData!J777)</f>
        <v>8800.35</v>
      </c>
      <c r="D44">
        <f>IF(RawData!J778="","",RawData!J778)</f>
        <v>1</v>
      </c>
      <c r="E44">
        <f>IF(OR(C44="",D44=""),"",C44+D44)</f>
        <v>8801.35</v>
      </c>
    </row>
    <row r="45" spans="1:5" x14ac:dyDescent="0.25">
      <c r="A45" t="str">
        <f>IF(B45=$B$4,"ATM","")</f>
        <v/>
      </c>
      <c r="B45">
        <v>68600</v>
      </c>
      <c r="C45">
        <f>IF(RawData!J779="","",RawData!J779)</f>
        <v>8700.4</v>
      </c>
      <c r="D45">
        <f>IF(RawData!J780="","",RawData!J780)</f>
        <v>1.65</v>
      </c>
      <c r="E45">
        <f>IF(OR(C45="",D45=""),"",C45+D45)</f>
        <v>8702.0499999999993</v>
      </c>
    </row>
    <row r="46" spans="1:5" x14ac:dyDescent="0.25">
      <c r="A46" t="str">
        <f>IF(B46=$B$4,"ATM","")</f>
        <v/>
      </c>
      <c r="B46">
        <v>68700</v>
      </c>
      <c r="C46">
        <f>IF(RawData!J781="","",RawData!J781)</f>
        <v>8600.4500000000007</v>
      </c>
      <c r="D46">
        <f>IF(RawData!J782="","",RawData!J782)</f>
        <v>1.6</v>
      </c>
      <c r="E46">
        <f>IF(OR(C46="",D46=""),"",C46+D46)</f>
        <v>8602.0500000000011</v>
      </c>
    </row>
    <row r="47" spans="1:5" x14ac:dyDescent="0.25">
      <c r="A47" t="str">
        <f>IF(B47=$B$4,"ATM","")</f>
        <v/>
      </c>
      <c r="B47">
        <v>68800</v>
      </c>
      <c r="C47">
        <f>IF(RawData!J783="","",RawData!J783)</f>
        <v>8500.5</v>
      </c>
      <c r="D47">
        <f>IF(RawData!J784="","",RawData!J784)</f>
        <v>1.3</v>
      </c>
      <c r="E47">
        <f>IF(OR(C47="",D47=""),"",C47+D47)</f>
        <v>8501.7999999999993</v>
      </c>
    </row>
    <row r="48" spans="1:5" x14ac:dyDescent="0.25">
      <c r="A48" t="str">
        <f>IF(B48=$B$4,"ATM","")</f>
        <v/>
      </c>
      <c r="B48">
        <v>68900</v>
      </c>
      <c r="C48">
        <f>IF(RawData!J785="","",RawData!J785)</f>
        <v>8400.5499999999993</v>
      </c>
      <c r="D48">
        <f>IF(RawData!J786="","",RawData!J786)</f>
        <v>1.4</v>
      </c>
      <c r="E48">
        <f>IF(OR(C48="",D48=""),"",C48+D48)</f>
        <v>8401.9499999999989</v>
      </c>
    </row>
    <row r="49" spans="1:5" x14ac:dyDescent="0.25">
      <c r="A49" t="str">
        <f>IF(B49=$B$4,"ATM","")</f>
        <v/>
      </c>
      <c r="B49">
        <v>69000</v>
      </c>
      <c r="C49">
        <f>IF(RawData!J787="","",RawData!J787)</f>
        <v>8300.6</v>
      </c>
      <c r="D49">
        <f>IF(RawData!J788="","",RawData!J788)</f>
        <v>1.2</v>
      </c>
      <c r="E49">
        <f>IF(OR(C49="",D49=""),"",C49+D49)</f>
        <v>8301.8000000000011</v>
      </c>
    </row>
    <row r="50" spans="1:5" x14ac:dyDescent="0.25">
      <c r="A50" t="str">
        <f>IF(B50=$B$4,"ATM","")</f>
        <v/>
      </c>
      <c r="B50">
        <v>69100</v>
      </c>
      <c r="C50">
        <f>IF(RawData!J789="","",RawData!J789)</f>
        <v>8200.65</v>
      </c>
      <c r="D50">
        <f>IF(RawData!J790="","",RawData!J790)</f>
        <v>1.5</v>
      </c>
      <c r="E50">
        <f>IF(OR(C50="",D50=""),"",C50+D50)</f>
        <v>8202.15</v>
      </c>
    </row>
    <row r="51" spans="1:5" x14ac:dyDescent="0.25">
      <c r="A51" t="str">
        <f>IF(B51=$B$4,"ATM","")</f>
        <v/>
      </c>
      <c r="B51">
        <v>69200</v>
      </c>
      <c r="C51">
        <f>IF(RawData!J791="","",RawData!J791)</f>
        <v>8100.65</v>
      </c>
      <c r="D51">
        <f>IF(RawData!J792="","",RawData!J792)</f>
        <v>1.45</v>
      </c>
      <c r="E51">
        <f>IF(OR(C51="",D51=""),"",C51+D51)</f>
        <v>8102.0999999999995</v>
      </c>
    </row>
    <row r="52" spans="1:5" x14ac:dyDescent="0.25">
      <c r="A52" t="str">
        <f>IF(B52=$B$4,"ATM","")</f>
        <v/>
      </c>
      <c r="B52">
        <v>69300</v>
      </c>
      <c r="C52">
        <f>IF(RawData!J793="","",RawData!J793)</f>
        <v>8000.7</v>
      </c>
      <c r="D52">
        <f>IF(RawData!J794="","",RawData!J794)</f>
        <v>1.65</v>
      </c>
      <c r="E52">
        <f>IF(OR(C52="",D52=""),"",C52+D52)</f>
        <v>8002.3499999999995</v>
      </c>
    </row>
    <row r="53" spans="1:5" x14ac:dyDescent="0.25">
      <c r="A53" t="str">
        <f>IF(B53=$B$4,"ATM","")</f>
        <v/>
      </c>
      <c r="B53">
        <v>69400</v>
      </c>
      <c r="C53">
        <f>IF(RawData!J795="","",RawData!J795)</f>
        <v>7900.75</v>
      </c>
      <c r="D53">
        <f>IF(RawData!J796="","",RawData!J796)</f>
        <v>1.05</v>
      </c>
      <c r="E53">
        <f>IF(OR(C53="",D53=""),"",C53+D53)</f>
        <v>7901.8</v>
      </c>
    </row>
    <row r="54" spans="1:5" x14ac:dyDescent="0.25">
      <c r="A54" t="str">
        <f>IF(B54=$B$4,"ATM","")</f>
        <v/>
      </c>
      <c r="B54">
        <v>69500</v>
      </c>
      <c r="C54">
        <f>IF(RawData!J797="","",RawData!J797)</f>
        <v>7800.8</v>
      </c>
      <c r="D54">
        <f>IF(RawData!J798="","",RawData!J798)</f>
        <v>1.05</v>
      </c>
      <c r="E54">
        <f>IF(OR(C54="",D54=""),"",C54+D54)</f>
        <v>7801.85</v>
      </c>
    </row>
    <row r="55" spans="1:5" x14ac:dyDescent="0.25">
      <c r="A55" t="str">
        <f>IF(B55=$B$4,"ATM","")</f>
        <v/>
      </c>
      <c r="B55">
        <v>69600</v>
      </c>
      <c r="C55">
        <f>IF(RawData!J799="","",RawData!J799)</f>
        <v>7700.85</v>
      </c>
      <c r="D55">
        <f>IF(RawData!J800="","",RawData!J800)</f>
        <v>1.3</v>
      </c>
      <c r="E55">
        <f>IF(OR(C55="",D55=""),"",C55+D55)</f>
        <v>7702.1500000000005</v>
      </c>
    </row>
    <row r="56" spans="1:5" x14ac:dyDescent="0.25">
      <c r="A56" t="str">
        <f>IF(B56=$B$4,"ATM","")</f>
        <v/>
      </c>
      <c r="B56">
        <v>69700</v>
      </c>
      <c r="C56">
        <f>IF(RawData!J801="","",RawData!J801)</f>
        <v>7600.9</v>
      </c>
      <c r="D56">
        <f>IF(RawData!J802="","",RawData!J802)</f>
        <v>1.3</v>
      </c>
      <c r="E56">
        <f>IF(OR(C56="",D56=""),"",C56+D56)</f>
        <v>7602.2</v>
      </c>
    </row>
    <row r="57" spans="1:5" x14ac:dyDescent="0.25">
      <c r="A57" t="str">
        <f>IF(B57=$B$4,"ATM","")</f>
        <v/>
      </c>
      <c r="B57">
        <v>69800</v>
      </c>
      <c r="C57">
        <f>IF(RawData!J803="","",RawData!J803)</f>
        <v>7500.95</v>
      </c>
      <c r="D57">
        <f>IF(RawData!J804="","",RawData!J804)</f>
        <v>1.45</v>
      </c>
      <c r="E57">
        <f>IF(OR(C57="",D57=""),"",C57+D57)</f>
        <v>7502.4</v>
      </c>
    </row>
    <row r="58" spans="1:5" x14ac:dyDescent="0.25">
      <c r="A58" t="str">
        <f>IF(B58=$B$4,"ATM","")</f>
        <v/>
      </c>
      <c r="B58">
        <v>69900</v>
      </c>
      <c r="C58">
        <f>IF(RawData!J805="","",RawData!J805)</f>
        <v>7401</v>
      </c>
      <c r="D58">
        <f>IF(RawData!J806="","",RawData!J806)</f>
        <v>1.6</v>
      </c>
      <c r="E58">
        <f>IF(OR(C58="",D58=""),"",C58+D58)</f>
        <v>7402.6</v>
      </c>
    </row>
    <row r="59" spans="1:5" x14ac:dyDescent="0.25">
      <c r="A59" t="str">
        <f>IF(B59=$B$4,"ATM","")</f>
        <v/>
      </c>
      <c r="B59">
        <v>70000</v>
      </c>
      <c r="C59">
        <f>IF(RawData!J807="","",RawData!J807)</f>
        <v>7301.05</v>
      </c>
      <c r="D59">
        <f>IF(RawData!J808="","",RawData!J808)</f>
        <v>1.1499999999999999</v>
      </c>
      <c r="E59">
        <f>IF(OR(C59="",D59=""),"",C59+D59)</f>
        <v>7302.2</v>
      </c>
    </row>
    <row r="60" spans="1:5" x14ac:dyDescent="0.25">
      <c r="A60" t="str">
        <f>IF(B60=$B$4,"ATM","")</f>
        <v/>
      </c>
      <c r="B60">
        <v>70100</v>
      </c>
      <c r="C60">
        <f>IF(RawData!J809="","",RawData!J809)</f>
        <v>7201.1</v>
      </c>
      <c r="D60">
        <f>IF(RawData!J810="","",RawData!J810)</f>
        <v>1.35</v>
      </c>
      <c r="E60">
        <f>IF(OR(C60="",D60=""),"",C60+D60)</f>
        <v>7202.4500000000007</v>
      </c>
    </row>
    <row r="61" spans="1:5" x14ac:dyDescent="0.25">
      <c r="A61" t="str">
        <f>IF(B61=$B$4,"ATM","")</f>
        <v/>
      </c>
      <c r="B61">
        <v>70200</v>
      </c>
      <c r="C61">
        <f>IF(RawData!J811="","",RawData!J811)</f>
        <v>7101.15</v>
      </c>
      <c r="D61">
        <f>IF(RawData!J812="","",RawData!J812)</f>
        <v>1.4</v>
      </c>
      <c r="E61">
        <f>IF(OR(C61="",D61=""),"",C61+D61)</f>
        <v>7102.5499999999993</v>
      </c>
    </row>
    <row r="62" spans="1:5" x14ac:dyDescent="0.25">
      <c r="A62" t="str">
        <f>IF(B62=$B$4,"ATM","")</f>
        <v/>
      </c>
      <c r="B62">
        <v>70300</v>
      </c>
      <c r="C62">
        <f>IF(RawData!J813="","",RawData!J813)</f>
        <v>7001.15</v>
      </c>
      <c r="D62">
        <f>IF(RawData!J814="","",RawData!J814)</f>
        <v>1.4</v>
      </c>
      <c r="E62">
        <f>IF(OR(C62="",D62=""),"",C62+D62)</f>
        <v>7002.5499999999993</v>
      </c>
    </row>
    <row r="63" spans="1:5" x14ac:dyDescent="0.25">
      <c r="A63" t="str">
        <f>IF(B63=$B$4,"ATM","")</f>
        <v/>
      </c>
      <c r="B63">
        <v>70400</v>
      </c>
      <c r="C63">
        <f>IF(RawData!J815="","",RawData!J815)</f>
        <v>6901.2</v>
      </c>
      <c r="D63">
        <f>IF(RawData!J816="","",RawData!J816)</f>
        <v>1.1499999999999999</v>
      </c>
      <c r="E63">
        <f>IF(OR(C63="",D63=""),"",C63+D63)</f>
        <v>6902.3499999999995</v>
      </c>
    </row>
    <row r="64" spans="1:5" x14ac:dyDescent="0.25">
      <c r="A64" t="str">
        <f>IF(B64=$B$4,"ATM","")</f>
        <v/>
      </c>
      <c r="B64">
        <v>70500</v>
      </c>
      <c r="C64">
        <f>IF(RawData!J817="","",RawData!J817)</f>
        <v>6801.25</v>
      </c>
      <c r="D64">
        <f>IF(RawData!J818="","",RawData!J818)</f>
        <v>1.3</v>
      </c>
      <c r="E64">
        <f>IF(OR(C64="",D64=""),"",C64+D64)</f>
        <v>6802.55</v>
      </c>
    </row>
    <row r="65" spans="1:5" x14ac:dyDescent="0.25">
      <c r="A65" t="str">
        <f>IF(B65=$B$4,"ATM","")</f>
        <v/>
      </c>
      <c r="B65">
        <v>70600</v>
      </c>
      <c r="C65">
        <f>IF(RawData!J819="","",RawData!J819)</f>
        <v>6701.3</v>
      </c>
      <c r="D65">
        <f>IF(RawData!J820="","",RawData!J820)</f>
        <v>1.75</v>
      </c>
      <c r="E65">
        <f>IF(OR(C65="",D65=""),"",C65+D65)</f>
        <v>6703.05</v>
      </c>
    </row>
    <row r="66" spans="1:5" x14ac:dyDescent="0.25">
      <c r="A66" t="str">
        <f>IF(B66=$B$4,"ATM","")</f>
        <v/>
      </c>
      <c r="B66">
        <v>70700</v>
      </c>
      <c r="C66">
        <f>IF(RawData!J821="","",RawData!J821)</f>
        <v>6601.35</v>
      </c>
      <c r="D66">
        <f>IF(RawData!J822="","",RawData!J822)</f>
        <v>1.7</v>
      </c>
      <c r="E66">
        <f>IF(OR(C66="",D66=""),"",C66+D66)</f>
        <v>6603.05</v>
      </c>
    </row>
    <row r="67" spans="1:5" x14ac:dyDescent="0.25">
      <c r="A67" t="str">
        <f>IF(B67=$B$4,"ATM","")</f>
        <v/>
      </c>
      <c r="B67">
        <v>70800</v>
      </c>
      <c r="C67">
        <f>IF(RawData!J823="","",RawData!J823)</f>
        <v>6501.4</v>
      </c>
      <c r="D67">
        <f>IF(RawData!J824="","",RawData!J824)</f>
        <v>2.0499999999999998</v>
      </c>
      <c r="E67">
        <f>IF(OR(C67="",D67=""),"",C67+D67)</f>
        <v>6503.45</v>
      </c>
    </row>
    <row r="68" spans="1:5" x14ac:dyDescent="0.25">
      <c r="A68" t="str">
        <f>IF(B68=$B$4,"ATM","")</f>
        <v/>
      </c>
      <c r="B68">
        <v>70900</v>
      </c>
      <c r="C68">
        <f>IF(RawData!J825="","",RawData!J825)</f>
        <v>6401.45</v>
      </c>
      <c r="D68">
        <f>IF(RawData!J826="","",RawData!J826)</f>
        <v>1.55</v>
      </c>
      <c r="E68">
        <f>IF(OR(C68="",D68=""),"",C68+D68)</f>
        <v>6403</v>
      </c>
    </row>
    <row r="69" spans="1:5" x14ac:dyDescent="0.25">
      <c r="A69" t="str">
        <f>IF(B69=$B$4,"ATM","")</f>
        <v/>
      </c>
      <c r="B69">
        <v>71000</v>
      </c>
      <c r="C69">
        <f>IF(RawData!J827="","",RawData!J827)</f>
        <v>6301.5</v>
      </c>
      <c r="D69">
        <f>IF(RawData!J828="","",RawData!J828)</f>
        <v>1.5</v>
      </c>
      <c r="E69">
        <f>IF(OR(C69="",D69=""),"",C69+D69)</f>
        <v>6303</v>
      </c>
    </row>
    <row r="70" spans="1:5" x14ac:dyDescent="0.25">
      <c r="A70" t="str">
        <f>IF(B70=$B$4,"ATM","")</f>
        <v/>
      </c>
      <c r="B70">
        <v>71100</v>
      </c>
      <c r="C70">
        <f>IF(RawData!J829="","",RawData!J829)</f>
        <v>6201.55</v>
      </c>
      <c r="D70">
        <f>IF(RawData!J830="","",RawData!J830)</f>
        <v>1.6</v>
      </c>
      <c r="E70">
        <f>IF(OR(C70="",D70=""),"",C70+D70)</f>
        <v>6203.1500000000005</v>
      </c>
    </row>
    <row r="71" spans="1:5" x14ac:dyDescent="0.25">
      <c r="A71" t="str">
        <f>IF(B71=$B$4,"ATM","")</f>
        <v/>
      </c>
      <c r="B71">
        <v>71200</v>
      </c>
      <c r="C71">
        <f>IF(RawData!J831="","",RawData!J831)</f>
        <v>6101.6</v>
      </c>
      <c r="D71">
        <f>IF(RawData!J832="","",RawData!J832)</f>
        <v>1.65</v>
      </c>
      <c r="E71">
        <f>IF(OR(C71="",D71=""),"",C71+D71)</f>
        <v>6103.25</v>
      </c>
    </row>
    <row r="72" spans="1:5" x14ac:dyDescent="0.25">
      <c r="A72" t="str">
        <f>IF(B72=$B$4,"ATM","")</f>
        <v/>
      </c>
      <c r="B72">
        <v>71300</v>
      </c>
      <c r="C72">
        <f>IF(RawData!J833="","",RawData!J833)</f>
        <v>6001.65</v>
      </c>
      <c r="D72">
        <f>IF(RawData!J834="","",RawData!J834)</f>
        <v>1.6</v>
      </c>
      <c r="E72">
        <f>IF(OR(C72="",D72=""),"",C72+D72)</f>
        <v>6003.25</v>
      </c>
    </row>
    <row r="73" spans="1:5" x14ac:dyDescent="0.25">
      <c r="A73" t="str">
        <f>IF(B73=$B$4,"ATM","")</f>
        <v/>
      </c>
      <c r="B73">
        <v>71400</v>
      </c>
      <c r="C73">
        <f>IF(RawData!J835="","",RawData!J835)</f>
        <v>5901.7</v>
      </c>
      <c r="D73">
        <f>IF(RawData!J836="","",RawData!J836)</f>
        <v>1.65</v>
      </c>
      <c r="E73">
        <f>IF(OR(C73="",D73=""),"",C73+D73)</f>
        <v>5903.3499999999995</v>
      </c>
    </row>
    <row r="74" spans="1:5" x14ac:dyDescent="0.25">
      <c r="A74" t="str">
        <f>IF(B74=$B$4,"ATM","")</f>
        <v/>
      </c>
      <c r="B74">
        <v>71500</v>
      </c>
      <c r="C74">
        <f>IF(RawData!J837="","",RawData!J837)</f>
        <v>5801.75</v>
      </c>
      <c r="D74">
        <f>IF(RawData!J838="","",RawData!J838)</f>
        <v>1.45</v>
      </c>
      <c r="E74">
        <f>IF(OR(C74="",D74=""),"",C74+D74)</f>
        <v>5803.2</v>
      </c>
    </row>
    <row r="75" spans="1:5" x14ac:dyDescent="0.25">
      <c r="A75" t="str">
        <f>IF(B75=$B$4,"ATM","")</f>
        <v/>
      </c>
      <c r="B75">
        <v>71600</v>
      </c>
      <c r="C75">
        <f>IF(RawData!J839="","",RawData!J839)</f>
        <v>5701.8</v>
      </c>
      <c r="D75">
        <f>IF(RawData!J840="","",RawData!J840)</f>
        <v>1.75</v>
      </c>
      <c r="E75">
        <f>IF(OR(C75="",D75=""),"",C75+D75)</f>
        <v>5703.55</v>
      </c>
    </row>
    <row r="76" spans="1:5" x14ac:dyDescent="0.25">
      <c r="A76" t="str">
        <f>IF(B76=$B$4,"ATM","")</f>
        <v/>
      </c>
      <c r="B76">
        <v>71700</v>
      </c>
      <c r="C76">
        <f>IF(RawData!J841="","",RawData!J841)</f>
        <v>5601.85</v>
      </c>
      <c r="D76">
        <f>IF(RawData!J842="","",RawData!J842)</f>
        <v>1.4</v>
      </c>
      <c r="E76">
        <f>IF(OR(C76="",D76=""),"",C76+D76)</f>
        <v>5603.25</v>
      </c>
    </row>
    <row r="77" spans="1:5" x14ac:dyDescent="0.25">
      <c r="A77" t="str">
        <f>IF(B77=$B$4,"ATM","")</f>
        <v/>
      </c>
      <c r="B77">
        <v>71800</v>
      </c>
      <c r="C77">
        <f>IF(RawData!J843="","",RawData!J843)</f>
        <v>5501.9</v>
      </c>
      <c r="D77">
        <f>IF(RawData!J844="","",RawData!J844)</f>
        <v>1.55</v>
      </c>
      <c r="E77">
        <f>IF(OR(C77="",D77=""),"",C77+D77)</f>
        <v>5503.45</v>
      </c>
    </row>
    <row r="78" spans="1:5" x14ac:dyDescent="0.25">
      <c r="A78" t="str">
        <f>IF(B78=$B$4,"ATM","")</f>
        <v/>
      </c>
      <c r="B78">
        <v>71900</v>
      </c>
      <c r="C78">
        <f>IF(RawData!J845="","",RawData!J845)</f>
        <v>5401.95</v>
      </c>
      <c r="D78">
        <f>IF(RawData!J846="","",RawData!J846)</f>
        <v>1.4</v>
      </c>
      <c r="E78">
        <f>IF(OR(C78="",D78=""),"",C78+D78)</f>
        <v>5403.3499999999995</v>
      </c>
    </row>
    <row r="79" spans="1:5" x14ac:dyDescent="0.25">
      <c r="A79" t="str">
        <f>IF(B79=$B$4,"ATM","")</f>
        <v/>
      </c>
      <c r="B79">
        <v>72000</v>
      </c>
      <c r="C79">
        <f>IF(RawData!J847="","",RawData!J847)</f>
        <v>5302</v>
      </c>
      <c r="D79">
        <f>IF(RawData!J848="","",RawData!J848)</f>
        <v>1.6</v>
      </c>
      <c r="E79">
        <f>IF(OR(C79="",D79=""),"",C79+D79)</f>
        <v>5303.6</v>
      </c>
    </row>
    <row r="80" spans="1:5" x14ac:dyDescent="0.25">
      <c r="A80" t="str">
        <f>IF(B80=$B$4,"ATM","")</f>
        <v/>
      </c>
      <c r="B80">
        <v>72100</v>
      </c>
      <c r="C80">
        <f>IF(RawData!J849="","",RawData!J849)</f>
        <v>5202.05</v>
      </c>
      <c r="D80">
        <f>IF(RawData!J850="","",RawData!J850)</f>
        <v>1.6</v>
      </c>
      <c r="E80">
        <f>IF(OR(C80="",D80=""),"",C80+D80)</f>
        <v>5203.6500000000005</v>
      </c>
    </row>
    <row r="81" spans="1:5" x14ac:dyDescent="0.25">
      <c r="A81" t="str">
        <f>IF(B81=$B$4,"ATM","")</f>
        <v/>
      </c>
      <c r="B81">
        <v>72200</v>
      </c>
      <c r="C81">
        <f>IF(RawData!J851="","",RawData!J851)</f>
        <v>5102.1499999999996</v>
      </c>
      <c r="D81">
        <f>IF(RawData!J852="","",RawData!J852)</f>
        <v>1.6</v>
      </c>
      <c r="E81">
        <f>IF(OR(C81="",D81=""),"",C81+D81)</f>
        <v>5103.75</v>
      </c>
    </row>
    <row r="82" spans="1:5" x14ac:dyDescent="0.25">
      <c r="A82" t="str">
        <f>IF(B82=$B$4,"ATM","")</f>
        <v/>
      </c>
      <c r="B82">
        <v>72300</v>
      </c>
      <c r="C82">
        <f>IF(RawData!J853="","",RawData!J853)</f>
        <v>5002.25</v>
      </c>
      <c r="D82">
        <f>IF(RawData!J854="","",RawData!J854)</f>
        <v>1.45</v>
      </c>
      <c r="E82">
        <f>IF(OR(C82="",D82=""),"",C82+D82)</f>
        <v>5003.7</v>
      </c>
    </row>
    <row r="83" spans="1:5" x14ac:dyDescent="0.25">
      <c r="A83" t="str">
        <f>IF(B83=$B$4,"ATM","")</f>
        <v/>
      </c>
      <c r="B83">
        <v>72400</v>
      </c>
      <c r="C83">
        <f>IF(RawData!J855="","",RawData!J855)</f>
        <v>4902.3</v>
      </c>
      <c r="D83">
        <f>IF(RawData!J856="","",RawData!J856)</f>
        <v>1.7</v>
      </c>
      <c r="E83">
        <f>IF(OR(C83="",D83=""),"",C83+D83)</f>
        <v>4904</v>
      </c>
    </row>
    <row r="84" spans="1:5" x14ac:dyDescent="0.25">
      <c r="A84" t="str">
        <f>IF(B84=$B$4,"ATM","")</f>
        <v/>
      </c>
      <c r="B84">
        <v>72500</v>
      </c>
      <c r="C84">
        <f>IF(RawData!J857="","",RawData!J857)</f>
        <v>4802.45</v>
      </c>
      <c r="D84">
        <f>IF(RawData!J858="","",RawData!J858)</f>
        <v>1.8</v>
      </c>
      <c r="E84">
        <f>IF(OR(C84="",D84=""),"",C84+D84)</f>
        <v>4804.25</v>
      </c>
    </row>
    <row r="85" spans="1:5" x14ac:dyDescent="0.25">
      <c r="A85" t="str">
        <f>IF(B85=$B$4,"ATM","")</f>
        <v/>
      </c>
      <c r="B85">
        <v>72600</v>
      </c>
      <c r="C85">
        <f>IF(RawData!J859="","",RawData!J859)</f>
        <v>4702.55</v>
      </c>
      <c r="D85">
        <f>IF(RawData!J860="","",RawData!J860)</f>
        <v>1.8</v>
      </c>
      <c r="E85">
        <f>IF(OR(C85="",D85=""),"",C85+D85)</f>
        <v>4704.3500000000004</v>
      </c>
    </row>
    <row r="86" spans="1:5" x14ac:dyDescent="0.25">
      <c r="A86" t="str">
        <f>IF(B86=$B$4,"ATM","")</f>
        <v/>
      </c>
      <c r="B86">
        <v>72700</v>
      </c>
      <c r="C86">
        <f>IF(RawData!J861="","",RawData!J861)</f>
        <v>4602.7</v>
      </c>
      <c r="D86">
        <f>IF(RawData!J862="","",RawData!J862)</f>
        <v>1.75</v>
      </c>
      <c r="E86">
        <f>IF(OR(C86="",D86=""),"",C86+D86)</f>
        <v>4604.45</v>
      </c>
    </row>
    <row r="87" spans="1:5" x14ac:dyDescent="0.25">
      <c r="A87" t="str">
        <f>IF(B87=$B$4,"ATM","")</f>
        <v/>
      </c>
      <c r="B87">
        <v>72800</v>
      </c>
      <c r="C87">
        <f>IF(RawData!J863="","",RawData!J863)</f>
        <v>4502.8500000000004</v>
      </c>
      <c r="D87">
        <f>IF(RawData!J864="","",RawData!J864)</f>
        <v>1.65</v>
      </c>
      <c r="E87">
        <f>IF(OR(C87="",D87=""),"",C87+D87)</f>
        <v>4504.5</v>
      </c>
    </row>
    <row r="88" spans="1:5" x14ac:dyDescent="0.25">
      <c r="A88" t="str">
        <f>IF(B88=$B$4,"ATM","")</f>
        <v/>
      </c>
      <c r="B88">
        <v>72900</v>
      </c>
      <c r="C88">
        <f>IF(RawData!J865="","",RawData!J865)</f>
        <v>4403.05</v>
      </c>
      <c r="D88">
        <f>IF(RawData!J866="","",RawData!J866)</f>
        <v>2.25</v>
      </c>
      <c r="E88">
        <f>IF(OR(C88="",D88=""),"",C88+D88)</f>
        <v>4405.3</v>
      </c>
    </row>
    <row r="89" spans="1:5" x14ac:dyDescent="0.25">
      <c r="A89" t="str">
        <f>IF(B89=$B$4,"ATM","")</f>
        <v/>
      </c>
      <c r="B89">
        <v>73000</v>
      </c>
      <c r="C89">
        <f>IF(RawData!J867="","",RawData!J867)</f>
        <v>3687.25</v>
      </c>
      <c r="D89">
        <f>IF(RawData!J868="","",RawData!J868)</f>
        <v>2</v>
      </c>
      <c r="E89">
        <f>IF(OR(C89="",D89=""),"",C89+D89)</f>
        <v>3689.25</v>
      </c>
    </row>
    <row r="90" spans="1:5" x14ac:dyDescent="0.25">
      <c r="A90" t="str">
        <f>IF(B90=$B$4,"ATM","")</f>
        <v/>
      </c>
      <c r="B90">
        <v>73100</v>
      </c>
      <c r="C90">
        <f>IF(RawData!J869="","",RawData!J869)</f>
        <v>4203.55</v>
      </c>
      <c r="D90">
        <f>IF(RawData!J870="","",RawData!J870)</f>
        <v>2.1</v>
      </c>
      <c r="E90">
        <f>IF(OR(C90="",D90=""),"",C90+D90)</f>
        <v>4205.6500000000005</v>
      </c>
    </row>
    <row r="91" spans="1:5" x14ac:dyDescent="0.25">
      <c r="A91" t="str">
        <f>IF(B91=$B$4,"ATM","")</f>
        <v/>
      </c>
      <c r="B91">
        <v>73200</v>
      </c>
      <c r="C91">
        <f>IF(RawData!J871="","",RawData!J871)</f>
        <v>4103.8999999999996</v>
      </c>
      <c r="D91">
        <f>IF(RawData!J872="","",RawData!J872)</f>
        <v>2.2000000000000002</v>
      </c>
      <c r="E91">
        <f>IF(OR(C91="",D91=""),"",C91+D91)</f>
        <v>4106.0999999999995</v>
      </c>
    </row>
    <row r="92" spans="1:5" x14ac:dyDescent="0.25">
      <c r="A92" t="str">
        <f>IF(B92=$B$4,"ATM","")</f>
        <v/>
      </c>
      <c r="B92">
        <v>73300</v>
      </c>
      <c r="C92">
        <f>IF(RawData!J873="","",RawData!J873)</f>
        <v>4004.3</v>
      </c>
      <c r="D92">
        <f>IF(RawData!J874="","",RawData!J874)</f>
        <v>2.6</v>
      </c>
      <c r="E92">
        <f>IF(OR(C92="",D92=""),"",C92+D92)</f>
        <v>4006.9</v>
      </c>
    </row>
    <row r="93" spans="1:5" x14ac:dyDescent="0.25">
      <c r="A93" t="str">
        <f>IF(B93=$B$4,"ATM","")</f>
        <v/>
      </c>
      <c r="B93">
        <v>73400</v>
      </c>
      <c r="C93">
        <f>IF(RawData!J875="","",RawData!J875)</f>
        <v>3904.8</v>
      </c>
      <c r="D93">
        <f>IF(RawData!J876="","",RawData!J876)</f>
        <v>2.75</v>
      </c>
      <c r="E93">
        <f>IF(OR(C93="",D93=""),"",C93+D93)</f>
        <v>3907.55</v>
      </c>
    </row>
    <row r="94" spans="1:5" x14ac:dyDescent="0.25">
      <c r="A94" t="str">
        <f>IF(B94=$B$4,"ATM","")</f>
        <v/>
      </c>
      <c r="B94">
        <v>73500</v>
      </c>
      <c r="C94">
        <f>IF(RawData!J877="","",RawData!J877)</f>
        <v>3805.35</v>
      </c>
      <c r="D94">
        <f>IF(RawData!J878="","",RawData!J878)</f>
        <v>2.65</v>
      </c>
      <c r="E94">
        <f>IF(OR(C94="",D94=""),"",C94+D94)</f>
        <v>3808</v>
      </c>
    </row>
    <row r="95" spans="1:5" x14ac:dyDescent="0.25">
      <c r="A95" t="str">
        <f>IF(B95=$B$4,"ATM","")</f>
        <v/>
      </c>
      <c r="B95">
        <v>73600</v>
      </c>
      <c r="C95">
        <f>IF(RawData!J879="","",RawData!J879)</f>
        <v>3706.05</v>
      </c>
      <c r="D95">
        <f>IF(RawData!J880="","",RawData!J880)</f>
        <v>2.9</v>
      </c>
      <c r="E95">
        <f>IF(OR(C95="",D95=""),"",C95+D95)</f>
        <v>3708.9500000000003</v>
      </c>
    </row>
    <row r="96" spans="1:5" x14ac:dyDescent="0.25">
      <c r="A96" t="str">
        <f>IF(B96=$B$4,"ATM","")</f>
        <v/>
      </c>
      <c r="B96">
        <v>73700</v>
      </c>
      <c r="C96">
        <f>IF(RawData!J881="","",RawData!J881)</f>
        <v>3606.9</v>
      </c>
      <c r="D96">
        <f>IF(RawData!J882="","",RawData!J882)</f>
        <v>3.2</v>
      </c>
      <c r="E96">
        <f>IF(OR(C96="",D96=""),"",C96+D96)</f>
        <v>3610.1</v>
      </c>
    </row>
    <row r="97" spans="1:5" x14ac:dyDescent="0.25">
      <c r="A97" t="str">
        <f>IF(B97=$B$4,"ATM","")</f>
        <v/>
      </c>
      <c r="B97">
        <v>73800</v>
      </c>
      <c r="C97">
        <f>IF(RawData!J883="","",RawData!J883)</f>
        <v>3507.85</v>
      </c>
      <c r="D97">
        <f>IF(RawData!J884="","",RawData!J884)</f>
        <v>3.65</v>
      </c>
      <c r="E97">
        <f>IF(OR(C97="",D97=""),"",C97+D97)</f>
        <v>3511.5</v>
      </c>
    </row>
    <row r="98" spans="1:5" x14ac:dyDescent="0.25">
      <c r="A98" t="str">
        <f>IF(B98=$B$4,"ATM","")</f>
        <v/>
      </c>
      <c r="B98">
        <v>73900</v>
      </c>
      <c r="C98">
        <f>IF(RawData!J885="","",RawData!J885)</f>
        <v>3409.05</v>
      </c>
      <c r="D98">
        <f>IF(RawData!J886="","",RawData!J886)</f>
        <v>4.25</v>
      </c>
      <c r="E98">
        <f>IF(OR(C98="",D98=""),"",C98+D98)</f>
        <v>3413.3</v>
      </c>
    </row>
    <row r="99" spans="1:5" x14ac:dyDescent="0.25">
      <c r="A99" t="str">
        <f>IF(B99=$B$4,"ATM","")</f>
        <v/>
      </c>
      <c r="B99">
        <v>74000</v>
      </c>
      <c r="C99">
        <f>IF(RawData!J887="","",RawData!J887)</f>
        <v>3115</v>
      </c>
      <c r="D99">
        <f>IF(RawData!J888="","",RawData!J888)</f>
        <v>4.4000000000000004</v>
      </c>
      <c r="E99">
        <f>IF(OR(C99="",D99=""),"",C99+D99)</f>
        <v>3119.4</v>
      </c>
    </row>
    <row r="100" spans="1:5" x14ac:dyDescent="0.25">
      <c r="A100" t="str">
        <f>IF(B100=$B$4,"ATM","")</f>
        <v/>
      </c>
      <c r="B100">
        <v>74100</v>
      </c>
      <c r="C100">
        <f>IF(RawData!J889="","",RawData!J889)</f>
        <v>3212.05</v>
      </c>
      <c r="D100">
        <f>IF(RawData!J890="","",RawData!J890)</f>
        <v>5.5</v>
      </c>
      <c r="E100">
        <f>IF(OR(C100="",D100=""),"",C100+D100)</f>
        <v>3217.55</v>
      </c>
    </row>
    <row r="101" spans="1:5" x14ac:dyDescent="0.25">
      <c r="A101" t="str">
        <f>IF(B101=$B$4,"ATM","")</f>
        <v/>
      </c>
      <c r="B101">
        <v>74200</v>
      </c>
      <c r="C101">
        <f>IF(RawData!J891="","",RawData!J891)</f>
        <v>3114</v>
      </c>
      <c r="D101">
        <f>IF(RawData!J892="","",RawData!J892)</f>
        <v>5.95</v>
      </c>
      <c r="E101">
        <f>IF(OR(C101="",D101=""),"",C101+D101)</f>
        <v>3119.95</v>
      </c>
    </row>
    <row r="102" spans="1:5" x14ac:dyDescent="0.25">
      <c r="A102" t="str">
        <f>IF(B102=$B$4,"ATM","")</f>
        <v/>
      </c>
      <c r="B102">
        <v>74300</v>
      </c>
      <c r="C102">
        <f>IF(RawData!J893="","",RawData!J893)</f>
        <v>3016.25</v>
      </c>
      <c r="D102">
        <f>IF(RawData!J894="","",RawData!J894)</f>
        <v>7.4</v>
      </c>
      <c r="E102">
        <f>IF(OR(C102="",D102=""),"",C102+D102)</f>
        <v>3023.65</v>
      </c>
    </row>
    <row r="103" spans="1:5" x14ac:dyDescent="0.25">
      <c r="A103" t="str">
        <f>IF(B103=$B$4,"ATM","")</f>
        <v/>
      </c>
      <c r="B103">
        <v>74400</v>
      </c>
      <c r="C103">
        <f>IF(RawData!J895="","",RawData!J895)</f>
        <v>2918.9</v>
      </c>
      <c r="D103">
        <f>IF(RawData!J896="","",RawData!J896)</f>
        <v>8.0500000000000007</v>
      </c>
      <c r="E103">
        <f>IF(OR(C103="",D103=""),"",C103+D103)</f>
        <v>2926.9500000000003</v>
      </c>
    </row>
    <row r="104" spans="1:5" x14ac:dyDescent="0.25">
      <c r="A104" t="str">
        <f>IF(B104=$B$4,"ATM","")</f>
        <v/>
      </c>
      <c r="B104">
        <v>74500</v>
      </c>
      <c r="C104">
        <f>IF(RawData!J897="","",RawData!J897)</f>
        <v>2986</v>
      </c>
      <c r="D104">
        <f>IF(RawData!J898="","",RawData!J898)</f>
        <v>9.4</v>
      </c>
      <c r="E104">
        <f>IF(OR(C104="",D104=""),"",C104+D104)</f>
        <v>2995.4</v>
      </c>
    </row>
    <row r="105" spans="1:5" x14ac:dyDescent="0.25">
      <c r="A105" t="str">
        <f>IF(B105=$B$4,"ATM","")</f>
        <v/>
      </c>
      <c r="B105">
        <v>74600</v>
      </c>
      <c r="C105">
        <f>IF(RawData!J899="","",RawData!J899)</f>
        <v>2725.55</v>
      </c>
      <c r="D105">
        <f>IF(RawData!J900="","",RawData!J900)</f>
        <v>11.5</v>
      </c>
      <c r="E105">
        <f>IF(OR(C105="",D105=""),"",C105+D105)</f>
        <v>2737.05</v>
      </c>
    </row>
    <row r="106" spans="1:5" x14ac:dyDescent="0.25">
      <c r="A106" t="str">
        <f>IF(B106=$B$4,"ATM","")</f>
        <v/>
      </c>
      <c r="B106">
        <v>74700</v>
      </c>
      <c r="C106">
        <f>IF(RawData!J901="","",RawData!J901)</f>
        <v>2629.65</v>
      </c>
      <c r="D106">
        <f>IF(RawData!J902="","",RawData!J902)</f>
        <v>13.55</v>
      </c>
      <c r="E106">
        <f>IF(OR(C106="",D106=""),"",C106+D106)</f>
        <v>2643.2000000000003</v>
      </c>
    </row>
    <row r="107" spans="1:5" x14ac:dyDescent="0.25">
      <c r="A107" t="str">
        <f>IF(B107=$B$4,"ATM","")</f>
        <v/>
      </c>
      <c r="B107">
        <v>74800</v>
      </c>
      <c r="C107">
        <f>IF(RawData!J903="","",RawData!J903)</f>
        <v>2534.4</v>
      </c>
      <c r="D107">
        <f>IF(RawData!J904="","",RawData!J904)</f>
        <v>15.75</v>
      </c>
      <c r="E107">
        <f>IF(OR(C107="",D107=""),"",C107+D107)</f>
        <v>2550.15</v>
      </c>
    </row>
    <row r="108" spans="1:5" x14ac:dyDescent="0.25">
      <c r="A108" t="str">
        <f>IF(B108=$B$4,"ATM","")</f>
        <v/>
      </c>
      <c r="B108">
        <v>74900</v>
      </c>
      <c r="C108">
        <f>IF(RawData!J905="","",RawData!J905)</f>
        <v>2439.85</v>
      </c>
      <c r="D108">
        <f>IF(RawData!J906="","",RawData!J906)</f>
        <v>18.7</v>
      </c>
      <c r="E108">
        <f>IF(OR(C108="",D108=""),"",C108+D108)</f>
        <v>2458.5499999999997</v>
      </c>
    </row>
    <row r="109" spans="1:5" x14ac:dyDescent="0.25">
      <c r="A109" t="str">
        <f>IF(B109=$B$4,"ATM","")</f>
        <v/>
      </c>
      <c r="B109">
        <v>75000</v>
      </c>
      <c r="C109">
        <f>IF(RawData!J907="","",RawData!J907)</f>
        <v>2080</v>
      </c>
      <c r="D109">
        <f>IF(RawData!J908="","",RawData!J908)</f>
        <v>22.75</v>
      </c>
      <c r="E109">
        <f>IF(OR(C109="",D109=""),"",C109+D109)</f>
        <v>2102.75</v>
      </c>
    </row>
    <row r="110" spans="1:5" x14ac:dyDescent="0.25">
      <c r="A110" t="str">
        <f>IF(B110=$B$4,"ATM","")</f>
        <v/>
      </c>
      <c r="B110">
        <v>75100</v>
      </c>
      <c r="C110">
        <f>IF(RawData!J909="","",RawData!J909)</f>
        <v>2253.15</v>
      </c>
      <c r="D110">
        <f>IF(RawData!J910="","",RawData!J910)</f>
        <v>26.5</v>
      </c>
      <c r="E110">
        <f>IF(OR(C110="",D110=""),"",C110+D110)</f>
        <v>2279.65</v>
      </c>
    </row>
    <row r="111" spans="1:5" x14ac:dyDescent="0.25">
      <c r="A111" t="str">
        <f>IF(B111=$B$4,"ATM","")</f>
        <v/>
      </c>
      <c r="B111">
        <v>75200</v>
      </c>
      <c r="C111">
        <f>IF(RawData!J911="","",RawData!J911)</f>
        <v>1954.3</v>
      </c>
      <c r="D111">
        <f>IF(RawData!J912="","",RawData!J912)</f>
        <v>31.05</v>
      </c>
      <c r="E111">
        <f>IF(OR(C111="",D111=""),"",C111+D111)</f>
        <v>1985.35</v>
      </c>
    </row>
    <row r="112" spans="1:5" x14ac:dyDescent="0.25">
      <c r="A112" t="str">
        <f>IF(B112=$B$4,"ATM","")</f>
        <v/>
      </c>
      <c r="B112">
        <v>75300</v>
      </c>
      <c r="C112">
        <f>IF(RawData!J913="","",RawData!J913)</f>
        <v>1847</v>
      </c>
      <c r="D112">
        <f>IF(RawData!J914="","",RawData!J914)</f>
        <v>36.700000000000003</v>
      </c>
      <c r="E112">
        <f>IF(OR(C112="",D112=""),"",C112+D112)</f>
        <v>1883.7</v>
      </c>
    </row>
    <row r="113" spans="1:5" x14ac:dyDescent="0.25">
      <c r="A113" t="str">
        <f>IF(B113=$B$4,"ATM","")</f>
        <v/>
      </c>
      <c r="B113">
        <v>75400</v>
      </c>
      <c r="C113">
        <f>IF(RawData!J915="","",RawData!J915)</f>
        <v>1741.6</v>
      </c>
      <c r="D113">
        <f>IF(RawData!J916="","",RawData!J916)</f>
        <v>43.1</v>
      </c>
      <c r="E113">
        <f>IF(OR(C113="",D113=""),"",C113+D113)</f>
        <v>1784.6999999999998</v>
      </c>
    </row>
    <row r="114" spans="1:5" x14ac:dyDescent="0.25">
      <c r="A114" t="str">
        <f>IF(B114=$B$4,"ATM","")</f>
        <v/>
      </c>
      <c r="B114">
        <v>75500</v>
      </c>
      <c r="C114">
        <f>IF(RawData!J917="","",RawData!J917)</f>
        <v>1639.35</v>
      </c>
      <c r="D114">
        <f>IF(RawData!J918="","",RawData!J918)</f>
        <v>50.7</v>
      </c>
      <c r="E114">
        <f>IF(OR(C114="",D114=""),"",C114+D114)</f>
        <v>1690.05</v>
      </c>
    </row>
    <row r="115" spans="1:5" x14ac:dyDescent="0.25">
      <c r="A115" t="str">
        <f>IF(B115=$B$4,"ATM","")</f>
        <v/>
      </c>
      <c r="B115">
        <v>75600</v>
      </c>
      <c r="C115">
        <f>IF(RawData!J919="","",RawData!J919)</f>
        <v>1580.3</v>
      </c>
      <c r="D115">
        <f>IF(RawData!J920="","",RawData!J920)</f>
        <v>59.6</v>
      </c>
      <c r="E115">
        <f>IF(OR(C115="",D115=""),"",C115+D115)</f>
        <v>1639.8999999999999</v>
      </c>
    </row>
    <row r="116" spans="1:5" x14ac:dyDescent="0.25">
      <c r="A116" t="str">
        <f>IF(B116=$B$4,"ATM","")</f>
        <v/>
      </c>
      <c r="B116">
        <v>75700</v>
      </c>
      <c r="C116">
        <f>IF(RawData!J921="","",RawData!J921)</f>
        <v>1458.85</v>
      </c>
      <c r="D116">
        <f>IF(RawData!J922="","",RawData!J922)</f>
        <v>69.2</v>
      </c>
      <c r="E116">
        <f>IF(OR(C116="",D116=""),"",C116+D116)</f>
        <v>1528.05</v>
      </c>
    </row>
    <row r="117" spans="1:5" x14ac:dyDescent="0.25">
      <c r="A117" t="str">
        <f>IF(B117=$B$4,"ATM","")</f>
        <v/>
      </c>
      <c r="B117">
        <v>75800</v>
      </c>
      <c r="C117">
        <f>IF(RawData!J923="","",RawData!J923)</f>
        <v>1332.9</v>
      </c>
      <c r="D117">
        <f>IF(RawData!J924="","",RawData!J924)</f>
        <v>80.5</v>
      </c>
      <c r="E117">
        <f>IF(OR(C117="",D117=""),"",C117+D117)</f>
        <v>1413.4</v>
      </c>
    </row>
    <row r="118" spans="1:5" x14ac:dyDescent="0.25">
      <c r="A118" t="str">
        <f>IF(B118=$B$4,"ATM","")</f>
        <v/>
      </c>
      <c r="B118">
        <v>75900</v>
      </c>
      <c r="C118">
        <f>IF(RawData!J925="","",RawData!J925)</f>
        <v>1300</v>
      </c>
      <c r="D118">
        <f>IF(RawData!J926="","",RawData!J926)</f>
        <v>93.9</v>
      </c>
      <c r="E118">
        <f>IF(OR(C118="",D118=""),"",C118+D118)</f>
        <v>1393.9</v>
      </c>
    </row>
    <row r="119" spans="1:5" x14ac:dyDescent="0.25">
      <c r="A119" t="str">
        <f>IF(B119=$B$4,"ATM","")</f>
        <v/>
      </c>
      <c r="B119">
        <v>76000</v>
      </c>
      <c r="C119">
        <f>IF(RawData!J927="","",RawData!J927)</f>
        <v>1195</v>
      </c>
      <c r="D119">
        <f>IF(RawData!J928="","",RawData!J928)</f>
        <v>108.5</v>
      </c>
      <c r="E119">
        <f>IF(OR(C119="",D119=""),"",C119+D119)</f>
        <v>1303.5</v>
      </c>
    </row>
    <row r="120" spans="1:5" x14ac:dyDescent="0.25">
      <c r="A120" t="str">
        <f>IF(B120=$B$4,"ATM","")</f>
        <v/>
      </c>
      <c r="B120">
        <v>76100</v>
      </c>
      <c r="C120">
        <f>IF(RawData!J929="","",RawData!J929)</f>
        <v>1092.9000000000001</v>
      </c>
      <c r="D120">
        <f>IF(RawData!J930="","",RawData!J930)</f>
        <v>125.7</v>
      </c>
      <c r="E120">
        <f>IF(OR(C120="",D120=""),"",C120+D120)</f>
        <v>1218.6000000000001</v>
      </c>
    </row>
    <row r="121" spans="1:5" x14ac:dyDescent="0.25">
      <c r="A121" t="str">
        <f>IF(B121=$B$4,"ATM","")</f>
        <v/>
      </c>
      <c r="B121">
        <v>76200</v>
      </c>
      <c r="C121">
        <f>IF(RawData!J931="","",RawData!J931)</f>
        <v>1010</v>
      </c>
      <c r="D121">
        <f>IF(RawData!J932="","",RawData!J932)</f>
        <v>145.15</v>
      </c>
      <c r="E121">
        <f>IF(OR(C121="",D121=""),"",C121+D121)</f>
        <v>1155.1500000000001</v>
      </c>
    </row>
    <row r="122" spans="1:5" x14ac:dyDescent="0.25">
      <c r="A122" t="str">
        <f>IF(B122=$B$4,"ATM","")</f>
        <v/>
      </c>
      <c r="B122">
        <v>76300</v>
      </c>
      <c r="C122">
        <f>IF(RawData!J933="","",RawData!J933)</f>
        <v>955.45</v>
      </c>
      <c r="D122">
        <f>IF(RawData!J934="","",RawData!J934)</f>
        <v>166.6</v>
      </c>
      <c r="E122">
        <f>IF(OR(C122="",D122=""),"",C122+D122)</f>
        <v>1122.05</v>
      </c>
    </row>
    <row r="123" spans="1:5" x14ac:dyDescent="0.25">
      <c r="A123" t="str">
        <f>IF(B123=$B$4,"ATM","")</f>
        <v/>
      </c>
      <c r="B123">
        <v>76400</v>
      </c>
      <c r="C123">
        <f>IF(RawData!J935="","",RawData!J935)</f>
        <v>881.35</v>
      </c>
      <c r="D123">
        <f>IF(RawData!J936="","",RawData!J936)</f>
        <v>191.4</v>
      </c>
      <c r="E123">
        <f>IF(OR(C123="",D123=""),"",C123+D123)</f>
        <v>1072.75</v>
      </c>
    </row>
    <row r="124" spans="1:5" x14ac:dyDescent="0.25">
      <c r="A124" t="str">
        <f>IF(B124=$B$4,"ATM","")</f>
        <v/>
      </c>
      <c r="B124">
        <v>76500</v>
      </c>
      <c r="C124">
        <f>IF(RawData!J937="","",RawData!J937)</f>
        <v>806.85</v>
      </c>
      <c r="D124">
        <f>IF(RawData!J938="","",RawData!J938)</f>
        <v>218.45</v>
      </c>
      <c r="E124">
        <f>IF(OR(C124="",D124=""),"",C124+D124)</f>
        <v>1025.3</v>
      </c>
    </row>
    <row r="125" spans="1:5" x14ac:dyDescent="0.25">
      <c r="A125" t="str">
        <f>IF(B125=$B$4,"ATM","")</f>
        <v/>
      </c>
      <c r="B125">
        <v>76600</v>
      </c>
      <c r="C125">
        <f>IF(RawData!J939="","",RawData!J939)</f>
        <v>734.25</v>
      </c>
      <c r="D125">
        <f>IF(RawData!J940="","",RawData!J940)</f>
        <v>246.65</v>
      </c>
      <c r="E125">
        <f>IF(OR(C125="",D125=""),"",C125+D125)</f>
        <v>980.9</v>
      </c>
    </row>
    <row r="126" spans="1:5" x14ac:dyDescent="0.25">
      <c r="A126" t="str">
        <f>IF(B126=$B$4,"ATM","")</f>
        <v/>
      </c>
      <c r="B126">
        <v>76700</v>
      </c>
      <c r="C126">
        <f>IF(RawData!J941="","",RawData!J941)</f>
        <v>667.65</v>
      </c>
      <c r="D126">
        <f>IF(RawData!J942="","",RawData!J942)</f>
        <v>280.25</v>
      </c>
      <c r="E126">
        <f>IF(OR(C126="",D126=""),"",C126+D126)</f>
        <v>947.9</v>
      </c>
    </row>
    <row r="127" spans="1:5" x14ac:dyDescent="0.25">
      <c r="A127" t="str">
        <f>IF(B127=$B$4,"ATM","")</f>
        <v/>
      </c>
      <c r="B127">
        <v>76800</v>
      </c>
      <c r="C127">
        <f>IF(RawData!J943="","",RawData!J943)</f>
        <v>603.1</v>
      </c>
      <c r="D127">
        <f>IF(RawData!J944="","",RawData!J944)</f>
        <v>317.25</v>
      </c>
      <c r="E127">
        <f>IF(OR(C127="",D127=""),"",C127+D127)</f>
        <v>920.35</v>
      </c>
    </row>
    <row r="128" spans="1:5" x14ac:dyDescent="0.25">
      <c r="A128" t="str">
        <f>IF(B128=$B$4,"ATM","")</f>
        <v/>
      </c>
      <c r="B128">
        <v>76900</v>
      </c>
      <c r="C128">
        <f>IF(RawData!J945="","",RawData!J945)</f>
        <v>544.1</v>
      </c>
      <c r="D128">
        <f>IF(RawData!J946="","",RawData!J946)</f>
        <v>355.7</v>
      </c>
      <c r="E128">
        <f>IF(OR(C128="",D128=""),"",C128+D128)</f>
        <v>899.8</v>
      </c>
    </row>
    <row r="129" spans="1:5" x14ac:dyDescent="0.25">
      <c r="A129" t="str">
        <f>IF(B129=$B$4,"ATM","")</f>
        <v>ATM</v>
      </c>
      <c r="B129">
        <v>77000</v>
      </c>
      <c r="C129">
        <f>IF(RawData!J947="","",RawData!J947)</f>
        <v>487.85</v>
      </c>
      <c r="D129">
        <f>IF(RawData!J948="","",RawData!J948)</f>
        <v>402.9</v>
      </c>
      <c r="E129">
        <f>IF(OR(C129="",D129=""),"",C129+D129)</f>
        <v>890.75</v>
      </c>
    </row>
    <row r="130" spans="1:5" x14ac:dyDescent="0.25">
      <c r="A130" t="str">
        <f>IF(B130=$B$4,"ATM","")</f>
        <v/>
      </c>
      <c r="B130">
        <v>77100</v>
      </c>
      <c r="C130">
        <f>IF(RawData!J949="","",RawData!J949)</f>
        <v>435.55</v>
      </c>
      <c r="D130">
        <f>IF(RawData!J950="","",RawData!J950)</f>
        <v>448.85</v>
      </c>
      <c r="E130">
        <f>IF(OR(C130="",D130=""),"",C130+D130)</f>
        <v>884.40000000000009</v>
      </c>
    </row>
    <row r="131" spans="1:5" x14ac:dyDescent="0.25">
      <c r="A131" t="str">
        <f>IF(B131=$B$4,"ATM","")</f>
        <v/>
      </c>
      <c r="B131">
        <v>77200</v>
      </c>
      <c r="C131">
        <f>IF(RawData!J951="","",RawData!J951)</f>
        <v>388.8</v>
      </c>
      <c r="D131">
        <f>IF(RawData!J952="","",RawData!J952)</f>
        <v>500.85</v>
      </c>
      <c r="E131">
        <f>IF(OR(C131="",D131=""),"",C131+D131)</f>
        <v>889.65000000000009</v>
      </c>
    </row>
    <row r="132" spans="1:5" x14ac:dyDescent="0.25">
      <c r="A132" t="str">
        <f>IF(B132=$B$4,"ATM","")</f>
        <v/>
      </c>
      <c r="B132">
        <v>77300</v>
      </c>
      <c r="C132">
        <f>IF(RawData!J953="","",RawData!J953)</f>
        <v>344.6</v>
      </c>
      <c r="D132">
        <f>IF(RawData!J954="","",RawData!J954)</f>
        <v>556.15</v>
      </c>
      <c r="E132">
        <f>IF(OR(C132="",D132=""),"",C132+D132)</f>
        <v>900.75</v>
      </c>
    </row>
    <row r="133" spans="1:5" x14ac:dyDescent="0.25">
      <c r="A133" t="str">
        <f>IF(B133=$B$4,"ATM","")</f>
        <v/>
      </c>
      <c r="B133">
        <v>77400</v>
      </c>
      <c r="C133">
        <f>IF(RawData!J955="","",RawData!J955)</f>
        <v>303.3</v>
      </c>
      <c r="D133">
        <f>IF(RawData!J956="","",RawData!J956)</f>
        <v>616.54999999999995</v>
      </c>
      <c r="E133">
        <f>IF(OR(C133="",D133=""),"",C133+D133)</f>
        <v>919.84999999999991</v>
      </c>
    </row>
    <row r="134" spans="1:5" x14ac:dyDescent="0.25">
      <c r="A134" t="str">
        <f>IF(B134=$B$4,"ATM","")</f>
        <v/>
      </c>
      <c r="B134">
        <v>77500</v>
      </c>
      <c r="C134">
        <f>IF(RawData!J957="","",RawData!J957)</f>
        <v>267.45</v>
      </c>
      <c r="D134">
        <f>IF(RawData!J958="","",RawData!J958)</f>
        <v>678.9</v>
      </c>
      <c r="E134">
        <f>IF(OR(C134="",D134=""),"",C134+D134)</f>
        <v>946.34999999999991</v>
      </c>
    </row>
    <row r="135" spans="1:5" x14ac:dyDescent="0.25">
      <c r="A135" t="str">
        <f>IF(B135=$B$4,"ATM","")</f>
        <v/>
      </c>
      <c r="B135">
        <v>77600</v>
      </c>
      <c r="C135">
        <f>IF(RawData!J959="","",RawData!J959)</f>
        <v>234.8</v>
      </c>
      <c r="D135">
        <f>IF(RawData!J960="","",RawData!J960)</f>
        <v>748.45</v>
      </c>
      <c r="E135">
        <f>IF(OR(C135="",D135=""),"",C135+D135)</f>
        <v>983.25</v>
      </c>
    </row>
    <row r="136" spans="1:5" x14ac:dyDescent="0.25">
      <c r="A136" t="str">
        <f>IF(B136=$B$4,"ATM","")</f>
        <v/>
      </c>
      <c r="B136">
        <v>77700</v>
      </c>
      <c r="C136">
        <f>IF(RawData!J961="","",RawData!J961)</f>
        <v>206.9</v>
      </c>
      <c r="D136">
        <f>IF(RawData!J962="","",RawData!J962)</f>
        <v>820.15</v>
      </c>
      <c r="E136">
        <f>IF(OR(C136="",D136=""),"",C136+D136)</f>
        <v>1027.05</v>
      </c>
    </row>
    <row r="137" spans="1:5" x14ac:dyDescent="0.25">
      <c r="A137" t="str">
        <f>IF(B137=$B$4,"ATM","")</f>
        <v/>
      </c>
      <c r="B137">
        <v>77800</v>
      </c>
      <c r="C137">
        <f>IF(RawData!J963="","",RawData!J963)</f>
        <v>180.2</v>
      </c>
      <c r="D137">
        <f>IF(RawData!J964="","",RawData!J964)</f>
        <v>895.05</v>
      </c>
      <c r="E137">
        <f>IF(OR(C137="",D137=""),"",C137+D137)</f>
        <v>1075.25</v>
      </c>
    </row>
    <row r="138" spans="1:5" x14ac:dyDescent="0.25">
      <c r="A138" t="str">
        <f>IF(B138=$B$4,"ATM","")</f>
        <v/>
      </c>
      <c r="B138">
        <v>77900</v>
      </c>
      <c r="C138">
        <f>IF(RawData!J965="","",RawData!J965)</f>
        <v>155.9</v>
      </c>
      <c r="D138">
        <f>IF(RawData!J966="","",RawData!J966)</f>
        <v>996</v>
      </c>
      <c r="E138">
        <f>IF(OR(C138="",D138=""),"",C138+D138)</f>
        <v>1151.9000000000001</v>
      </c>
    </row>
    <row r="139" spans="1:5" x14ac:dyDescent="0.25">
      <c r="A139" t="str">
        <f>IF(B139=$B$4,"ATM","")</f>
        <v/>
      </c>
      <c r="B139">
        <v>78000</v>
      </c>
      <c r="C139">
        <f>IF(RawData!J967="","",RawData!J967)</f>
        <v>134.15</v>
      </c>
      <c r="D139">
        <f>IF(RawData!J968="","",RawData!J968)</f>
        <v>1047.4000000000001</v>
      </c>
      <c r="E139">
        <f>IF(OR(C139="",D139=""),"",C139+D139)</f>
        <v>1181.5500000000002</v>
      </c>
    </row>
    <row r="140" spans="1:5" x14ac:dyDescent="0.25">
      <c r="A140" t="str">
        <f>IF(B140=$B$4,"ATM","")</f>
        <v/>
      </c>
      <c r="B140">
        <v>78100</v>
      </c>
      <c r="C140">
        <f>IF(RawData!J969="","",RawData!J969)</f>
        <v>117.1</v>
      </c>
      <c r="D140">
        <f>IF(RawData!J970="","",RawData!J970)</f>
        <v>1107.95</v>
      </c>
      <c r="E140">
        <f>IF(OR(C140="",D140=""),"",C140+D140)</f>
        <v>1225.05</v>
      </c>
    </row>
    <row r="141" spans="1:5" x14ac:dyDescent="0.25">
      <c r="A141" t="str">
        <f>IF(B141=$B$4,"ATM","")</f>
        <v/>
      </c>
      <c r="B141">
        <v>78200</v>
      </c>
      <c r="C141">
        <f>IF(RawData!J971="","",RawData!J971)</f>
        <v>99.9</v>
      </c>
      <c r="D141">
        <f>IF(RawData!J972="","",RawData!J972)</f>
        <v>1230</v>
      </c>
      <c r="E141">
        <f>IF(OR(C141="",D141=""),"",C141+D141)</f>
        <v>1329.9</v>
      </c>
    </row>
    <row r="142" spans="1:5" x14ac:dyDescent="0.25">
      <c r="A142" t="str">
        <f>IF(B142=$B$4,"ATM","")</f>
        <v/>
      </c>
      <c r="B142">
        <v>78300</v>
      </c>
      <c r="C142">
        <f>IF(RawData!J973="","",RawData!J973)</f>
        <v>85.6</v>
      </c>
      <c r="D142">
        <f>IF(RawData!J974="","",RawData!J974)</f>
        <v>1330</v>
      </c>
      <c r="E142">
        <f>IF(OR(C142="",D142=""),"",C142+D142)</f>
        <v>1415.6</v>
      </c>
    </row>
    <row r="143" spans="1:5" x14ac:dyDescent="0.25">
      <c r="A143" t="str">
        <f>IF(B143=$B$4,"ATM","")</f>
        <v/>
      </c>
      <c r="B143">
        <v>78400</v>
      </c>
      <c r="C143">
        <f>IF(RawData!J975="","",RawData!J975)</f>
        <v>73.45</v>
      </c>
      <c r="D143">
        <f>IF(RawData!J976="","",RawData!J976)</f>
        <v>1430.9</v>
      </c>
      <c r="E143">
        <f>IF(OR(C143="",D143=""),"",C143+D143)</f>
        <v>1504.3500000000001</v>
      </c>
    </row>
    <row r="144" spans="1:5" x14ac:dyDescent="0.25">
      <c r="A144" t="str">
        <f>IF(B144=$B$4,"ATM","")</f>
        <v/>
      </c>
      <c r="B144">
        <v>78500</v>
      </c>
      <c r="C144">
        <f>IF(RawData!J977="","",RawData!J977)</f>
        <v>63.3</v>
      </c>
      <c r="D144">
        <f>IF(RawData!J978="","",RawData!J978)</f>
        <v>1480</v>
      </c>
      <c r="E144">
        <f>IF(OR(C144="",D144=""),"",C144+D144)</f>
        <v>1543.3</v>
      </c>
    </row>
    <row r="145" spans="1:5" x14ac:dyDescent="0.25">
      <c r="A145" t="str">
        <f>IF(B145=$B$4,"ATM","")</f>
        <v/>
      </c>
      <c r="B145">
        <v>78600</v>
      </c>
      <c r="C145">
        <f>IF(RawData!J979="","",RawData!J979)</f>
        <v>54.45</v>
      </c>
      <c r="D145">
        <f>IF(RawData!J980="","",RawData!J980)</f>
        <v>1588.55</v>
      </c>
      <c r="E145">
        <f>IF(OR(C145="",D145=""),"",C145+D145)</f>
        <v>1643</v>
      </c>
    </row>
    <row r="146" spans="1:5" x14ac:dyDescent="0.25">
      <c r="A146" t="str">
        <f>IF(B146=$B$4,"ATM","")</f>
        <v/>
      </c>
      <c r="B146">
        <v>78700</v>
      </c>
      <c r="C146">
        <f>IF(RawData!J981="","",RawData!J981)</f>
        <v>46.9</v>
      </c>
      <c r="D146">
        <f>IF(RawData!J982="","",RawData!J982)</f>
        <v>1630</v>
      </c>
      <c r="E146">
        <f>IF(OR(C146="",D146=""),"",C146+D146)</f>
        <v>1676.9</v>
      </c>
    </row>
    <row r="147" spans="1:5" x14ac:dyDescent="0.25">
      <c r="A147" t="str">
        <f>IF(B147=$B$4,"ATM","")</f>
        <v/>
      </c>
      <c r="B147">
        <v>78800</v>
      </c>
      <c r="C147">
        <f>IF(RawData!J983="","",RawData!J983)</f>
        <v>39.85</v>
      </c>
      <c r="D147">
        <f>IF(RawData!J984="","",RawData!J984)</f>
        <v>1720.35</v>
      </c>
      <c r="E147">
        <f>IF(OR(C147="",D147=""),"",C147+D147)</f>
        <v>1760.1999999999998</v>
      </c>
    </row>
    <row r="148" spans="1:5" x14ac:dyDescent="0.25">
      <c r="A148" t="str">
        <f>IF(B148=$B$4,"ATM","")</f>
        <v/>
      </c>
      <c r="B148">
        <v>78900</v>
      </c>
      <c r="C148">
        <f>IF(RawData!J985="","",RawData!J985)</f>
        <v>34.1</v>
      </c>
      <c r="D148">
        <f>IF(RawData!J986="","",RawData!J986)</f>
        <v>1826.1</v>
      </c>
      <c r="E148">
        <f>IF(OR(C148="",D148=""),"",C148+D148)</f>
        <v>1860.1999999999998</v>
      </c>
    </row>
    <row r="149" spans="1:5" x14ac:dyDescent="0.25">
      <c r="A149" t="str">
        <f>IF(B149=$B$4,"ATM","")</f>
        <v/>
      </c>
      <c r="B149">
        <v>79000</v>
      </c>
      <c r="C149">
        <f>IF(RawData!J987="","",RawData!J987)</f>
        <v>29.2</v>
      </c>
      <c r="D149">
        <f>IF(RawData!J988="","",RawData!J988)</f>
        <v>1941.45</v>
      </c>
      <c r="E149">
        <f>IF(OR(C149="",D149=""),"",C149+D149)</f>
        <v>1970.65</v>
      </c>
    </row>
    <row r="150" spans="1:5" x14ac:dyDescent="0.25">
      <c r="A150" t="str">
        <f>IF(B150=$B$4,"ATM","")</f>
        <v/>
      </c>
      <c r="B150">
        <v>79100</v>
      </c>
      <c r="C150">
        <f>IF(RawData!J989="","",RawData!J989)</f>
        <v>25.2</v>
      </c>
      <c r="D150">
        <f>IF(RawData!J990="","",RawData!J990)</f>
        <v>2007.55</v>
      </c>
      <c r="E150">
        <f>IF(OR(C150="",D150=""),"",C150+D150)</f>
        <v>2032.75</v>
      </c>
    </row>
    <row r="151" spans="1:5" x14ac:dyDescent="0.25">
      <c r="A151" t="str">
        <f>IF(B151=$B$4,"ATM","")</f>
        <v/>
      </c>
      <c r="B151">
        <v>79200</v>
      </c>
      <c r="C151">
        <f>IF(RawData!J991="","",RawData!J991)</f>
        <v>21.6</v>
      </c>
      <c r="D151">
        <f>IF(RawData!J992="","",RawData!J992)</f>
        <v>2110.8000000000002</v>
      </c>
      <c r="E151">
        <f>IF(OR(C151="",D151=""),"",C151+D151)</f>
        <v>2132.4</v>
      </c>
    </row>
    <row r="152" spans="1:5" x14ac:dyDescent="0.25">
      <c r="A152" t="str">
        <f>IF(B152=$B$4,"ATM","")</f>
        <v/>
      </c>
      <c r="B152">
        <v>79300</v>
      </c>
      <c r="C152">
        <f>IF(RawData!J993="","",RawData!J993)</f>
        <v>18.600000000000001</v>
      </c>
      <c r="D152">
        <f>IF(RawData!J994="","",RawData!J994)</f>
        <v>1921.85</v>
      </c>
      <c r="E152">
        <f>IF(OR(C152="",D152=""),"",C152+D152)</f>
        <v>1940.4499999999998</v>
      </c>
    </row>
    <row r="153" spans="1:5" x14ac:dyDescent="0.25">
      <c r="A153" t="str">
        <f>IF(B153=$B$4,"ATM","")</f>
        <v/>
      </c>
      <c r="B153">
        <v>79400</v>
      </c>
      <c r="C153">
        <f>IF(RawData!J995="","",RawData!J995)</f>
        <v>16.149999999999999</v>
      </c>
      <c r="D153">
        <f>IF(RawData!J996="","",RawData!J996)</f>
        <v>2013.25</v>
      </c>
      <c r="E153">
        <f>IF(OR(C153="",D153=""),"",C153+D153)</f>
        <v>2029.4</v>
      </c>
    </row>
    <row r="154" spans="1:5" x14ac:dyDescent="0.25">
      <c r="A154" t="str">
        <f>IF(B154=$B$4,"ATM","")</f>
        <v/>
      </c>
      <c r="B154">
        <v>79500</v>
      </c>
      <c r="C154">
        <f>IF(RawData!J997="","",RawData!J997)</f>
        <v>13.9</v>
      </c>
      <c r="D154">
        <f>IF(RawData!J998="","",RawData!J998)</f>
        <v>2370.3000000000002</v>
      </c>
      <c r="E154">
        <f>IF(OR(C154="",D154=""),"",C154+D154)</f>
        <v>2384.2000000000003</v>
      </c>
    </row>
    <row r="155" spans="1:5" x14ac:dyDescent="0.25">
      <c r="A155" t="str">
        <f>IF(B155=$B$4,"ATM","")</f>
        <v/>
      </c>
      <c r="B155">
        <v>79600</v>
      </c>
      <c r="C155">
        <f>IF(RawData!J999="","",RawData!J999)</f>
        <v>12.45</v>
      </c>
      <c r="D155">
        <f>IF(RawData!J1000="","",RawData!J1000)</f>
        <v>2192.5500000000002</v>
      </c>
      <c r="E155">
        <f>IF(OR(C155="",D155=""),"",C155+D155)</f>
        <v>2205</v>
      </c>
    </row>
    <row r="156" spans="1:5" x14ac:dyDescent="0.25">
      <c r="A156" t="str">
        <f>IF(B156=$B$4,"ATM","")</f>
        <v/>
      </c>
      <c r="B156">
        <v>79700</v>
      </c>
      <c r="C156">
        <f>IF(RawData!J1001="","",RawData!J1001)</f>
        <v>11.1</v>
      </c>
      <c r="D156">
        <f>IF(RawData!J1002="","",RawData!J1002)</f>
        <v>2437.35</v>
      </c>
      <c r="E156">
        <f>IF(OR(C156="",D156=""),"",C156+D156)</f>
        <v>2448.4499999999998</v>
      </c>
    </row>
    <row r="157" spans="1:5" x14ac:dyDescent="0.25">
      <c r="A157" t="str">
        <f>IF(B157=$B$4,"ATM","")</f>
        <v/>
      </c>
      <c r="B157">
        <v>79800</v>
      </c>
      <c r="C157">
        <f>IF(RawData!J1003="","",RawData!J1003)</f>
        <v>9.8000000000000007</v>
      </c>
      <c r="D157">
        <f>IF(RawData!J1004="","",RawData!J1004)</f>
        <v>2531.5500000000002</v>
      </c>
      <c r="E157">
        <f>IF(OR(C157="",D157=""),"",C157+D157)</f>
        <v>2541.3500000000004</v>
      </c>
    </row>
    <row r="158" spans="1:5" x14ac:dyDescent="0.25">
      <c r="A158" t="str">
        <f>IF(B158=$B$4,"ATM","")</f>
        <v/>
      </c>
      <c r="B158">
        <v>79900</v>
      </c>
      <c r="C158">
        <f>IF(RawData!J1005="","",RawData!J1005)</f>
        <v>8.9499999999999993</v>
      </c>
      <c r="D158">
        <f>IF(RawData!J1006="","",RawData!J1006)</f>
        <v>2626.35</v>
      </c>
      <c r="E158">
        <f>IF(OR(C158="",D158=""),"",C158+D158)</f>
        <v>2635.2999999999997</v>
      </c>
    </row>
    <row r="159" spans="1:5" x14ac:dyDescent="0.25">
      <c r="A159" t="str">
        <f>IF(B159=$B$4,"ATM","")</f>
        <v/>
      </c>
      <c r="B159">
        <v>80000</v>
      </c>
      <c r="C159">
        <f>IF(RawData!J1007="","",RawData!J1007)</f>
        <v>7.85</v>
      </c>
      <c r="D159">
        <f>IF(RawData!J1008="","",RawData!J1008)</f>
        <v>2964</v>
      </c>
      <c r="E159">
        <f>IF(OR(C159="",D159=""),"",C159+D159)</f>
        <v>2971.85</v>
      </c>
    </row>
    <row r="160" spans="1:5" x14ac:dyDescent="0.25">
      <c r="A160" t="str">
        <f>IF(B160=$B$4,"ATM","")</f>
        <v/>
      </c>
      <c r="B160">
        <v>80100</v>
      </c>
      <c r="C160">
        <f>IF(RawData!J1009="","",RawData!J1009)</f>
        <v>7.2</v>
      </c>
      <c r="D160">
        <f>IF(RawData!J1010="","",RawData!J1010)</f>
        <v>2817.9</v>
      </c>
      <c r="E160">
        <f>IF(OR(C160="",D160=""),"",C160+D160)</f>
        <v>2825.1</v>
      </c>
    </row>
    <row r="161" spans="1:5" x14ac:dyDescent="0.25">
      <c r="A161" t="str">
        <f>IF(B161=$B$4,"ATM","")</f>
        <v/>
      </c>
      <c r="B161">
        <v>80200</v>
      </c>
      <c r="C161">
        <f>IF(RawData!J1011="","",RawData!J1011)</f>
        <v>6.35</v>
      </c>
      <c r="D161">
        <f>IF(RawData!J1012="","",RawData!J1012)</f>
        <v>2914.4</v>
      </c>
      <c r="E161">
        <f>IF(OR(C161="",D161=""),"",C161+D161)</f>
        <v>2920.75</v>
      </c>
    </row>
    <row r="162" spans="1:5" x14ac:dyDescent="0.25">
      <c r="A162" t="str">
        <f>IF(B162=$B$4,"ATM","")</f>
        <v/>
      </c>
      <c r="B162">
        <v>80300</v>
      </c>
      <c r="C162">
        <f>IF(RawData!J1013="","",RawData!J1013)</f>
        <v>5.7</v>
      </c>
      <c r="D162">
        <f>IF(RawData!J1014="","",RawData!J1014)</f>
        <v>3011.4</v>
      </c>
      <c r="E162">
        <f>IF(OR(C162="",D162=""),"",C162+D162)</f>
        <v>3017.1</v>
      </c>
    </row>
    <row r="163" spans="1:5" x14ac:dyDescent="0.25">
      <c r="A163" t="str">
        <f>IF(B163=$B$4,"ATM","")</f>
        <v/>
      </c>
      <c r="B163">
        <v>80400</v>
      </c>
      <c r="C163">
        <f>IF(RawData!J1015="","",RawData!J1015)</f>
        <v>4.9000000000000004</v>
      </c>
      <c r="D163">
        <f>IF(RawData!J1016="","",RawData!J1016)</f>
        <v>3108.75</v>
      </c>
      <c r="E163">
        <f>IF(OR(C163="",D163=""),"",C163+D163)</f>
        <v>3113.65</v>
      </c>
    </row>
    <row r="164" spans="1:5" x14ac:dyDescent="0.25">
      <c r="A164" t="str">
        <f>IF(B164=$B$4,"ATM","")</f>
        <v/>
      </c>
      <c r="B164">
        <v>80500</v>
      </c>
      <c r="C164">
        <f>IF(RawData!J1017="","",RawData!J1017)</f>
        <v>4.25</v>
      </c>
      <c r="D164">
        <f>IF(RawData!J1018="","",RawData!J1018)</f>
        <v>3206.5</v>
      </c>
      <c r="E164">
        <f>IF(OR(C164="",D164=""),"",C164+D164)</f>
        <v>3210.75</v>
      </c>
    </row>
    <row r="165" spans="1:5" x14ac:dyDescent="0.25">
      <c r="A165" t="str">
        <f>IF(B165=$B$4,"ATM","")</f>
        <v/>
      </c>
      <c r="B165">
        <v>80600</v>
      </c>
      <c r="C165">
        <f>IF(RawData!J1019="","",RawData!J1019)</f>
        <v>4.0999999999999996</v>
      </c>
      <c r="D165">
        <f>IF(RawData!J1020="","",RawData!J1020)</f>
        <v>3304.55</v>
      </c>
      <c r="E165">
        <f>IF(OR(C165="",D165=""),"",C165+D165)</f>
        <v>3308.65</v>
      </c>
    </row>
    <row r="166" spans="1:5" x14ac:dyDescent="0.25">
      <c r="A166" t="str">
        <f>IF(B166=$B$4,"ATM","")</f>
        <v/>
      </c>
      <c r="B166">
        <v>80700</v>
      </c>
      <c r="C166">
        <f>IF(RawData!J1021="","",RawData!J1021)</f>
        <v>3.7</v>
      </c>
      <c r="D166">
        <f>IF(RawData!J1022="","",RawData!J1022)</f>
        <v>3402.85</v>
      </c>
      <c r="E166">
        <f>IF(OR(C166="",D166=""),"",C166+D166)</f>
        <v>3406.5499999999997</v>
      </c>
    </row>
    <row r="167" spans="1:5" x14ac:dyDescent="0.25">
      <c r="A167" t="str">
        <f>IF(B167=$B$4,"ATM","")</f>
        <v/>
      </c>
      <c r="B167">
        <v>80800</v>
      </c>
      <c r="C167">
        <f>IF(RawData!J1023="","",RawData!J1023)</f>
        <v>3.15</v>
      </c>
      <c r="D167">
        <f>IF(RawData!J1024="","",RawData!J1024)</f>
        <v>3501.4</v>
      </c>
      <c r="E167">
        <f>IF(OR(C167="",D167=""),"",C167+D167)</f>
        <v>3504.55</v>
      </c>
    </row>
    <row r="168" spans="1:5" x14ac:dyDescent="0.25">
      <c r="A168" t="str">
        <f>IF(B168=$B$4,"ATM","")</f>
        <v/>
      </c>
      <c r="B168">
        <v>80900</v>
      </c>
      <c r="C168">
        <f>IF(RawData!J1025="","",RawData!J1025)</f>
        <v>3</v>
      </c>
      <c r="D168">
        <f>IF(RawData!J1026="","",RawData!J1026)</f>
        <v>3600.15</v>
      </c>
      <c r="E168">
        <f>IF(OR(C168="",D168=""),"",C168+D168)</f>
        <v>3603.15</v>
      </c>
    </row>
    <row r="169" spans="1:5" x14ac:dyDescent="0.25">
      <c r="A169" t="str">
        <f>IF(B169=$B$4,"ATM","")</f>
        <v/>
      </c>
      <c r="B169">
        <v>81000</v>
      </c>
      <c r="C169">
        <f>IF(RawData!J1027="","",RawData!J1027)</f>
        <v>2.95</v>
      </c>
      <c r="D169">
        <f>IF(RawData!J1028="","",RawData!J1028)</f>
        <v>3900</v>
      </c>
      <c r="E169">
        <f>IF(OR(C169="",D169=""),"",C169+D169)</f>
        <v>3902.95</v>
      </c>
    </row>
    <row r="170" spans="1:5" x14ac:dyDescent="0.25">
      <c r="A170" t="str">
        <f>IF(B170=$B$4,"ATM","")</f>
        <v/>
      </c>
      <c r="B170">
        <v>81100</v>
      </c>
      <c r="C170">
        <f>IF(RawData!J1029="","",RawData!J1029)</f>
        <v>2.9</v>
      </c>
      <c r="D170">
        <f>IF(RawData!J1030="","",RawData!J1030)</f>
        <v>3798.2</v>
      </c>
      <c r="E170">
        <f>IF(OR(C170="",D170=""),"",C170+D170)</f>
        <v>3801.1</v>
      </c>
    </row>
    <row r="171" spans="1:5" x14ac:dyDescent="0.25">
      <c r="A171" t="str">
        <f>IF(B171=$B$4,"ATM","")</f>
        <v/>
      </c>
      <c r="B171">
        <v>81200</v>
      </c>
      <c r="C171">
        <f>IF(RawData!J1031="","",RawData!J1031)</f>
        <v>2.65</v>
      </c>
      <c r="D171">
        <f>IF(RawData!J1032="","",RawData!J1032)</f>
        <v>3897.45</v>
      </c>
      <c r="E171">
        <f>IF(OR(C171="",D171=""),"",C171+D171)</f>
        <v>3900.1</v>
      </c>
    </row>
    <row r="172" spans="1:5" x14ac:dyDescent="0.25">
      <c r="A172" t="str">
        <f>IF(B172=$B$4,"ATM","")</f>
        <v/>
      </c>
      <c r="B172">
        <v>81300</v>
      </c>
      <c r="C172">
        <f>IF(RawData!J1033="","",RawData!J1033)</f>
        <v>2.4500000000000002</v>
      </c>
      <c r="D172">
        <f>IF(RawData!J1034="","",RawData!J1034)</f>
        <v>3996.75</v>
      </c>
      <c r="E172">
        <f>IF(OR(C172="",D172=""),"",C172+D172)</f>
        <v>3999.2</v>
      </c>
    </row>
    <row r="173" spans="1:5" x14ac:dyDescent="0.25">
      <c r="A173" t="str">
        <f>IF(B173=$B$4,"ATM","")</f>
        <v/>
      </c>
      <c r="B173">
        <v>81400</v>
      </c>
      <c r="C173">
        <f>IF(RawData!J1035="","",RawData!J1035)</f>
        <v>2.4500000000000002</v>
      </c>
      <c r="D173">
        <f>IF(RawData!J1036="","",RawData!J1036)</f>
        <v>4096.2</v>
      </c>
      <c r="E173">
        <f>IF(OR(C173="",D173=""),"",C173+D173)</f>
        <v>4098.6499999999996</v>
      </c>
    </row>
    <row r="174" spans="1:5" x14ac:dyDescent="0.25">
      <c r="A174" t="str">
        <f>IF(B174=$B$4,"ATM","")</f>
        <v/>
      </c>
      <c r="B174">
        <v>81500</v>
      </c>
      <c r="C174">
        <f>IF(RawData!J1037="","",RawData!J1037)</f>
        <v>2.35</v>
      </c>
      <c r="D174">
        <f>IF(RawData!J1038="","",RawData!J1038)</f>
        <v>4195.75</v>
      </c>
      <c r="E174">
        <f>IF(OR(C174="",D174=""),"",C174+D174)</f>
        <v>4198.1000000000004</v>
      </c>
    </row>
    <row r="175" spans="1:5" x14ac:dyDescent="0.25">
      <c r="A175" t="str">
        <f>IF(B175=$B$4,"ATM","")</f>
        <v/>
      </c>
      <c r="B175">
        <v>81600</v>
      </c>
      <c r="C175">
        <f>IF(RawData!J1039="","",RawData!J1039)</f>
        <v>2.4</v>
      </c>
      <c r="D175">
        <f>IF(RawData!J1040="","",RawData!J1040)</f>
        <v>4295.3500000000004</v>
      </c>
      <c r="E175">
        <f>IF(OR(C175="",D175=""),"",C175+D175)</f>
        <v>4297.75</v>
      </c>
    </row>
    <row r="176" spans="1:5" x14ac:dyDescent="0.25">
      <c r="A176" t="str">
        <f>IF(B176=$B$4,"ATM","")</f>
        <v/>
      </c>
      <c r="B176">
        <v>81700</v>
      </c>
      <c r="C176">
        <f>IF(RawData!J1041="","",RawData!J1041)</f>
        <v>2.15</v>
      </c>
      <c r="D176">
        <f>IF(RawData!J1042="","",RawData!J1042)</f>
        <v>4395</v>
      </c>
      <c r="E176">
        <f>IF(OR(C176="",D176=""),"",C176+D176)</f>
        <v>4397.1499999999996</v>
      </c>
    </row>
    <row r="177" spans="1:5" x14ac:dyDescent="0.25">
      <c r="A177" t="str">
        <f>IF(B177=$B$4,"ATM","")</f>
        <v/>
      </c>
      <c r="B177">
        <v>81800</v>
      </c>
      <c r="C177">
        <f>IF(RawData!J1043="","",RawData!J1043)</f>
        <v>2.2999999999999998</v>
      </c>
      <c r="D177">
        <f>IF(RawData!J1044="","",RawData!J1044)</f>
        <v>4494.7</v>
      </c>
      <c r="E177">
        <f>IF(OR(C177="",D177=""),"",C177+D177)</f>
        <v>4497</v>
      </c>
    </row>
    <row r="178" spans="1:5" x14ac:dyDescent="0.25">
      <c r="A178" t="str">
        <f>IF(B178=$B$4,"ATM","")</f>
        <v/>
      </c>
      <c r="B178">
        <v>81900</v>
      </c>
      <c r="C178">
        <f>IF(RawData!J1045="","",RawData!J1045)</f>
        <v>1.95</v>
      </c>
      <c r="D178">
        <f>IF(RawData!J1046="","",RawData!J1046)</f>
        <v>4594.45</v>
      </c>
      <c r="E178">
        <f>IF(OR(C178="",D178=""),"",C178+D178)</f>
        <v>4596.3999999999996</v>
      </c>
    </row>
    <row r="179" spans="1:5" x14ac:dyDescent="0.25">
      <c r="A179" t="str">
        <f>IF(B179=$B$4,"ATM","")</f>
        <v/>
      </c>
      <c r="B179">
        <v>82000</v>
      </c>
      <c r="C179">
        <f>IF(RawData!J1047="","",RawData!J1047)</f>
        <v>2.2000000000000002</v>
      </c>
      <c r="D179">
        <f>IF(RawData!J1048="","",RawData!J1048)</f>
        <v>4694.25</v>
      </c>
      <c r="E179">
        <f>IF(OR(C179="",D179=""),"",C179+D179)</f>
        <v>4696.45</v>
      </c>
    </row>
    <row r="180" spans="1:5" x14ac:dyDescent="0.25">
      <c r="A180" t="str">
        <f>IF(B180=$B$4,"ATM","")</f>
        <v/>
      </c>
      <c r="B180">
        <v>82100</v>
      </c>
      <c r="C180">
        <f>IF(RawData!J1049="","",RawData!J1049)</f>
        <v>2</v>
      </c>
      <c r="D180">
        <f>IF(RawData!J1050="","",RawData!J1050)</f>
        <v>4794.05</v>
      </c>
      <c r="E180">
        <f>IF(OR(C180="",D180=""),"",C180+D180)</f>
        <v>4796.05</v>
      </c>
    </row>
    <row r="181" spans="1:5" x14ac:dyDescent="0.25">
      <c r="A181" t="str">
        <f>IF(B181=$B$4,"ATM","")</f>
        <v/>
      </c>
      <c r="B181">
        <v>82200</v>
      </c>
      <c r="C181">
        <f>IF(RawData!J1051="","",RawData!J1051)</f>
        <v>2.0499999999999998</v>
      </c>
      <c r="D181">
        <f>IF(RawData!J1052="","",RawData!J1052)</f>
        <v>4893.8999999999996</v>
      </c>
      <c r="E181">
        <f>IF(OR(C181="",D181=""),"",C181+D181)</f>
        <v>4895.95</v>
      </c>
    </row>
    <row r="182" spans="1:5" x14ac:dyDescent="0.25">
      <c r="A182" t="str">
        <f>IF(B182=$B$4,"ATM","")</f>
        <v/>
      </c>
      <c r="B182">
        <v>82300</v>
      </c>
      <c r="C182">
        <f>IF(RawData!J1053="","",RawData!J1053)</f>
        <v>1.9</v>
      </c>
      <c r="D182">
        <f>IF(RawData!J1054="","",RawData!J1054)</f>
        <v>4993.75</v>
      </c>
      <c r="E182">
        <f>IF(OR(C182="",D182=""),"",C182+D182)</f>
        <v>4995.6499999999996</v>
      </c>
    </row>
    <row r="183" spans="1:5" x14ac:dyDescent="0.25">
      <c r="A183" t="str">
        <f>IF(B183=$B$4,"ATM","")</f>
        <v/>
      </c>
      <c r="B183">
        <v>82400</v>
      </c>
      <c r="C183">
        <f>IF(RawData!J1055="","",RawData!J1055)</f>
        <v>1.9</v>
      </c>
      <c r="D183">
        <f>IF(RawData!J1056="","",RawData!J1056)</f>
        <v>5093.6499999999996</v>
      </c>
      <c r="E183">
        <f>IF(OR(C183="",D183=""),"",C183+D183)</f>
        <v>5095.5499999999993</v>
      </c>
    </row>
    <row r="184" spans="1:5" x14ac:dyDescent="0.25">
      <c r="A184" t="str">
        <f>IF(B184=$B$4,"ATM","")</f>
        <v/>
      </c>
      <c r="B184">
        <v>82500</v>
      </c>
      <c r="C184">
        <f>IF(RawData!J1057="","",RawData!J1057)</f>
        <v>1.6</v>
      </c>
      <c r="D184">
        <f>IF(RawData!J1058="","",RawData!J1058)</f>
        <v>5193.55</v>
      </c>
      <c r="E184">
        <f>IF(OR(C184="",D184=""),"",C184+D184)</f>
        <v>5195.1500000000005</v>
      </c>
    </row>
    <row r="185" spans="1:5" x14ac:dyDescent="0.25">
      <c r="A185" t="str">
        <f>IF(B185=$B$4,"ATM","")</f>
        <v/>
      </c>
      <c r="B185">
        <v>82600</v>
      </c>
      <c r="C185">
        <f>IF(RawData!J1059="","",RawData!J1059)</f>
        <v>1.95</v>
      </c>
      <c r="D185">
        <f>IF(RawData!J1060="","",RawData!J1060)</f>
        <v>5293.45</v>
      </c>
      <c r="E185">
        <f>IF(OR(C185="",D185=""),"",C185+D185)</f>
        <v>5295.4</v>
      </c>
    </row>
    <row r="186" spans="1:5" x14ac:dyDescent="0.25">
      <c r="A186" t="str">
        <f>IF(B186=$B$4,"ATM","")</f>
        <v/>
      </c>
      <c r="B186">
        <v>82700</v>
      </c>
      <c r="C186">
        <f>IF(RawData!J1061="","",RawData!J1061)</f>
        <v>1.75</v>
      </c>
      <c r="D186">
        <f>IF(RawData!J1062="","",RawData!J1062)</f>
        <v>5393.35</v>
      </c>
      <c r="E186">
        <f>IF(OR(C186="",D186=""),"",C186+D186)</f>
        <v>5395.1</v>
      </c>
    </row>
    <row r="187" spans="1:5" x14ac:dyDescent="0.25">
      <c r="A187" t="str">
        <f>IF(B187=$B$4,"ATM","")</f>
        <v/>
      </c>
      <c r="B187">
        <v>82800</v>
      </c>
      <c r="C187">
        <f>IF(RawData!J1063="","",RawData!J1063)</f>
        <v>1.7</v>
      </c>
      <c r="D187">
        <f>IF(RawData!J1064="","",RawData!J1064)</f>
        <v>5493.3</v>
      </c>
      <c r="E187">
        <f>IF(OR(C187="",D187=""),"",C187+D187)</f>
        <v>5495</v>
      </c>
    </row>
    <row r="188" spans="1:5" x14ac:dyDescent="0.25">
      <c r="A188" t="str">
        <f>IF(B188=$B$4,"ATM","")</f>
        <v/>
      </c>
      <c r="B188">
        <v>82900</v>
      </c>
      <c r="C188">
        <f>IF(RawData!J1065="","",RawData!J1065)</f>
        <v>1.6</v>
      </c>
      <c r="D188">
        <f>IF(RawData!J1066="","",RawData!J1066)</f>
        <v>5593.25</v>
      </c>
      <c r="E188">
        <f>IF(OR(C188="",D188=""),"",C188+D188)</f>
        <v>5594.85</v>
      </c>
    </row>
    <row r="189" spans="1:5" x14ac:dyDescent="0.25">
      <c r="A189" t="str">
        <f>IF(B189=$B$4,"ATM","")</f>
        <v/>
      </c>
      <c r="B189">
        <v>83000</v>
      </c>
      <c r="C189">
        <f>IF(RawData!J1067="","",RawData!J1067)</f>
        <v>1.3</v>
      </c>
      <c r="D189">
        <f>IF(RawData!J1068="","",RawData!J1068)</f>
        <v>6179.35</v>
      </c>
      <c r="E189">
        <f>IF(OR(C189="",D189=""),"",C189+D189)</f>
        <v>6180.6500000000005</v>
      </c>
    </row>
    <row r="190" spans="1:5" x14ac:dyDescent="0.25">
      <c r="A190" t="str">
        <f>IF(B190=$B$4,"ATM","")</f>
        <v/>
      </c>
      <c r="B190">
        <v>83100</v>
      </c>
      <c r="C190">
        <f>IF(RawData!J1069="","",RawData!J1069)</f>
        <v>1.5</v>
      </c>
      <c r="D190">
        <f>IF(RawData!J1070="","",RawData!J1070)</f>
        <v>5793.1</v>
      </c>
      <c r="E190">
        <f>IF(OR(C190="",D190=""),"",C190+D190)</f>
        <v>5794.6</v>
      </c>
    </row>
    <row r="191" spans="1:5" x14ac:dyDescent="0.25">
      <c r="A191" t="str">
        <f>IF(B191=$B$4,"ATM","")</f>
        <v/>
      </c>
      <c r="B191">
        <v>83200</v>
      </c>
      <c r="C191">
        <f>IF(RawData!J1071="","",RawData!J1071)</f>
        <v>1.4</v>
      </c>
      <c r="D191">
        <f>IF(RawData!J1072="","",RawData!J1072)</f>
        <v>5893.05</v>
      </c>
      <c r="E191">
        <f>IF(OR(C191="",D191=""),"",C191+D191)</f>
        <v>5894.45</v>
      </c>
    </row>
    <row r="192" spans="1:5" x14ac:dyDescent="0.25">
      <c r="A192" t="str">
        <f>IF(B192=$B$4,"ATM","")</f>
        <v/>
      </c>
      <c r="B192">
        <v>83300</v>
      </c>
      <c r="C192">
        <f>IF(RawData!J1073="","",RawData!J1073)</f>
        <v>1.1000000000000001</v>
      </c>
      <c r="D192">
        <f>IF(RawData!J1074="","",RawData!J1074)</f>
        <v>5993</v>
      </c>
      <c r="E192">
        <f>IF(OR(C192="",D192=""),"",C192+D192)</f>
        <v>5994.1</v>
      </c>
    </row>
    <row r="193" spans="1:5" x14ac:dyDescent="0.25">
      <c r="A193" t="str">
        <f>IF(B193=$B$4,"ATM","")</f>
        <v/>
      </c>
      <c r="B193">
        <v>83400</v>
      </c>
      <c r="C193">
        <f>IF(RawData!J1075="","",RawData!J1075)</f>
        <v>1.4</v>
      </c>
      <c r="D193">
        <f>IF(RawData!J1076="","",RawData!J1076)</f>
        <v>6092.95</v>
      </c>
      <c r="E193">
        <f>IF(OR(C193="",D193=""),"",C193+D193)</f>
        <v>6094.3499999999995</v>
      </c>
    </row>
    <row r="194" spans="1:5" x14ac:dyDescent="0.25">
      <c r="A194" t="str">
        <f>IF(B194=$B$4,"ATM","")</f>
        <v/>
      </c>
      <c r="B194">
        <v>83500</v>
      </c>
      <c r="C194">
        <f>IF(RawData!J1077="","",RawData!J1077)</f>
        <v>1.1499999999999999</v>
      </c>
      <c r="D194">
        <f>IF(RawData!J1078="","",RawData!J1078)</f>
        <v>6192.9</v>
      </c>
      <c r="E194">
        <f>IF(OR(C194="",D194=""),"",C194+D194)</f>
        <v>6194.0499999999993</v>
      </c>
    </row>
    <row r="195" spans="1:5" x14ac:dyDescent="0.25">
      <c r="A195" t="str">
        <f>IF(B195=$B$4,"ATM","")</f>
        <v/>
      </c>
      <c r="B195">
        <v>83600</v>
      </c>
      <c r="C195">
        <f>IF(RawData!J1079="","",RawData!J1079)</f>
        <v>1.5</v>
      </c>
      <c r="D195">
        <f>IF(RawData!J1080="","",RawData!J1080)</f>
        <v>6292.85</v>
      </c>
      <c r="E195">
        <f>IF(OR(C195="",D195=""),"",C195+D195)</f>
        <v>6294.35</v>
      </c>
    </row>
    <row r="196" spans="1:5" x14ac:dyDescent="0.25">
      <c r="A196" t="str">
        <f>IF(B196=$B$4,"ATM","")</f>
        <v/>
      </c>
      <c r="B196">
        <v>83700</v>
      </c>
      <c r="C196">
        <f>IF(RawData!J1081="","",RawData!J1081)</f>
        <v>1.1499999999999999</v>
      </c>
      <c r="D196">
        <f>IF(RawData!J1082="","",RawData!J1082)</f>
        <v>6392.8</v>
      </c>
      <c r="E196">
        <f>IF(OR(C196="",D196=""),"",C196+D196)</f>
        <v>6393.95</v>
      </c>
    </row>
    <row r="197" spans="1:5" x14ac:dyDescent="0.25">
      <c r="A197" t="str">
        <f>IF(B197=$B$4,"ATM","")</f>
        <v/>
      </c>
      <c r="B197">
        <v>83800</v>
      </c>
      <c r="C197">
        <f>IF(RawData!J1083="","",RawData!J1083)</f>
        <v>1.35</v>
      </c>
      <c r="D197">
        <f>IF(RawData!J1084="","",RawData!J1084)</f>
        <v>6492.75</v>
      </c>
      <c r="E197">
        <f>IF(OR(C197="",D197=""),"",C197+D197)</f>
        <v>6494.1</v>
      </c>
    </row>
    <row r="198" spans="1:5" x14ac:dyDescent="0.25">
      <c r="A198" t="str">
        <f>IF(B198=$B$4,"ATM","")</f>
        <v/>
      </c>
      <c r="B198">
        <v>83900</v>
      </c>
      <c r="C198">
        <f>IF(RawData!J1085="","",RawData!J1085)</f>
        <v>1.3</v>
      </c>
      <c r="D198">
        <f>IF(RawData!J1086="","",RawData!J1086)</f>
        <v>6592.7</v>
      </c>
      <c r="E198">
        <f>IF(OR(C198="",D198=""),"",C198+D198)</f>
        <v>6594</v>
      </c>
    </row>
    <row r="199" spans="1:5" x14ac:dyDescent="0.25">
      <c r="A199" t="str">
        <f>IF(B199=$B$4,"ATM","")</f>
        <v/>
      </c>
      <c r="B199">
        <v>84000</v>
      </c>
      <c r="C199">
        <f>IF(RawData!J1087="","",RawData!J1087)</f>
        <v>1.05</v>
      </c>
      <c r="D199">
        <f>IF(RawData!J1088="","",RawData!J1088)</f>
        <v>6692.65</v>
      </c>
      <c r="E199">
        <f>IF(OR(C199="",D199=""),"",C199+D199)</f>
        <v>6693.7</v>
      </c>
    </row>
    <row r="200" spans="1:5" x14ac:dyDescent="0.25">
      <c r="A200" t="str">
        <f>IF(B200=$B$4,"ATM","")</f>
        <v/>
      </c>
      <c r="B200">
        <v>84100</v>
      </c>
      <c r="C200">
        <f>IF(RawData!J1089="","",RawData!J1089)</f>
        <v>1.1499999999999999</v>
      </c>
      <c r="D200">
        <f>IF(RawData!J1090="","",RawData!J1090)</f>
        <v>6792.6</v>
      </c>
      <c r="E200">
        <f>IF(OR(C200="",D200=""),"",C200+D200)</f>
        <v>6793.75</v>
      </c>
    </row>
    <row r="201" spans="1:5" x14ac:dyDescent="0.25">
      <c r="A201" t="str">
        <f>IF(B201=$B$4,"ATM","")</f>
        <v/>
      </c>
      <c r="B201">
        <v>84200</v>
      </c>
      <c r="C201">
        <f>IF(RawData!J1091="","",RawData!J1091)</f>
        <v>1.25</v>
      </c>
      <c r="D201">
        <f>IF(RawData!J1092="","",RawData!J1092)</f>
        <v>6892.55</v>
      </c>
      <c r="E201">
        <f>IF(OR(C201="",D201=""),"",C201+D201)</f>
        <v>6893.8</v>
      </c>
    </row>
    <row r="202" spans="1:5" x14ac:dyDescent="0.25">
      <c r="A202" t="str">
        <f>IF(B202=$B$4,"ATM","")</f>
        <v/>
      </c>
      <c r="B202">
        <v>84300</v>
      </c>
      <c r="C202">
        <f>IF(RawData!J1093="","",RawData!J1093)</f>
        <v>1.2</v>
      </c>
      <c r="D202">
        <f>IF(RawData!J1094="","",RawData!J1094)</f>
        <v>6992.5</v>
      </c>
      <c r="E202">
        <f>IF(OR(C202="",D202=""),"",C202+D202)</f>
        <v>6993.7</v>
      </c>
    </row>
    <row r="203" spans="1:5" x14ac:dyDescent="0.25">
      <c r="A203" t="str">
        <f>IF(B203=$B$4,"ATM","")</f>
        <v/>
      </c>
      <c r="B203">
        <v>84400</v>
      </c>
      <c r="C203">
        <f>IF(RawData!J1095="","",RawData!J1095)</f>
        <v>1.2</v>
      </c>
      <c r="D203">
        <f>IF(RawData!J1096="","",RawData!J1096)</f>
        <v>7092.45</v>
      </c>
      <c r="E203">
        <f>IF(OR(C203="",D203=""),"",C203+D203)</f>
        <v>7093.65</v>
      </c>
    </row>
    <row r="204" spans="1:5" x14ac:dyDescent="0.25">
      <c r="A204" t="str">
        <f>IF(B204=$B$4,"ATM","")</f>
        <v/>
      </c>
      <c r="B204">
        <v>84500</v>
      </c>
      <c r="C204">
        <f>IF(RawData!J1097="","",RawData!J1097)</f>
        <v>1.05</v>
      </c>
      <c r="D204">
        <f>IF(RawData!J1098="","",RawData!J1098)</f>
        <v>7192.4</v>
      </c>
      <c r="E204">
        <f>IF(OR(C204="",D204=""),"",C204+D204)</f>
        <v>7193.45</v>
      </c>
    </row>
    <row r="205" spans="1:5" x14ac:dyDescent="0.25">
      <c r="A205" t="str">
        <f>IF(B205=$B$4,"ATM","")</f>
        <v/>
      </c>
      <c r="B205">
        <v>84600</v>
      </c>
      <c r="C205">
        <f>IF(RawData!J1099="","",RawData!J1099)</f>
        <v>0.9</v>
      </c>
      <c r="D205">
        <f>IF(RawData!J1100="","",RawData!J1100)</f>
        <v>7292.35</v>
      </c>
      <c r="E205">
        <f>IF(OR(C205="",D205=""),"",C205+D205)</f>
        <v>7293.25</v>
      </c>
    </row>
    <row r="206" spans="1:5" x14ac:dyDescent="0.25">
      <c r="A206" t="str">
        <f>IF(B206=$B$4,"ATM","")</f>
        <v/>
      </c>
      <c r="B206">
        <v>84700</v>
      </c>
      <c r="C206">
        <f>IF(RawData!J1101="","",RawData!J1101)</f>
        <v>1.25</v>
      </c>
      <c r="D206">
        <f>IF(RawData!J1102="","",RawData!J1102)</f>
        <v>7392.3</v>
      </c>
      <c r="E206">
        <f>IF(OR(C206="",D206=""),"",C206+D206)</f>
        <v>7393.55</v>
      </c>
    </row>
    <row r="207" spans="1:5" x14ac:dyDescent="0.25">
      <c r="A207" t="str">
        <f>IF(B207=$B$4,"ATM","")</f>
        <v/>
      </c>
      <c r="B207">
        <v>84800</v>
      </c>
      <c r="C207">
        <f>IF(RawData!J1103="","",RawData!J1103)</f>
        <v>0.95</v>
      </c>
      <c r="D207">
        <f>IF(RawData!J1104="","",RawData!J1104)</f>
        <v>7492.3</v>
      </c>
      <c r="E207">
        <f>IF(OR(C207="",D207=""),"",C207+D207)</f>
        <v>7493.25</v>
      </c>
    </row>
    <row r="208" spans="1:5" x14ac:dyDescent="0.25">
      <c r="A208" t="str">
        <f>IF(B208=$B$4,"ATM","")</f>
        <v/>
      </c>
      <c r="B208">
        <v>84900</v>
      </c>
      <c r="C208">
        <f>IF(RawData!J1105="","",RawData!J1105)</f>
        <v>0.9</v>
      </c>
      <c r="D208">
        <f>IF(RawData!J1106="","",RawData!J1106)</f>
        <v>7592.25</v>
      </c>
      <c r="E208">
        <f>IF(OR(C208="",D208=""),"",C208+D208)</f>
        <v>7593.15</v>
      </c>
    </row>
    <row r="209" spans="1:5" x14ac:dyDescent="0.25">
      <c r="A209" t="str">
        <f>IF(B209=$B$4,"ATM","")</f>
        <v/>
      </c>
      <c r="B209">
        <v>85000</v>
      </c>
      <c r="C209">
        <f>IF(RawData!J1107="","",RawData!J1107)</f>
        <v>0.75</v>
      </c>
      <c r="D209">
        <f>IF(RawData!J1108="","",RawData!J1108)</f>
        <v>7780</v>
      </c>
      <c r="E209">
        <f>IF(OR(C209="",D209=""),"",C209+D209)</f>
        <v>7780.75</v>
      </c>
    </row>
    <row r="210" spans="1:5" x14ac:dyDescent="0.25">
      <c r="A210" t="str">
        <f>IF(B210=$B$4,"ATM","")</f>
        <v/>
      </c>
      <c r="B210">
        <v>85100</v>
      </c>
      <c r="C210">
        <f>IF(RawData!J1109="","",RawData!J1109)</f>
        <v>0.85</v>
      </c>
      <c r="D210">
        <f>IF(RawData!J1110="","",RawData!J1110)</f>
        <v>7792.15</v>
      </c>
      <c r="E210">
        <f>IF(OR(C210="",D210=""),"",C210+D210)</f>
        <v>7793</v>
      </c>
    </row>
    <row r="211" spans="1:5" x14ac:dyDescent="0.25">
      <c r="A211" t="str">
        <f>IF(B211=$B$4,"ATM","")</f>
        <v/>
      </c>
      <c r="B211">
        <v>85200</v>
      </c>
      <c r="C211">
        <f>IF(RawData!J1111="","",RawData!J1111)</f>
        <v>0.8</v>
      </c>
      <c r="D211">
        <f>IF(RawData!J1112="","",RawData!J1112)</f>
        <v>7892.1</v>
      </c>
      <c r="E211">
        <f>IF(OR(C211="",D211=""),"",C211+D211)</f>
        <v>7892.9000000000005</v>
      </c>
    </row>
    <row r="212" spans="1:5" x14ac:dyDescent="0.25">
      <c r="A212" t="str">
        <f>IF(B212=$B$4,"ATM","")</f>
        <v/>
      </c>
      <c r="B212">
        <v>85300</v>
      </c>
      <c r="C212">
        <f>IF(RawData!J1113="","",RawData!J1113)</f>
        <v>0.75</v>
      </c>
      <c r="D212">
        <f>IF(RawData!J1114="","",RawData!J1114)</f>
        <v>7992.05</v>
      </c>
      <c r="E212">
        <f>IF(OR(C212="",D212=""),"",C212+D212)</f>
        <v>7992.8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114"/>
  <sheetViews>
    <sheetView showGridLines="0" tabSelected="1" topLeftCell="Q1" zoomScale="70" zoomScaleNormal="70" workbookViewId="0">
      <pane ySplit="1" topLeftCell="A65" activePane="bottomLeft" state="frozen"/>
      <selection pane="bottomLeft" activeCell="C1" sqref="C1"/>
    </sheetView>
  </sheetViews>
  <sheetFormatPr defaultRowHeight="15" x14ac:dyDescent="0.25"/>
  <cols>
    <col min="1" max="2" width="14" customWidth="1"/>
    <col min="3" max="3" width="12" customWidth="1"/>
    <col min="4" max="4" width="22" customWidth="1"/>
    <col min="5" max="5" width="16" customWidth="1"/>
    <col min="6" max="6" width="10" customWidth="1"/>
    <col min="7" max="9" width="12" customWidth="1"/>
    <col min="10" max="27" width="14" customWidth="1"/>
    <col min="28" max="29" width="22" customWidth="1"/>
  </cols>
  <sheetData>
    <row r="1" spans="1:29" x14ac:dyDescent="0.25">
      <c r="A1" s="3" t="s">
        <v>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16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39</v>
      </c>
      <c r="U1" s="3" t="s">
        <v>40</v>
      </c>
      <c r="V1" s="3" t="s">
        <v>41</v>
      </c>
      <c r="W1" s="3" t="s">
        <v>42</v>
      </c>
      <c r="X1" s="3" t="s">
        <v>43</v>
      </c>
      <c r="Y1" s="3" t="s">
        <v>44</v>
      </c>
      <c r="Z1" s="3" t="s">
        <v>45</v>
      </c>
      <c r="AA1" s="3" t="s">
        <v>46</v>
      </c>
      <c r="AB1" s="3" t="s">
        <v>47</v>
      </c>
      <c r="AC1" s="3" t="s">
        <v>48</v>
      </c>
    </row>
    <row r="2" spans="1:29" x14ac:dyDescent="0.25">
      <c r="A2" t="s">
        <v>7</v>
      </c>
      <c r="B2" s="5">
        <v>46147</v>
      </c>
      <c r="C2" t="s">
        <v>50</v>
      </c>
      <c r="D2" t="s">
        <v>51</v>
      </c>
      <c r="E2">
        <v>256265</v>
      </c>
      <c r="F2" t="s">
        <v>52</v>
      </c>
      <c r="G2" t="s">
        <v>53</v>
      </c>
      <c r="J2">
        <v>24035.1</v>
      </c>
      <c r="K2">
        <v>-0.34909802523290778</v>
      </c>
      <c r="T2">
        <v>24052.6</v>
      </c>
      <c r="U2">
        <v>24081.7</v>
      </c>
      <c r="V2">
        <v>23882.05</v>
      </c>
      <c r="W2">
        <v>24119.3</v>
      </c>
      <c r="AB2" s="6"/>
    </row>
    <row r="3" spans="1:29" x14ac:dyDescent="0.25">
      <c r="A3" t="s">
        <v>7</v>
      </c>
      <c r="B3" s="5">
        <v>46147</v>
      </c>
      <c r="C3" t="s">
        <v>54</v>
      </c>
      <c r="D3" t="s">
        <v>55</v>
      </c>
      <c r="E3">
        <v>18823682</v>
      </c>
      <c r="F3" t="s">
        <v>56</v>
      </c>
      <c r="G3" t="s">
        <v>57</v>
      </c>
      <c r="H3">
        <v>20100</v>
      </c>
      <c r="I3" t="s">
        <v>58</v>
      </c>
      <c r="J3">
        <v>2979.95</v>
      </c>
      <c r="K3">
        <v>0</v>
      </c>
      <c r="L3">
        <v>0</v>
      </c>
      <c r="M3">
        <v>0</v>
      </c>
      <c r="N3">
        <v>0</v>
      </c>
      <c r="O3">
        <v>5980</v>
      </c>
      <c r="P3">
        <v>5200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2979.95</v>
      </c>
      <c r="X3">
        <v>3716.65</v>
      </c>
      <c r="Y3">
        <v>780</v>
      </c>
      <c r="Z3">
        <v>4067.35</v>
      </c>
      <c r="AA3">
        <v>130</v>
      </c>
      <c r="AB3" s="6">
        <v>46147.586446759262</v>
      </c>
      <c r="AC3" s="6">
        <v>25569.229166666668</v>
      </c>
    </row>
    <row r="4" spans="1:29" x14ac:dyDescent="0.25">
      <c r="A4" t="s">
        <v>7</v>
      </c>
      <c r="B4" s="5">
        <v>46147</v>
      </c>
      <c r="C4" t="s">
        <v>54</v>
      </c>
      <c r="D4" t="s">
        <v>59</v>
      </c>
      <c r="E4">
        <v>18823938</v>
      </c>
      <c r="F4" t="s">
        <v>56</v>
      </c>
      <c r="G4" t="s">
        <v>57</v>
      </c>
      <c r="H4">
        <v>20100</v>
      </c>
      <c r="I4" t="s">
        <v>60</v>
      </c>
      <c r="J4">
        <v>0.1</v>
      </c>
      <c r="K4">
        <v>-60</v>
      </c>
      <c r="L4">
        <v>65</v>
      </c>
      <c r="M4">
        <v>0.14000000000000001</v>
      </c>
      <c r="N4">
        <v>863655</v>
      </c>
      <c r="O4">
        <v>1239485</v>
      </c>
      <c r="P4">
        <v>822835</v>
      </c>
      <c r="Q4">
        <v>688870</v>
      </c>
      <c r="R4">
        <v>768690</v>
      </c>
      <c r="S4">
        <v>688870</v>
      </c>
      <c r="T4">
        <v>0.25</v>
      </c>
      <c r="U4">
        <v>0.25</v>
      </c>
      <c r="V4">
        <v>0.05</v>
      </c>
      <c r="W4">
        <v>0.25</v>
      </c>
      <c r="X4">
        <v>0.05</v>
      </c>
      <c r="Y4">
        <v>1239485</v>
      </c>
      <c r="Z4">
        <v>0.1</v>
      </c>
      <c r="AA4">
        <v>321685</v>
      </c>
      <c r="AB4" s="6">
        <v>46147.58630787037</v>
      </c>
      <c r="AC4" s="6">
        <v>46147.585995370369</v>
      </c>
    </row>
    <row r="5" spans="1:29" x14ac:dyDescent="0.25">
      <c r="A5" t="s">
        <v>7</v>
      </c>
      <c r="B5" s="5">
        <v>46147</v>
      </c>
      <c r="C5" t="s">
        <v>54</v>
      </c>
      <c r="D5" t="s">
        <v>61</v>
      </c>
      <c r="E5">
        <v>18824194</v>
      </c>
      <c r="F5" t="s">
        <v>56</v>
      </c>
      <c r="G5" t="s">
        <v>57</v>
      </c>
      <c r="H5">
        <v>20150</v>
      </c>
      <c r="I5" t="s">
        <v>58</v>
      </c>
      <c r="J5">
        <v>2930.7</v>
      </c>
      <c r="K5">
        <v>0</v>
      </c>
      <c r="L5">
        <v>0</v>
      </c>
      <c r="M5">
        <v>0</v>
      </c>
      <c r="N5">
        <v>0</v>
      </c>
      <c r="O5">
        <v>5980</v>
      </c>
      <c r="P5">
        <v>5980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2930.7</v>
      </c>
      <c r="X5">
        <v>3672</v>
      </c>
      <c r="Y5">
        <v>780</v>
      </c>
      <c r="Z5">
        <v>4017.4</v>
      </c>
      <c r="AA5">
        <v>780</v>
      </c>
      <c r="AB5" s="6">
        <v>46147.586504629631</v>
      </c>
      <c r="AC5" s="6">
        <v>25569.229166666668</v>
      </c>
    </row>
    <row r="6" spans="1:29" x14ac:dyDescent="0.25">
      <c r="A6" t="s">
        <v>7</v>
      </c>
      <c r="B6" s="5">
        <v>46147</v>
      </c>
      <c r="C6" t="s">
        <v>54</v>
      </c>
      <c r="D6" t="s">
        <v>62</v>
      </c>
      <c r="E6">
        <v>18824450</v>
      </c>
      <c r="F6" t="s">
        <v>56</v>
      </c>
      <c r="G6" t="s">
        <v>57</v>
      </c>
      <c r="H6">
        <v>20150</v>
      </c>
      <c r="I6" t="s">
        <v>60</v>
      </c>
      <c r="J6">
        <v>0.1</v>
      </c>
      <c r="K6">
        <v>-66.666666666666671</v>
      </c>
      <c r="L6">
        <v>130</v>
      </c>
      <c r="M6">
        <v>0.19</v>
      </c>
      <c r="N6">
        <v>155870</v>
      </c>
      <c r="O6">
        <v>7670</v>
      </c>
      <c r="P6">
        <v>73905</v>
      </c>
      <c r="Q6">
        <v>96070</v>
      </c>
      <c r="R6">
        <v>98150</v>
      </c>
      <c r="S6">
        <v>77740</v>
      </c>
      <c r="T6">
        <v>0.4</v>
      </c>
      <c r="U6">
        <v>0.4</v>
      </c>
      <c r="V6">
        <v>0.05</v>
      </c>
      <c r="W6">
        <v>0.3</v>
      </c>
      <c r="X6">
        <v>0.05</v>
      </c>
      <c r="Y6">
        <v>7670</v>
      </c>
      <c r="Z6">
        <v>0.1</v>
      </c>
      <c r="AA6">
        <v>13520</v>
      </c>
      <c r="AB6" s="6">
        <v>46147.586516203701</v>
      </c>
      <c r="AC6" s="6">
        <v>46147.584907407407</v>
      </c>
    </row>
    <row r="7" spans="1:29" x14ac:dyDescent="0.25">
      <c r="A7" t="s">
        <v>7</v>
      </c>
      <c r="B7" s="5">
        <v>46147</v>
      </c>
      <c r="C7" t="s">
        <v>54</v>
      </c>
      <c r="D7" t="s">
        <v>63</v>
      </c>
      <c r="E7">
        <v>18824706</v>
      </c>
      <c r="F7" t="s">
        <v>56</v>
      </c>
      <c r="G7" t="s">
        <v>57</v>
      </c>
      <c r="H7">
        <v>20200</v>
      </c>
      <c r="I7" t="s">
        <v>58</v>
      </c>
      <c r="J7">
        <v>2881.5</v>
      </c>
      <c r="K7">
        <v>0</v>
      </c>
      <c r="L7">
        <v>0</v>
      </c>
      <c r="M7">
        <v>0</v>
      </c>
      <c r="N7">
        <v>0</v>
      </c>
      <c r="O7">
        <v>5850</v>
      </c>
      <c r="P7">
        <v>5850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2881.5</v>
      </c>
      <c r="X7">
        <v>3609.05</v>
      </c>
      <c r="Y7">
        <v>780</v>
      </c>
      <c r="Z7">
        <v>3964.75</v>
      </c>
      <c r="AA7">
        <v>780</v>
      </c>
      <c r="AB7" s="6">
        <v>46147.586423611108</v>
      </c>
      <c r="AC7" s="6">
        <v>25569.229166666668</v>
      </c>
    </row>
    <row r="8" spans="1:29" x14ac:dyDescent="0.25">
      <c r="A8" t="s">
        <v>7</v>
      </c>
      <c r="B8" s="5">
        <v>46147</v>
      </c>
      <c r="C8" t="s">
        <v>54</v>
      </c>
      <c r="D8" t="s">
        <v>64</v>
      </c>
      <c r="E8">
        <v>18824962</v>
      </c>
      <c r="F8" t="s">
        <v>56</v>
      </c>
      <c r="G8" t="s">
        <v>57</v>
      </c>
      <c r="H8">
        <v>20200</v>
      </c>
      <c r="I8" t="s">
        <v>60</v>
      </c>
      <c r="J8">
        <v>0.05</v>
      </c>
      <c r="K8">
        <v>-83.333333333333343</v>
      </c>
      <c r="L8">
        <v>65</v>
      </c>
      <c r="M8">
        <v>0.17</v>
      </c>
      <c r="N8">
        <v>208520</v>
      </c>
      <c r="O8">
        <v>25480</v>
      </c>
      <c r="P8">
        <v>52715</v>
      </c>
      <c r="Q8">
        <v>69940</v>
      </c>
      <c r="R8">
        <v>73515</v>
      </c>
      <c r="S8">
        <v>57720</v>
      </c>
      <c r="T8">
        <v>0.35</v>
      </c>
      <c r="U8">
        <v>0.4</v>
      </c>
      <c r="V8">
        <v>0.05</v>
      </c>
      <c r="W8">
        <v>0.3</v>
      </c>
      <c r="X8">
        <v>0.05</v>
      </c>
      <c r="Y8">
        <v>25480</v>
      </c>
      <c r="Z8">
        <v>0.1</v>
      </c>
      <c r="AA8">
        <v>10400</v>
      </c>
      <c r="AB8" s="6">
        <v>46147.586423611108</v>
      </c>
      <c r="AC8" s="6">
        <v>46147.584907407407</v>
      </c>
    </row>
    <row r="9" spans="1:29" x14ac:dyDescent="0.25">
      <c r="A9" t="s">
        <v>7</v>
      </c>
      <c r="B9" s="5">
        <v>46147</v>
      </c>
      <c r="C9" t="s">
        <v>54</v>
      </c>
      <c r="D9" t="s">
        <v>65</v>
      </c>
      <c r="E9">
        <v>18825218</v>
      </c>
      <c r="F9" t="s">
        <v>56</v>
      </c>
      <c r="G9" t="s">
        <v>57</v>
      </c>
      <c r="H9">
        <v>20250</v>
      </c>
      <c r="I9" t="s">
        <v>58</v>
      </c>
      <c r="J9">
        <v>2832.3</v>
      </c>
      <c r="K9">
        <v>0</v>
      </c>
      <c r="L9">
        <v>0</v>
      </c>
      <c r="M9">
        <v>0</v>
      </c>
      <c r="N9">
        <v>0</v>
      </c>
      <c r="O9">
        <v>5980</v>
      </c>
      <c r="P9">
        <v>5200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2832.3</v>
      </c>
      <c r="X9">
        <v>3574.6</v>
      </c>
      <c r="Y9">
        <v>780</v>
      </c>
      <c r="Z9">
        <v>3915</v>
      </c>
      <c r="AA9">
        <v>1690</v>
      </c>
      <c r="AB9" s="6">
        <v>46147.586412037039</v>
      </c>
      <c r="AC9" s="6">
        <v>25569.229166666668</v>
      </c>
    </row>
    <row r="10" spans="1:29" x14ac:dyDescent="0.25">
      <c r="A10" t="s">
        <v>7</v>
      </c>
      <c r="B10" s="5">
        <v>46147</v>
      </c>
      <c r="C10" t="s">
        <v>54</v>
      </c>
      <c r="D10" t="s">
        <v>66</v>
      </c>
      <c r="E10">
        <v>18825474</v>
      </c>
      <c r="F10" t="s">
        <v>56</v>
      </c>
      <c r="G10" t="s">
        <v>57</v>
      </c>
      <c r="H10">
        <v>20250</v>
      </c>
      <c r="I10" t="s">
        <v>60</v>
      </c>
      <c r="J10">
        <v>0.1</v>
      </c>
      <c r="K10">
        <v>-66.666666666666671</v>
      </c>
      <c r="L10">
        <v>130</v>
      </c>
      <c r="M10">
        <v>0.23</v>
      </c>
      <c r="N10">
        <v>58175</v>
      </c>
      <c r="O10">
        <v>3510</v>
      </c>
      <c r="P10">
        <v>43030</v>
      </c>
      <c r="Q10">
        <v>33865</v>
      </c>
      <c r="R10">
        <v>41730</v>
      </c>
      <c r="S10">
        <v>33865</v>
      </c>
      <c r="T10">
        <v>0.35</v>
      </c>
      <c r="U10">
        <v>0.45</v>
      </c>
      <c r="V10">
        <v>0.05</v>
      </c>
      <c r="W10">
        <v>0.3</v>
      </c>
      <c r="X10">
        <v>0.05</v>
      </c>
      <c r="Y10">
        <v>3510</v>
      </c>
      <c r="Z10">
        <v>0.1</v>
      </c>
      <c r="AA10">
        <v>1495</v>
      </c>
      <c r="AB10" s="6">
        <v>46147.586412037039</v>
      </c>
      <c r="AC10" s="6">
        <v>46147.584907407407</v>
      </c>
    </row>
    <row r="11" spans="1:29" x14ac:dyDescent="0.25">
      <c r="A11" t="s">
        <v>7</v>
      </c>
      <c r="B11" s="5">
        <v>46147</v>
      </c>
      <c r="C11" t="s">
        <v>54</v>
      </c>
      <c r="D11" t="s">
        <v>67</v>
      </c>
      <c r="E11">
        <v>18825730</v>
      </c>
      <c r="F11" t="s">
        <v>56</v>
      </c>
      <c r="G11" t="s">
        <v>57</v>
      </c>
      <c r="H11">
        <v>20300</v>
      </c>
      <c r="I11" t="s">
        <v>58</v>
      </c>
      <c r="J11">
        <v>2783.2</v>
      </c>
      <c r="K11">
        <v>0</v>
      </c>
      <c r="L11">
        <v>0</v>
      </c>
      <c r="M11">
        <v>0</v>
      </c>
      <c r="N11">
        <v>0</v>
      </c>
      <c r="O11">
        <v>5980</v>
      </c>
      <c r="P11">
        <v>5980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2783.2</v>
      </c>
      <c r="X11">
        <v>3523.05</v>
      </c>
      <c r="Y11">
        <v>780</v>
      </c>
      <c r="Z11">
        <v>3864.25</v>
      </c>
      <c r="AA11">
        <v>780</v>
      </c>
      <c r="AB11" s="6">
        <v>46147.586481481485</v>
      </c>
      <c r="AC11" s="6">
        <v>25569.229166666668</v>
      </c>
    </row>
    <row r="12" spans="1:29" x14ac:dyDescent="0.25">
      <c r="A12" t="s">
        <v>7</v>
      </c>
      <c r="B12" s="5">
        <v>46147</v>
      </c>
      <c r="C12" t="s">
        <v>54</v>
      </c>
      <c r="D12" t="s">
        <v>68</v>
      </c>
      <c r="E12">
        <v>18826498</v>
      </c>
      <c r="F12" t="s">
        <v>56</v>
      </c>
      <c r="G12" t="s">
        <v>57</v>
      </c>
      <c r="H12">
        <v>20300</v>
      </c>
      <c r="I12" t="s">
        <v>60</v>
      </c>
      <c r="J12">
        <v>0.05</v>
      </c>
      <c r="K12">
        <v>-80</v>
      </c>
      <c r="L12">
        <v>65</v>
      </c>
      <c r="M12">
        <v>0.21</v>
      </c>
      <c r="N12">
        <v>180310</v>
      </c>
      <c r="O12">
        <v>81380</v>
      </c>
      <c r="P12">
        <v>72215</v>
      </c>
      <c r="Q12">
        <v>77870</v>
      </c>
      <c r="R12">
        <v>100620</v>
      </c>
      <c r="S12">
        <v>71305</v>
      </c>
      <c r="T12">
        <v>0.4</v>
      </c>
      <c r="U12">
        <v>0.65</v>
      </c>
      <c r="V12">
        <v>0.05</v>
      </c>
      <c r="W12">
        <v>0.25</v>
      </c>
      <c r="X12">
        <v>0.05</v>
      </c>
      <c r="Y12">
        <v>81380</v>
      </c>
      <c r="Z12">
        <v>0.1</v>
      </c>
      <c r="AA12">
        <v>5785</v>
      </c>
      <c r="AB12" s="6">
        <v>46147.586481481485</v>
      </c>
      <c r="AC12" s="6">
        <v>46147.584907407407</v>
      </c>
    </row>
    <row r="13" spans="1:29" x14ac:dyDescent="0.25">
      <c r="A13" t="s">
        <v>7</v>
      </c>
      <c r="B13" s="5">
        <v>46147</v>
      </c>
      <c r="C13" t="s">
        <v>54</v>
      </c>
      <c r="D13" t="s">
        <v>69</v>
      </c>
      <c r="E13">
        <v>18826754</v>
      </c>
      <c r="F13" t="s">
        <v>56</v>
      </c>
      <c r="G13" t="s">
        <v>57</v>
      </c>
      <c r="H13">
        <v>20350</v>
      </c>
      <c r="I13" t="s">
        <v>58</v>
      </c>
      <c r="J13">
        <v>2734.15</v>
      </c>
      <c r="K13">
        <v>0</v>
      </c>
      <c r="L13">
        <v>0</v>
      </c>
      <c r="M13">
        <v>0</v>
      </c>
      <c r="N13">
        <v>0</v>
      </c>
      <c r="O13">
        <v>5980</v>
      </c>
      <c r="P13">
        <v>5980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2734.15</v>
      </c>
      <c r="X13">
        <v>3449.25</v>
      </c>
      <c r="Y13">
        <v>780</v>
      </c>
      <c r="Z13">
        <v>3814.8</v>
      </c>
      <c r="AA13">
        <v>780</v>
      </c>
      <c r="AB13" s="6">
        <v>46147.586516203701</v>
      </c>
      <c r="AC13" s="6">
        <v>25569.229166666668</v>
      </c>
    </row>
    <row r="14" spans="1:29" x14ac:dyDescent="0.25">
      <c r="A14" t="s">
        <v>7</v>
      </c>
      <c r="B14" s="5">
        <v>46147</v>
      </c>
      <c r="C14" t="s">
        <v>54</v>
      </c>
      <c r="D14" t="s">
        <v>70</v>
      </c>
      <c r="E14">
        <v>18833666</v>
      </c>
      <c r="F14" t="s">
        <v>56</v>
      </c>
      <c r="G14" t="s">
        <v>57</v>
      </c>
      <c r="H14">
        <v>20350</v>
      </c>
      <c r="I14" t="s">
        <v>60</v>
      </c>
      <c r="J14">
        <v>0.1</v>
      </c>
      <c r="K14">
        <v>-66.666666666666671</v>
      </c>
      <c r="L14">
        <v>715</v>
      </c>
      <c r="M14">
        <v>0.26</v>
      </c>
      <c r="N14">
        <v>87230</v>
      </c>
      <c r="O14">
        <v>11505</v>
      </c>
      <c r="P14">
        <v>46995</v>
      </c>
      <c r="Q14">
        <v>41470</v>
      </c>
      <c r="R14">
        <v>50570</v>
      </c>
      <c r="S14">
        <v>39585</v>
      </c>
      <c r="T14">
        <v>1</v>
      </c>
      <c r="U14">
        <v>1</v>
      </c>
      <c r="V14">
        <v>0.1</v>
      </c>
      <c r="W14">
        <v>0.3</v>
      </c>
      <c r="X14">
        <v>0.1</v>
      </c>
      <c r="Y14">
        <v>8060</v>
      </c>
      <c r="Z14">
        <v>0.15</v>
      </c>
      <c r="AA14">
        <v>1040</v>
      </c>
      <c r="AB14" s="6">
        <v>46147.586516203701</v>
      </c>
      <c r="AC14" s="6">
        <v>46147.584490740737</v>
      </c>
    </row>
    <row r="15" spans="1:29" x14ac:dyDescent="0.25">
      <c r="A15" t="s">
        <v>7</v>
      </c>
      <c r="B15" s="5">
        <v>46147</v>
      </c>
      <c r="C15" t="s">
        <v>54</v>
      </c>
      <c r="D15" t="s">
        <v>71</v>
      </c>
      <c r="E15">
        <v>18833922</v>
      </c>
      <c r="F15" t="s">
        <v>56</v>
      </c>
      <c r="G15" t="s">
        <v>57</v>
      </c>
      <c r="H15">
        <v>20400</v>
      </c>
      <c r="I15" t="s">
        <v>58</v>
      </c>
      <c r="J15">
        <v>2685.15</v>
      </c>
      <c r="K15">
        <v>0</v>
      </c>
      <c r="L15">
        <v>0</v>
      </c>
      <c r="M15">
        <v>0</v>
      </c>
      <c r="N15">
        <v>0</v>
      </c>
      <c r="O15">
        <v>5980</v>
      </c>
      <c r="P15">
        <v>5980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2685.15</v>
      </c>
      <c r="X15">
        <v>3409.05</v>
      </c>
      <c r="Y15">
        <v>780</v>
      </c>
      <c r="Z15">
        <v>3764.45</v>
      </c>
      <c r="AA15">
        <v>780</v>
      </c>
      <c r="AB15" s="6">
        <v>46147.586435185185</v>
      </c>
      <c r="AC15" s="6">
        <v>25569.229166666668</v>
      </c>
    </row>
    <row r="16" spans="1:29" x14ac:dyDescent="0.25">
      <c r="A16" t="s">
        <v>7</v>
      </c>
      <c r="B16" s="5">
        <v>46147</v>
      </c>
      <c r="C16" t="s">
        <v>54</v>
      </c>
      <c r="D16" t="s">
        <v>72</v>
      </c>
      <c r="E16">
        <v>18836994</v>
      </c>
      <c r="F16" t="s">
        <v>56</v>
      </c>
      <c r="G16" t="s">
        <v>57</v>
      </c>
      <c r="H16">
        <v>20400</v>
      </c>
      <c r="I16" t="s">
        <v>60</v>
      </c>
      <c r="J16">
        <v>0.1</v>
      </c>
      <c r="K16">
        <v>-66.666666666666671</v>
      </c>
      <c r="L16">
        <v>130</v>
      </c>
      <c r="M16">
        <v>0.24</v>
      </c>
      <c r="N16">
        <v>62075</v>
      </c>
      <c r="O16">
        <v>53430</v>
      </c>
      <c r="P16">
        <v>50830</v>
      </c>
      <c r="Q16">
        <v>34125</v>
      </c>
      <c r="R16">
        <v>34190</v>
      </c>
      <c r="S16">
        <v>16965</v>
      </c>
      <c r="T16">
        <v>0.4</v>
      </c>
      <c r="U16">
        <v>0.55000000000000004</v>
      </c>
      <c r="V16">
        <v>0.05</v>
      </c>
      <c r="W16">
        <v>0.3</v>
      </c>
      <c r="X16">
        <v>0.1</v>
      </c>
      <c r="Y16">
        <v>4225</v>
      </c>
      <c r="Z16">
        <v>0.15</v>
      </c>
      <c r="AA16">
        <v>6240</v>
      </c>
      <c r="AB16" s="6">
        <v>46147.586284722223</v>
      </c>
      <c r="AC16" s="6">
        <v>46147.582060185188</v>
      </c>
    </row>
    <row r="17" spans="1:29" x14ac:dyDescent="0.25">
      <c r="A17" t="s">
        <v>7</v>
      </c>
      <c r="B17" s="5">
        <v>46147</v>
      </c>
      <c r="C17" t="s">
        <v>54</v>
      </c>
      <c r="D17" t="s">
        <v>73</v>
      </c>
      <c r="E17">
        <v>18837250</v>
      </c>
      <c r="F17" t="s">
        <v>56</v>
      </c>
      <c r="G17" t="s">
        <v>57</v>
      </c>
      <c r="H17">
        <v>20450</v>
      </c>
      <c r="I17" t="s">
        <v>58</v>
      </c>
      <c r="J17">
        <v>2636.25</v>
      </c>
      <c r="K17">
        <v>0</v>
      </c>
      <c r="L17">
        <v>0</v>
      </c>
      <c r="M17">
        <v>0</v>
      </c>
      <c r="N17">
        <v>0</v>
      </c>
      <c r="O17">
        <v>5980</v>
      </c>
      <c r="P17">
        <v>5980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2636.25</v>
      </c>
      <c r="X17">
        <v>3371.1</v>
      </c>
      <c r="Y17">
        <v>780</v>
      </c>
      <c r="Z17">
        <v>3712</v>
      </c>
      <c r="AA17">
        <v>780</v>
      </c>
      <c r="AB17" s="6">
        <v>46147.586446759262</v>
      </c>
      <c r="AC17" s="6">
        <v>25569.229166666668</v>
      </c>
    </row>
    <row r="18" spans="1:29" x14ac:dyDescent="0.25">
      <c r="A18" t="s">
        <v>7</v>
      </c>
      <c r="B18" s="5">
        <v>46147</v>
      </c>
      <c r="C18" t="s">
        <v>54</v>
      </c>
      <c r="D18" t="s">
        <v>74</v>
      </c>
      <c r="E18">
        <v>18837506</v>
      </c>
      <c r="F18" t="s">
        <v>56</v>
      </c>
      <c r="G18" t="s">
        <v>57</v>
      </c>
      <c r="H18">
        <v>20450</v>
      </c>
      <c r="I18" t="s">
        <v>60</v>
      </c>
      <c r="J18">
        <v>0.05</v>
      </c>
      <c r="K18">
        <v>-83.333333333333343</v>
      </c>
      <c r="L18">
        <v>325</v>
      </c>
      <c r="M18">
        <v>0.28999999999999998</v>
      </c>
      <c r="N18">
        <v>207480</v>
      </c>
      <c r="O18">
        <v>5980</v>
      </c>
      <c r="P18">
        <v>51545</v>
      </c>
      <c r="Q18">
        <v>53885</v>
      </c>
      <c r="R18">
        <v>83850</v>
      </c>
      <c r="S18">
        <v>25155</v>
      </c>
      <c r="T18">
        <v>0.7</v>
      </c>
      <c r="U18">
        <v>1.25</v>
      </c>
      <c r="V18">
        <v>0.05</v>
      </c>
      <c r="W18">
        <v>0.3</v>
      </c>
      <c r="X18">
        <v>0.05</v>
      </c>
      <c r="Y18">
        <v>5980</v>
      </c>
      <c r="Z18">
        <v>0.1</v>
      </c>
      <c r="AA18">
        <v>6500</v>
      </c>
      <c r="AB18" s="6">
        <v>46147.58630787037</v>
      </c>
      <c r="AC18" s="6">
        <v>46147.58326388889</v>
      </c>
    </row>
    <row r="19" spans="1:29" x14ac:dyDescent="0.25">
      <c r="A19" t="s">
        <v>7</v>
      </c>
      <c r="B19" s="5">
        <v>46147</v>
      </c>
      <c r="C19" t="s">
        <v>54</v>
      </c>
      <c r="D19" t="s">
        <v>75</v>
      </c>
      <c r="E19">
        <v>18839298</v>
      </c>
      <c r="F19" t="s">
        <v>56</v>
      </c>
      <c r="G19" t="s">
        <v>57</v>
      </c>
      <c r="H19">
        <v>20500</v>
      </c>
      <c r="I19" t="s">
        <v>58</v>
      </c>
      <c r="J19">
        <v>2587.4</v>
      </c>
      <c r="K19">
        <v>0</v>
      </c>
      <c r="L19">
        <v>0</v>
      </c>
      <c r="M19">
        <v>0</v>
      </c>
      <c r="N19">
        <v>0</v>
      </c>
      <c r="O19">
        <v>5980</v>
      </c>
      <c r="P19">
        <v>5980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2587.4</v>
      </c>
      <c r="X19">
        <v>3332.1</v>
      </c>
      <c r="Y19">
        <v>780</v>
      </c>
      <c r="Z19">
        <v>3732.9</v>
      </c>
      <c r="AA19">
        <v>780</v>
      </c>
      <c r="AB19" s="6">
        <v>46147.586516203701</v>
      </c>
      <c r="AC19" s="6">
        <v>25569.229166666668</v>
      </c>
    </row>
    <row r="20" spans="1:29" x14ac:dyDescent="0.25">
      <c r="A20" t="s">
        <v>7</v>
      </c>
      <c r="B20" s="5">
        <v>46147</v>
      </c>
      <c r="C20" t="s">
        <v>54</v>
      </c>
      <c r="D20" t="s">
        <v>76</v>
      </c>
      <c r="E20">
        <v>18839554</v>
      </c>
      <c r="F20" t="s">
        <v>56</v>
      </c>
      <c r="G20" t="s">
        <v>57</v>
      </c>
      <c r="H20">
        <v>20500</v>
      </c>
      <c r="I20" t="s">
        <v>60</v>
      </c>
      <c r="J20">
        <v>0.1</v>
      </c>
      <c r="K20">
        <v>-66.666666666666671</v>
      </c>
      <c r="L20">
        <v>65</v>
      </c>
      <c r="M20">
        <v>0.2</v>
      </c>
      <c r="N20">
        <v>433160</v>
      </c>
      <c r="O20">
        <v>1284335</v>
      </c>
      <c r="P20">
        <v>196300</v>
      </c>
      <c r="Q20">
        <v>154960</v>
      </c>
      <c r="R20">
        <v>281255</v>
      </c>
      <c r="S20">
        <v>154505</v>
      </c>
      <c r="T20">
        <v>0.6</v>
      </c>
      <c r="U20">
        <v>0.6</v>
      </c>
      <c r="V20">
        <v>0.1</v>
      </c>
      <c r="W20">
        <v>0.3</v>
      </c>
      <c r="X20">
        <v>0.1</v>
      </c>
      <c r="Y20">
        <v>19825</v>
      </c>
      <c r="Z20">
        <v>0.15</v>
      </c>
      <c r="AA20">
        <v>43875</v>
      </c>
      <c r="AB20" s="6">
        <v>46147.586516203701</v>
      </c>
      <c r="AC20" s="6">
        <v>46147.586145833331</v>
      </c>
    </row>
    <row r="21" spans="1:29" x14ac:dyDescent="0.25">
      <c r="A21" t="s">
        <v>7</v>
      </c>
      <c r="B21" s="5">
        <v>46147</v>
      </c>
      <c r="C21" t="s">
        <v>54</v>
      </c>
      <c r="D21" t="s">
        <v>77</v>
      </c>
      <c r="E21">
        <v>18839810</v>
      </c>
      <c r="F21" t="s">
        <v>56</v>
      </c>
      <c r="G21" t="s">
        <v>57</v>
      </c>
      <c r="H21">
        <v>20550</v>
      </c>
      <c r="I21" t="s">
        <v>58</v>
      </c>
      <c r="J21">
        <v>3533.1</v>
      </c>
      <c r="K21">
        <v>0</v>
      </c>
      <c r="L21">
        <v>65</v>
      </c>
      <c r="M21">
        <v>0</v>
      </c>
      <c r="N21">
        <v>0</v>
      </c>
      <c r="O21">
        <v>6240</v>
      </c>
      <c r="P21">
        <v>5850</v>
      </c>
      <c r="Q21">
        <v>65</v>
      </c>
      <c r="R21">
        <v>65</v>
      </c>
      <c r="S21">
        <v>65</v>
      </c>
      <c r="T21">
        <v>0</v>
      </c>
      <c r="U21">
        <v>0</v>
      </c>
      <c r="V21">
        <v>0</v>
      </c>
      <c r="W21">
        <v>3533.1</v>
      </c>
      <c r="X21">
        <v>3261.35</v>
      </c>
      <c r="Y21">
        <v>780</v>
      </c>
      <c r="Z21">
        <v>3618.2</v>
      </c>
      <c r="AA21">
        <v>780</v>
      </c>
      <c r="AB21" s="6">
        <v>46147.586423611108</v>
      </c>
      <c r="AC21" s="6">
        <v>46140.399537037039</v>
      </c>
    </row>
    <row r="22" spans="1:29" x14ac:dyDescent="0.25">
      <c r="A22" t="s">
        <v>7</v>
      </c>
      <c r="B22" s="5">
        <v>46147</v>
      </c>
      <c r="C22" t="s">
        <v>54</v>
      </c>
      <c r="D22" t="s">
        <v>78</v>
      </c>
      <c r="E22">
        <v>18840066</v>
      </c>
      <c r="F22" t="s">
        <v>56</v>
      </c>
      <c r="G22" t="s">
        <v>57</v>
      </c>
      <c r="H22">
        <v>20550</v>
      </c>
      <c r="I22" t="s">
        <v>60</v>
      </c>
      <c r="J22">
        <v>0.15</v>
      </c>
      <c r="K22">
        <v>-50</v>
      </c>
      <c r="L22">
        <v>65</v>
      </c>
      <c r="M22">
        <v>0.23</v>
      </c>
      <c r="N22">
        <v>67860</v>
      </c>
      <c r="O22">
        <v>2405</v>
      </c>
      <c r="P22">
        <v>44525</v>
      </c>
      <c r="Q22">
        <v>27820</v>
      </c>
      <c r="R22">
        <v>36530</v>
      </c>
      <c r="S22">
        <v>21515</v>
      </c>
      <c r="T22">
        <v>0.25</v>
      </c>
      <c r="U22">
        <v>0.6</v>
      </c>
      <c r="V22">
        <v>0.05</v>
      </c>
      <c r="W22">
        <v>0.3</v>
      </c>
      <c r="X22">
        <v>0.05</v>
      </c>
      <c r="Y22">
        <v>2405</v>
      </c>
      <c r="Z22">
        <v>0.15</v>
      </c>
      <c r="AA22">
        <v>1040</v>
      </c>
      <c r="AB22" s="6">
        <v>46147.586423611108</v>
      </c>
      <c r="AC22" s="6">
        <v>46147.578321759262</v>
      </c>
    </row>
    <row r="23" spans="1:29" x14ac:dyDescent="0.25">
      <c r="A23" t="s">
        <v>7</v>
      </c>
      <c r="B23" s="5">
        <v>46147</v>
      </c>
      <c r="C23" t="s">
        <v>54</v>
      </c>
      <c r="D23" t="s">
        <v>79</v>
      </c>
      <c r="E23">
        <v>18840322</v>
      </c>
      <c r="F23" t="s">
        <v>56</v>
      </c>
      <c r="G23" t="s">
        <v>57</v>
      </c>
      <c r="H23">
        <v>20600</v>
      </c>
      <c r="I23" t="s">
        <v>58</v>
      </c>
      <c r="J23">
        <v>3483.65</v>
      </c>
      <c r="K23">
        <v>0</v>
      </c>
      <c r="L23">
        <v>65</v>
      </c>
      <c r="M23">
        <v>0</v>
      </c>
      <c r="N23">
        <v>0</v>
      </c>
      <c r="O23">
        <v>5655</v>
      </c>
      <c r="P23">
        <v>6045</v>
      </c>
      <c r="Q23">
        <v>65</v>
      </c>
      <c r="R23">
        <v>65</v>
      </c>
      <c r="S23">
        <v>65</v>
      </c>
      <c r="T23">
        <v>0</v>
      </c>
      <c r="U23">
        <v>0</v>
      </c>
      <c r="V23">
        <v>0</v>
      </c>
      <c r="W23">
        <v>3483.65</v>
      </c>
      <c r="X23">
        <v>3225.7</v>
      </c>
      <c r="Y23">
        <v>130</v>
      </c>
      <c r="Z23">
        <v>3596.9</v>
      </c>
      <c r="AA23">
        <v>780</v>
      </c>
      <c r="AB23" s="6">
        <v>46147.586412037039</v>
      </c>
      <c r="AC23" s="6">
        <v>46140.399537037039</v>
      </c>
    </row>
    <row r="24" spans="1:29" x14ac:dyDescent="0.25">
      <c r="A24" t="s">
        <v>7</v>
      </c>
      <c r="B24" s="5">
        <v>46147</v>
      </c>
      <c r="C24" t="s">
        <v>54</v>
      </c>
      <c r="D24" t="s">
        <v>80</v>
      </c>
      <c r="E24">
        <v>18840578</v>
      </c>
      <c r="F24" t="s">
        <v>56</v>
      </c>
      <c r="G24" t="s">
        <v>57</v>
      </c>
      <c r="H24">
        <v>20600</v>
      </c>
      <c r="I24" t="s">
        <v>60</v>
      </c>
      <c r="J24">
        <v>0.1</v>
      </c>
      <c r="K24">
        <v>-66.666666666666671</v>
      </c>
      <c r="L24">
        <v>65</v>
      </c>
      <c r="M24">
        <v>0.28000000000000003</v>
      </c>
      <c r="N24">
        <v>62335</v>
      </c>
      <c r="O24">
        <v>47840</v>
      </c>
      <c r="P24">
        <v>36920</v>
      </c>
      <c r="Q24">
        <v>32370</v>
      </c>
      <c r="R24">
        <v>38220</v>
      </c>
      <c r="S24">
        <v>21580</v>
      </c>
      <c r="T24">
        <v>0.65</v>
      </c>
      <c r="U24">
        <v>0.75</v>
      </c>
      <c r="V24">
        <v>0.1</v>
      </c>
      <c r="W24">
        <v>0.3</v>
      </c>
      <c r="X24">
        <v>0.1</v>
      </c>
      <c r="Y24">
        <v>4485</v>
      </c>
      <c r="Z24">
        <v>0.15</v>
      </c>
      <c r="AA24">
        <v>1560</v>
      </c>
      <c r="AB24" s="6">
        <v>46147.586423611108</v>
      </c>
      <c r="AC24" s="6">
        <v>46147.584907407407</v>
      </c>
    </row>
    <row r="25" spans="1:29" x14ac:dyDescent="0.25">
      <c r="A25" t="s">
        <v>7</v>
      </c>
      <c r="B25" s="5">
        <v>46147</v>
      </c>
      <c r="C25" t="s">
        <v>54</v>
      </c>
      <c r="D25" t="s">
        <v>81</v>
      </c>
      <c r="E25">
        <v>18840834</v>
      </c>
      <c r="F25" t="s">
        <v>56</v>
      </c>
      <c r="G25" t="s">
        <v>57</v>
      </c>
      <c r="H25">
        <v>20650</v>
      </c>
      <c r="I25" t="s">
        <v>58</v>
      </c>
      <c r="J25">
        <v>3332.65</v>
      </c>
      <c r="K25">
        <v>0</v>
      </c>
      <c r="L25">
        <v>65</v>
      </c>
      <c r="M25">
        <v>0</v>
      </c>
      <c r="N25">
        <v>0</v>
      </c>
      <c r="O25">
        <v>6110</v>
      </c>
      <c r="P25">
        <v>5980</v>
      </c>
      <c r="Q25">
        <v>260</v>
      </c>
      <c r="R25">
        <v>260</v>
      </c>
      <c r="S25">
        <v>260</v>
      </c>
      <c r="T25">
        <v>0</v>
      </c>
      <c r="U25">
        <v>0</v>
      </c>
      <c r="V25">
        <v>0</v>
      </c>
      <c r="W25">
        <v>3332.65</v>
      </c>
      <c r="X25">
        <v>3185.05</v>
      </c>
      <c r="Y25">
        <v>780</v>
      </c>
      <c r="Z25">
        <v>3546.65</v>
      </c>
      <c r="AA25">
        <v>780</v>
      </c>
      <c r="AB25" s="6">
        <v>46147.586481481485</v>
      </c>
      <c r="AC25" s="6">
        <v>46140.56627314815</v>
      </c>
    </row>
    <row r="26" spans="1:29" x14ac:dyDescent="0.25">
      <c r="A26" t="s">
        <v>7</v>
      </c>
      <c r="B26" s="5">
        <v>46147</v>
      </c>
      <c r="C26" t="s">
        <v>54</v>
      </c>
      <c r="D26" t="s">
        <v>82</v>
      </c>
      <c r="E26">
        <v>18841090</v>
      </c>
      <c r="F26" t="s">
        <v>56</v>
      </c>
      <c r="G26" t="s">
        <v>57</v>
      </c>
      <c r="H26">
        <v>20650</v>
      </c>
      <c r="I26" t="s">
        <v>60</v>
      </c>
      <c r="J26">
        <v>0.15</v>
      </c>
      <c r="K26">
        <v>-57.142857142857146</v>
      </c>
      <c r="L26">
        <v>65</v>
      </c>
      <c r="M26">
        <v>0.26</v>
      </c>
      <c r="N26">
        <v>19305</v>
      </c>
      <c r="O26">
        <v>35815</v>
      </c>
      <c r="P26">
        <v>46345</v>
      </c>
      <c r="Q26">
        <v>11115</v>
      </c>
      <c r="R26">
        <v>11310</v>
      </c>
      <c r="S26">
        <v>8385</v>
      </c>
      <c r="T26">
        <v>0.35</v>
      </c>
      <c r="U26">
        <v>1.4</v>
      </c>
      <c r="V26">
        <v>0.1</v>
      </c>
      <c r="W26">
        <v>0.35</v>
      </c>
      <c r="X26">
        <v>0.1</v>
      </c>
      <c r="Y26">
        <v>4355</v>
      </c>
      <c r="Z26">
        <v>0.15</v>
      </c>
      <c r="AA26">
        <v>1300</v>
      </c>
      <c r="AB26" s="6">
        <v>46147.586493055554</v>
      </c>
      <c r="AC26" s="6">
        <v>46147.584907407407</v>
      </c>
    </row>
    <row r="27" spans="1:29" x14ac:dyDescent="0.25">
      <c r="A27" t="s">
        <v>7</v>
      </c>
      <c r="B27" s="5">
        <v>46147</v>
      </c>
      <c r="C27" t="s">
        <v>54</v>
      </c>
      <c r="D27" t="s">
        <v>83</v>
      </c>
      <c r="E27">
        <v>18841346</v>
      </c>
      <c r="F27" t="s">
        <v>56</v>
      </c>
      <c r="G27" t="s">
        <v>57</v>
      </c>
      <c r="H27">
        <v>20700</v>
      </c>
      <c r="I27" t="s">
        <v>58</v>
      </c>
      <c r="J27">
        <v>2393.0500000000002</v>
      </c>
      <c r="K27">
        <v>0</v>
      </c>
      <c r="L27">
        <v>0</v>
      </c>
      <c r="M27">
        <v>0</v>
      </c>
      <c r="N27">
        <v>0</v>
      </c>
      <c r="O27">
        <v>5980</v>
      </c>
      <c r="P27">
        <v>5980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2393.0500000000002</v>
      </c>
      <c r="X27">
        <v>3145.45</v>
      </c>
      <c r="Y27">
        <v>780</v>
      </c>
      <c r="Z27">
        <v>3520.85</v>
      </c>
      <c r="AA27">
        <v>780</v>
      </c>
      <c r="AB27" s="6">
        <v>46147.586516203701</v>
      </c>
      <c r="AC27" s="6">
        <v>25569.229166666668</v>
      </c>
    </row>
    <row r="28" spans="1:29" x14ac:dyDescent="0.25">
      <c r="A28" t="s">
        <v>7</v>
      </c>
      <c r="B28" s="5">
        <v>46147</v>
      </c>
      <c r="C28" t="s">
        <v>54</v>
      </c>
      <c r="D28" t="s">
        <v>84</v>
      </c>
      <c r="E28">
        <v>18841602</v>
      </c>
      <c r="F28" t="s">
        <v>56</v>
      </c>
      <c r="G28" t="s">
        <v>57</v>
      </c>
      <c r="H28">
        <v>20700</v>
      </c>
      <c r="I28" t="s">
        <v>60</v>
      </c>
      <c r="J28">
        <v>0.1</v>
      </c>
      <c r="K28">
        <v>-71.428571428571416</v>
      </c>
      <c r="L28">
        <v>65</v>
      </c>
      <c r="M28">
        <v>0.23</v>
      </c>
      <c r="N28">
        <v>92820</v>
      </c>
      <c r="O28">
        <v>9100</v>
      </c>
      <c r="P28">
        <v>30615</v>
      </c>
      <c r="Q28">
        <v>35360</v>
      </c>
      <c r="R28">
        <v>56550</v>
      </c>
      <c r="S28">
        <v>35360</v>
      </c>
      <c r="T28">
        <v>0.7</v>
      </c>
      <c r="U28">
        <v>0.75</v>
      </c>
      <c r="V28">
        <v>0.05</v>
      </c>
      <c r="W28">
        <v>0.35</v>
      </c>
      <c r="X28">
        <v>0.1</v>
      </c>
      <c r="Y28">
        <v>3770</v>
      </c>
      <c r="Z28">
        <v>0.15</v>
      </c>
      <c r="AA28">
        <v>780</v>
      </c>
      <c r="AB28" s="6">
        <v>46147.586377314816</v>
      </c>
      <c r="AC28" s="6">
        <v>46147.586261574077</v>
      </c>
    </row>
    <row r="29" spans="1:29" x14ac:dyDescent="0.25">
      <c r="A29" t="s">
        <v>7</v>
      </c>
      <c r="B29" s="5">
        <v>46147</v>
      </c>
      <c r="C29" t="s">
        <v>54</v>
      </c>
      <c r="D29" t="s">
        <v>85</v>
      </c>
      <c r="E29">
        <v>18841858</v>
      </c>
      <c r="F29" t="s">
        <v>56</v>
      </c>
      <c r="G29" t="s">
        <v>57</v>
      </c>
      <c r="H29">
        <v>20750</v>
      </c>
      <c r="I29" t="s">
        <v>58</v>
      </c>
      <c r="J29">
        <v>2344.75</v>
      </c>
      <c r="K29">
        <v>0</v>
      </c>
      <c r="L29">
        <v>0</v>
      </c>
      <c r="M29">
        <v>0</v>
      </c>
      <c r="N29">
        <v>0</v>
      </c>
      <c r="O29">
        <v>6760</v>
      </c>
      <c r="P29">
        <v>6760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2344.75</v>
      </c>
      <c r="X29">
        <v>3098.55</v>
      </c>
      <c r="Y29">
        <v>780</v>
      </c>
      <c r="Z29">
        <v>3480.15</v>
      </c>
      <c r="AA29">
        <v>780</v>
      </c>
      <c r="AB29" s="6">
        <v>46147.586284722223</v>
      </c>
      <c r="AC29" s="6">
        <v>25569.229166666668</v>
      </c>
    </row>
    <row r="30" spans="1:29" x14ac:dyDescent="0.25">
      <c r="A30" t="s">
        <v>7</v>
      </c>
      <c r="B30" s="5">
        <v>46147</v>
      </c>
      <c r="C30" t="s">
        <v>54</v>
      </c>
      <c r="D30" t="s">
        <v>86</v>
      </c>
      <c r="E30">
        <v>18842114</v>
      </c>
      <c r="F30" t="s">
        <v>56</v>
      </c>
      <c r="G30" t="s">
        <v>57</v>
      </c>
      <c r="H30">
        <v>20750</v>
      </c>
      <c r="I30" t="s">
        <v>60</v>
      </c>
      <c r="J30">
        <v>0.15</v>
      </c>
      <c r="K30">
        <v>-57.142857142857146</v>
      </c>
      <c r="L30">
        <v>65</v>
      </c>
      <c r="M30">
        <v>0.27</v>
      </c>
      <c r="N30">
        <v>41860</v>
      </c>
      <c r="O30">
        <v>39585</v>
      </c>
      <c r="P30">
        <v>50570</v>
      </c>
      <c r="Q30">
        <v>14755</v>
      </c>
      <c r="R30">
        <v>14755</v>
      </c>
      <c r="S30">
        <v>9425</v>
      </c>
      <c r="T30">
        <v>0.35</v>
      </c>
      <c r="U30">
        <v>0.45</v>
      </c>
      <c r="V30">
        <v>0.05</v>
      </c>
      <c r="W30">
        <v>0.35</v>
      </c>
      <c r="X30">
        <v>0.1</v>
      </c>
      <c r="Y30">
        <v>7865</v>
      </c>
      <c r="Z30">
        <v>0.15</v>
      </c>
      <c r="AA30">
        <v>6175</v>
      </c>
      <c r="AB30" s="6">
        <v>46147.586458333331</v>
      </c>
      <c r="AC30" s="6">
        <v>46147.586435185185</v>
      </c>
    </row>
    <row r="31" spans="1:29" x14ac:dyDescent="0.25">
      <c r="A31" t="s">
        <v>7</v>
      </c>
      <c r="B31" s="5">
        <v>46147</v>
      </c>
      <c r="C31" t="s">
        <v>54</v>
      </c>
      <c r="D31" t="s">
        <v>87</v>
      </c>
      <c r="E31">
        <v>18842370</v>
      </c>
      <c r="F31" t="s">
        <v>56</v>
      </c>
      <c r="G31" t="s">
        <v>57</v>
      </c>
      <c r="H31">
        <v>20800</v>
      </c>
      <c r="I31" t="s">
        <v>58</v>
      </c>
      <c r="J31">
        <v>2296.6</v>
      </c>
      <c r="K31">
        <v>0</v>
      </c>
      <c r="L31">
        <v>0</v>
      </c>
      <c r="M31">
        <v>0</v>
      </c>
      <c r="N31">
        <v>0</v>
      </c>
      <c r="O31">
        <v>6760</v>
      </c>
      <c r="P31">
        <v>6760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2296.6</v>
      </c>
      <c r="X31">
        <v>3042.45</v>
      </c>
      <c r="Y31">
        <v>780</v>
      </c>
      <c r="Z31">
        <v>3401.3</v>
      </c>
      <c r="AA31">
        <v>780</v>
      </c>
      <c r="AB31" s="6">
        <v>46147.586446759262</v>
      </c>
      <c r="AC31" s="6">
        <v>25569.229166666668</v>
      </c>
    </row>
    <row r="32" spans="1:29" x14ac:dyDescent="0.25">
      <c r="A32" t="s">
        <v>7</v>
      </c>
      <c r="B32" s="5">
        <v>46147</v>
      </c>
      <c r="C32" t="s">
        <v>54</v>
      </c>
      <c r="D32" t="s">
        <v>88</v>
      </c>
      <c r="E32">
        <v>18842626</v>
      </c>
      <c r="F32" t="s">
        <v>56</v>
      </c>
      <c r="G32" t="s">
        <v>57</v>
      </c>
      <c r="H32">
        <v>20800</v>
      </c>
      <c r="I32" t="s">
        <v>60</v>
      </c>
      <c r="J32">
        <v>0.05</v>
      </c>
      <c r="K32">
        <v>-83.333333333333343</v>
      </c>
      <c r="L32">
        <v>65</v>
      </c>
      <c r="M32">
        <v>0.31</v>
      </c>
      <c r="N32">
        <v>114920</v>
      </c>
      <c r="O32">
        <v>50180</v>
      </c>
      <c r="P32">
        <v>39910</v>
      </c>
      <c r="Q32">
        <v>48490</v>
      </c>
      <c r="R32">
        <v>59800</v>
      </c>
      <c r="S32">
        <v>36075</v>
      </c>
      <c r="T32">
        <v>0.55000000000000004</v>
      </c>
      <c r="U32">
        <v>1.05</v>
      </c>
      <c r="V32">
        <v>0.05</v>
      </c>
      <c r="W32">
        <v>0.3</v>
      </c>
      <c r="X32">
        <v>0.05</v>
      </c>
      <c r="Y32">
        <v>50180</v>
      </c>
      <c r="Z32">
        <v>0.1</v>
      </c>
      <c r="AA32">
        <v>7410</v>
      </c>
      <c r="AB32" s="6">
        <v>46147.586446759262</v>
      </c>
      <c r="AC32" s="6">
        <v>46147.586261574077</v>
      </c>
    </row>
    <row r="33" spans="1:29" x14ac:dyDescent="0.25">
      <c r="A33" t="s">
        <v>7</v>
      </c>
      <c r="B33" s="5">
        <v>46147</v>
      </c>
      <c r="C33" t="s">
        <v>54</v>
      </c>
      <c r="D33" t="s">
        <v>89</v>
      </c>
      <c r="E33">
        <v>18842882</v>
      </c>
      <c r="F33" t="s">
        <v>56</v>
      </c>
      <c r="G33" t="s">
        <v>57</v>
      </c>
      <c r="H33">
        <v>20850</v>
      </c>
      <c r="I33" t="s">
        <v>58</v>
      </c>
      <c r="J33">
        <v>3236.25</v>
      </c>
      <c r="K33">
        <v>0</v>
      </c>
      <c r="L33">
        <v>65</v>
      </c>
      <c r="M33">
        <v>0</v>
      </c>
      <c r="N33">
        <v>0</v>
      </c>
      <c r="O33">
        <v>5720</v>
      </c>
      <c r="P33">
        <v>5460</v>
      </c>
      <c r="Q33">
        <v>65</v>
      </c>
      <c r="R33">
        <v>65</v>
      </c>
      <c r="S33">
        <v>65</v>
      </c>
      <c r="T33">
        <v>0</v>
      </c>
      <c r="U33">
        <v>0</v>
      </c>
      <c r="V33">
        <v>0</v>
      </c>
      <c r="W33">
        <v>3236.25</v>
      </c>
      <c r="X33">
        <v>2979.3</v>
      </c>
      <c r="Y33">
        <v>65</v>
      </c>
      <c r="Z33">
        <v>3239.2</v>
      </c>
      <c r="AA33">
        <v>65</v>
      </c>
      <c r="AB33" s="6">
        <v>46147.586516203701</v>
      </c>
      <c r="AC33" s="6">
        <v>46140.399525462963</v>
      </c>
    </row>
    <row r="34" spans="1:29" x14ac:dyDescent="0.25">
      <c r="A34" t="s">
        <v>7</v>
      </c>
      <c r="B34" s="5">
        <v>46147</v>
      </c>
      <c r="C34" t="s">
        <v>54</v>
      </c>
      <c r="D34" t="s">
        <v>90</v>
      </c>
      <c r="E34">
        <v>18843138</v>
      </c>
      <c r="F34" t="s">
        <v>56</v>
      </c>
      <c r="G34" t="s">
        <v>57</v>
      </c>
      <c r="H34">
        <v>20850</v>
      </c>
      <c r="I34" t="s">
        <v>60</v>
      </c>
      <c r="J34">
        <v>0.1</v>
      </c>
      <c r="K34">
        <v>-71.428571428571416</v>
      </c>
      <c r="L34">
        <v>65</v>
      </c>
      <c r="M34">
        <v>0.37</v>
      </c>
      <c r="N34">
        <v>58500</v>
      </c>
      <c r="O34">
        <v>3185</v>
      </c>
      <c r="P34">
        <v>47385</v>
      </c>
      <c r="Q34">
        <v>40040</v>
      </c>
      <c r="R34">
        <v>42705</v>
      </c>
      <c r="S34">
        <v>15405</v>
      </c>
      <c r="T34">
        <v>0.65</v>
      </c>
      <c r="U34">
        <v>0.65</v>
      </c>
      <c r="V34">
        <v>0.1</v>
      </c>
      <c r="W34">
        <v>0.35</v>
      </c>
      <c r="X34">
        <v>0.1</v>
      </c>
      <c r="Y34">
        <v>3055</v>
      </c>
      <c r="Z34">
        <v>0.15</v>
      </c>
      <c r="AA34">
        <v>6305</v>
      </c>
      <c r="AB34" s="6">
        <v>46147.586516203701</v>
      </c>
      <c r="AC34" s="6">
        <v>46147.582812499997</v>
      </c>
    </row>
    <row r="35" spans="1:29" x14ac:dyDescent="0.25">
      <c r="A35" t="s">
        <v>7</v>
      </c>
      <c r="B35" s="5">
        <v>46147</v>
      </c>
      <c r="C35" t="s">
        <v>54</v>
      </c>
      <c r="D35" t="s">
        <v>91</v>
      </c>
      <c r="E35">
        <v>18843394</v>
      </c>
      <c r="F35" t="s">
        <v>56</v>
      </c>
      <c r="G35" t="s">
        <v>57</v>
      </c>
      <c r="H35">
        <v>20900</v>
      </c>
      <c r="I35" t="s">
        <v>58</v>
      </c>
      <c r="J35">
        <v>3144.9</v>
      </c>
      <c r="K35">
        <v>42.904530376698339</v>
      </c>
      <c r="L35">
        <v>65</v>
      </c>
      <c r="M35">
        <v>3154.82</v>
      </c>
      <c r="N35">
        <v>130</v>
      </c>
      <c r="O35">
        <v>5980</v>
      </c>
      <c r="P35">
        <v>7085</v>
      </c>
      <c r="Q35">
        <v>65</v>
      </c>
      <c r="R35">
        <v>65</v>
      </c>
      <c r="S35">
        <v>65</v>
      </c>
      <c r="T35">
        <v>3164.75</v>
      </c>
      <c r="U35">
        <v>3164.75</v>
      </c>
      <c r="V35">
        <v>3144.9</v>
      </c>
      <c r="W35">
        <v>2200.6999999999998</v>
      </c>
      <c r="X35">
        <v>3123.15</v>
      </c>
      <c r="Y35">
        <v>65</v>
      </c>
      <c r="Z35">
        <v>3272.2</v>
      </c>
      <c r="AA35">
        <v>65</v>
      </c>
      <c r="AB35" s="6">
        <v>46147.586527777778</v>
      </c>
      <c r="AC35" s="6">
        <v>46147.392233796294</v>
      </c>
    </row>
    <row r="36" spans="1:29" x14ac:dyDescent="0.25">
      <c r="A36" t="s">
        <v>7</v>
      </c>
      <c r="B36" s="5">
        <v>46147</v>
      </c>
      <c r="C36" t="s">
        <v>54</v>
      </c>
      <c r="D36" t="s">
        <v>92</v>
      </c>
      <c r="E36">
        <v>18845186</v>
      </c>
      <c r="F36" t="s">
        <v>56</v>
      </c>
      <c r="G36" t="s">
        <v>57</v>
      </c>
      <c r="H36">
        <v>20900</v>
      </c>
      <c r="I36" t="s">
        <v>60</v>
      </c>
      <c r="J36">
        <v>0.1</v>
      </c>
      <c r="K36">
        <v>-66.666666666666671</v>
      </c>
      <c r="L36">
        <v>130</v>
      </c>
      <c r="M36">
        <v>0.25</v>
      </c>
      <c r="N36">
        <v>54470</v>
      </c>
      <c r="O36">
        <v>127530</v>
      </c>
      <c r="P36">
        <v>30615</v>
      </c>
      <c r="Q36">
        <v>36920</v>
      </c>
      <c r="R36">
        <v>49335</v>
      </c>
      <c r="S36">
        <v>35945</v>
      </c>
      <c r="T36">
        <v>0.5</v>
      </c>
      <c r="U36">
        <v>0.7</v>
      </c>
      <c r="V36">
        <v>0.05</v>
      </c>
      <c r="W36">
        <v>0.3</v>
      </c>
      <c r="X36">
        <v>0.05</v>
      </c>
      <c r="Y36">
        <v>127530</v>
      </c>
      <c r="Z36">
        <v>0.1</v>
      </c>
      <c r="AA36">
        <v>1690</v>
      </c>
      <c r="AB36" s="6">
        <v>46147.586435185185</v>
      </c>
      <c r="AC36" s="6">
        <v>46147.58253472222</v>
      </c>
    </row>
    <row r="37" spans="1:29" x14ac:dyDescent="0.25">
      <c r="A37" t="s">
        <v>7</v>
      </c>
      <c r="B37" s="5">
        <v>46147</v>
      </c>
      <c r="C37" t="s">
        <v>54</v>
      </c>
      <c r="D37" t="s">
        <v>93</v>
      </c>
      <c r="E37">
        <v>18845442</v>
      </c>
      <c r="F37" t="s">
        <v>56</v>
      </c>
      <c r="G37" t="s">
        <v>57</v>
      </c>
      <c r="H37">
        <v>20950</v>
      </c>
      <c r="I37" t="s">
        <v>58</v>
      </c>
      <c r="J37">
        <v>2153</v>
      </c>
      <c r="K37">
        <v>0</v>
      </c>
      <c r="L37">
        <v>0</v>
      </c>
      <c r="M37">
        <v>0</v>
      </c>
      <c r="N37">
        <v>0</v>
      </c>
      <c r="O37">
        <v>5980</v>
      </c>
      <c r="P37">
        <v>5980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2153</v>
      </c>
      <c r="X37">
        <v>2901.15</v>
      </c>
      <c r="Y37">
        <v>780</v>
      </c>
      <c r="Z37">
        <v>3208.45</v>
      </c>
      <c r="AA37">
        <v>780</v>
      </c>
      <c r="AB37" s="6">
        <v>46147.586423611108</v>
      </c>
      <c r="AC37" s="6">
        <v>25569.229166666668</v>
      </c>
    </row>
    <row r="38" spans="1:29" x14ac:dyDescent="0.25">
      <c r="A38" t="s">
        <v>7</v>
      </c>
      <c r="B38" s="5">
        <v>46147</v>
      </c>
      <c r="C38" t="s">
        <v>54</v>
      </c>
      <c r="D38" t="s">
        <v>94</v>
      </c>
      <c r="E38">
        <v>18845698</v>
      </c>
      <c r="F38" t="s">
        <v>56</v>
      </c>
      <c r="G38" t="s">
        <v>57</v>
      </c>
      <c r="H38">
        <v>20950</v>
      </c>
      <c r="I38" t="s">
        <v>60</v>
      </c>
      <c r="J38">
        <v>0.2</v>
      </c>
      <c r="K38">
        <v>-42.857142857142847</v>
      </c>
      <c r="L38">
        <v>65</v>
      </c>
      <c r="M38">
        <v>0.28000000000000003</v>
      </c>
      <c r="N38">
        <v>36660</v>
      </c>
      <c r="O38">
        <v>36075</v>
      </c>
      <c r="P38">
        <v>47645</v>
      </c>
      <c r="Q38">
        <v>19890</v>
      </c>
      <c r="R38">
        <v>19890</v>
      </c>
      <c r="S38">
        <v>15405</v>
      </c>
      <c r="T38">
        <v>0.4</v>
      </c>
      <c r="U38">
        <v>0.9</v>
      </c>
      <c r="V38">
        <v>0.05</v>
      </c>
      <c r="W38">
        <v>0.35</v>
      </c>
      <c r="X38">
        <v>0.1</v>
      </c>
      <c r="Y38">
        <v>4940</v>
      </c>
      <c r="Z38">
        <v>0.15</v>
      </c>
      <c r="AA38">
        <v>4420</v>
      </c>
      <c r="AB38" s="6">
        <v>46147.586423611108</v>
      </c>
      <c r="AC38" s="6">
        <v>46147.579953703702</v>
      </c>
    </row>
    <row r="39" spans="1:29" x14ac:dyDescent="0.25">
      <c r="A39" t="s">
        <v>7</v>
      </c>
      <c r="B39" s="5">
        <v>46147</v>
      </c>
      <c r="C39" t="s">
        <v>54</v>
      </c>
      <c r="D39" t="s">
        <v>95</v>
      </c>
      <c r="E39">
        <v>18845954</v>
      </c>
      <c r="F39" t="s">
        <v>56</v>
      </c>
      <c r="G39" t="s">
        <v>57</v>
      </c>
      <c r="H39">
        <v>21000</v>
      </c>
      <c r="I39" t="s">
        <v>58</v>
      </c>
      <c r="J39">
        <v>2989.4</v>
      </c>
      <c r="K39">
        <v>-7.3370323300579594</v>
      </c>
      <c r="L39">
        <v>65</v>
      </c>
      <c r="M39">
        <v>2969.7</v>
      </c>
      <c r="N39">
        <v>130</v>
      </c>
      <c r="O39">
        <v>7150</v>
      </c>
      <c r="P39">
        <v>6045</v>
      </c>
      <c r="Q39">
        <v>520</v>
      </c>
      <c r="R39">
        <v>585</v>
      </c>
      <c r="S39">
        <v>520</v>
      </c>
      <c r="T39">
        <v>2950</v>
      </c>
      <c r="U39">
        <v>2989.4</v>
      </c>
      <c r="V39">
        <v>2950</v>
      </c>
      <c r="W39">
        <v>3226.1</v>
      </c>
      <c r="X39">
        <v>3030.75</v>
      </c>
      <c r="Y39">
        <v>65</v>
      </c>
      <c r="Z39">
        <v>3048.9</v>
      </c>
      <c r="AA39">
        <v>65</v>
      </c>
      <c r="AB39" s="6">
        <v>46147.586527777778</v>
      </c>
      <c r="AC39" s="6">
        <v>46147.536562499998</v>
      </c>
    </row>
    <row r="40" spans="1:29" x14ac:dyDescent="0.25">
      <c r="A40" t="s">
        <v>7</v>
      </c>
      <c r="B40" s="5">
        <v>46147</v>
      </c>
      <c r="C40" t="s">
        <v>54</v>
      </c>
      <c r="D40" t="s">
        <v>96</v>
      </c>
      <c r="E40">
        <v>18846210</v>
      </c>
      <c r="F40" t="s">
        <v>56</v>
      </c>
      <c r="G40" t="s">
        <v>57</v>
      </c>
      <c r="H40">
        <v>21000</v>
      </c>
      <c r="I40" t="s">
        <v>60</v>
      </c>
      <c r="J40">
        <v>0.05</v>
      </c>
      <c r="K40">
        <v>-83.333333333333343</v>
      </c>
      <c r="L40">
        <v>910</v>
      </c>
      <c r="M40">
        <v>0.18</v>
      </c>
      <c r="N40">
        <v>1148745</v>
      </c>
      <c r="O40">
        <v>1310595</v>
      </c>
      <c r="P40">
        <v>257530</v>
      </c>
      <c r="Q40">
        <v>477230</v>
      </c>
      <c r="R40">
        <v>807300</v>
      </c>
      <c r="S40">
        <v>477230</v>
      </c>
      <c r="T40">
        <v>0.3</v>
      </c>
      <c r="U40">
        <v>0.7</v>
      </c>
      <c r="V40">
        <v>0.05</v>
      </c>
      <c r="W40">
        <v>0.3</v>
      </c>
      <c r="X40">
        <v>0.05</v>
      </c>
      <c r="Y40">
        <v>1310595</v>
      </c>
      <c r="Z40">
        <v>0.1</v>
      </c>
      <c r="AA40">
        <v>82940</v>
      </c>
      <c r="AB40" s="6">
        <v>46147.586493055554</v>
      </c>
      <c r="AC40" s="6">
        <v>46147.586354166669</v>
      </c>
    </row>
    <row r="41" spans="1:29" x14ac:dyDescent="0.25">
      <c r="A41" t="s">
        <v>7</v>
      </c>
      <c r="B41" s="5">
        <v>46147</v>
      </c>
      <c r="C41" t="s">
        <v>54</v>
      </c>
      <c r="D41" t="s">
        <v>97</v>
      </c>
      <c r="E41">
        <v>18846466</v>
      </c>
      <c r="F41" t="s">
        <v>56</v>
      </c>
      <c r="G41" t="s">
        <v>57</v>
      </c>
      <c r="H41">
        <v>21050</v>
      </c>
      <c r="I41" t="s">
        <v>58</v>
      </c>
      <c r="J41">
        <v>3056.95</v>
      </c>
      <c r="K41">
        <v>0</v>
      </c>
      <c r="L41">
        <v>65</v>
      </c>
      <c r="M41">
        <v>0</v>
      </c>
      <c r="N41">
        <v>0</v>
      </c>
      <c r="O41">
        <v>6435</v>
      </c>
      <c r="P41">
        <v>6435</v>
      </c>
      <c r="Q41">
        <v>65</v>
      </c>
      <c r="R41">
        <v>65</v>
      </c>
      <c r="S41">
        <v>65</v>
      </c>
      <c r="T41">
        <v>0</v>
      </c>
      <c r="U41">
        <v>0</v>
      </c>
      <c r="V41">
        <v>0</v>
      </c>
      <c r="W41">
        <v>3056.95</v>
      </c>
      <c r="X41">
        <v>2801.45</v>
      </c>
      <c r="Y41">
        <v>780</v>
      </c>
      <c r="Z41">
        <v>3136.25</v>
      </c>
      <c r="AA41">
        <v>780</v>
      </c>
      <c r="AB41" s="6">
        <v>46147.586377314816</v>
      </c>
      <c r="AC41" s="6">
        <v>46141.401805555557</v>
      </c>
    </row>
    <row r="42" spans="1:29" x14ac:dyDescent="0.25">
      <c r="A42" t="s">
        <v>7</v>
      </c>
      <c r="B42" s="5">
        <v>46147</v>
      </c>
      <c r="C42" t="s">
        <v>54</v>
      </c>
      <c r="D42" t="s">
        <v>98</v>
      </c>
      <c r="E42">
        <v>18851586</v>
      </c>
      <c r="F42" t="s">
        <v>56</v>
      </c>
      <c r="G42" t="s">
        <v>57</v>
      </c>
      <c r="H42">
        <v>21050</v>
      </c>
      <c r="I42" t="s">
        <v>60</v>
      </c>
      <c r="J42">
        <v>0.05</v>
      </c>
      <c r="K42">
        <v>-85.714285714285722</v>
      </c>
      <c r="L42">
        <v>65</v>
      </c>
      <c r="M42">
        <v>0.28999999999999998</v>
      </c>
      <c r="N42">
        <v>217360</v>
      </c>
      <c r="O42">
        <v>1690</v>
      </c>
      <c r="P42">
        <v>50505</v>
      </c>
      <c r="Q42">
        <v>48100</v>
      </c>
      <c r="R42">
        <v>76570</v>
      </c>
      <c r="S42">
        <v>15405</v>
      </c>
      <c r="T42">
        <v>0.4</v>
      </c>
      <c r="U42">
        <v>0.75</v>
      </c>
      <c r="V42">
        <v>0.05</v>
      </c>
      <c r="W42">
        <v>0.35</v>
      </c>
      <c r="X42">
        <v>0.05</v>
      </c>
      <c r="Y42">
        <v>1690</v>
      </c>
      <c r="Z42">
        <v>0.15</v>
      </c>
      <c r="AA42">
        <v>6565</v>
      </c>
      <c r="AB42" s="6">
        <v>46147.586527777778</v>
      </c>
      <c r="AC42" s="6">
        <v>46147.58326388889</v>
      </c>
    </row>
    <row r="43" spans="1:29" x14ac:dyDescent="0.25">
      <c r="A43" t="s">
        <v>7</v>
      </c>
      <c r="B43" s="5">
        <v>46147</v>
      </c>
      <c r="C43" t="s">
        <v>54</v>
      </c>
      <c r="D43" t="s">
        <v>99</v>
      </c>
      <c r="E43">
        <v>18851842</v>
      </c>
      <c r="F43" t="s">
        <v>56</v>
      </c>
      <c r="G43" t="s">
        <v>57</v>
      </c>
      <c r="H43">
        <v>21100</v>
      </c>
      <c r="I43" t="s">
        <v>58</v>
      </c>
      <c r="J43">
        <v>2876.7</v>
      </c>
      <c r="K43">
        <v>0</v>
      </c>
      <c r="L43">
        <v>65</v>
      </c>
      <c r="M43">
        <v>0</v>
      </c>
      <c r="N43">
        <v>0</v>
      </c>
      <c r="O43">
        <v>6435</v>
      </c>
      <c r="P43">
        <v>5980</v>
      </c>
      <c r="Q43">
        <v>65</v>
      </c>
      <c r="R43">
        <v>65</v>
      </c>
      <c r="S43">
        <v>65</v>
      </c>
      <c r="T43">
        <v>0</v>
      </c>
      <c r="U43">
        <v>0</v>
      </c>
      <c r="V43">
        <v>0</v>
      </c>
      <c r="W43">
        <v>2876.7</v>
      </c>
      <c r="X43">
        <v>2728</v>
      </c>
      <c r="Y43">
        <v>780</v>
      </c>
      <c r="Z43">
        <v>3088.15</v>
      </c>
      <c r="AA43">
        <v>780</v>
      </c>
      <c r="AB43" s="6">
        <v>46147.586435185185</v>
      </c>
      <c r="AC43" s="6">
        <v>46140.643148148149</v>
      </c>
    </row>
    <row r="44" spans="1:29" x14ac:dyDescent="0.25">
      <c r="A44" t="s">
        <v>7</v>
      </c>
      <c r="B44" s="5">
        <v>46147</v>
      </c>
      <c r="C44" t="s">
        <v>54</v>
      </c>
      <c r="D44" t="s">
        <v>100</v>
      </c>
      <c r="E44">
        <v>18852098</v>
      </c>
      <c r="F44" t="s">
        <v>56</v>
      </c>
      <c r="G44" t="s">
        <v>57</v>
      </c>
      <c r="H44">
        <v>21100</v>
      </c>
      <c r="I44" t="s">
        <v>60</v>
      </c>
      <c r="J44">
        <v>0.1</v>
      </c>
      <c r="K44">
        <v>-66.666666666666671</v>
      </c>
      <c r="L44">
        <v>130</v>
      </c>
      <c r="M44">
        <v>0.22</v>
      </c>
      <c r="N44">
        <v>98865</v>
      </c>
      <c r="O44">
        <v>144755</v>
      </c>
      <c r="P44">
        <v>34125</v>
      </c>
      <c r="Q44">
        <v>39585</v>
      </c>
      <c r="R44">
        <v>59475</v>
      </c>
      <c r="S44">
        <v>39585</v>
      </c>
      <c r="T44">
        <v>0.45</v>
      </c>
      <c r="U44">
        <v>0.8</v>
      </c>
      <c r="V44">
        <v>0.05</v>
      </c>
      <c r="W44">
        <v>0.3</v>
      </c>
      <c r="X44">
        <v>0.05</v>
      </c>
      <c r="Y44">
        <v>144755</v>
      </c>
      <c r="Z44">
        <v>0.1</v>
      </c>
      <c r="AA44">
        <v>2340</v>
      </c>
      <c r="AB44" s="6">
        <v>46147.586284722223</v>
      </c>
      <c r="AC44" s="6">
        <v>46147.58253472222</v>
      </c>
    </row>
    <row r="45" spans="1:29" x14ac:dyDescent="0.25">
      <c r="A45" t="s">
        <v>7</v>
      </c>
      <c r="B45" s="5">
        <v>46147</v>
      </c>
      <c r="C45" t="s">
        <v>54</v>
      </c>
      <c r="D45" t="s">
        <v>101</v>
      </c>
      <c r="E45">
        <v>18852354</v>
      </c>
      <c r="F45" t="s">
        <v>56</v>
      </c>
      <c r="G45" t="s">
        <v>57</v>
      </c>
      <c r="H45">
        <v>21150</v>
      </c>
      <c r="I45" t="s">
        <v>58</v>
      </c>
      <c r="J45">
        <v>2869.15</v>
      </c>
      <c r="K45">
        <v>46.064755892684424</v>
      </c>
      <c r="L45">
        <v>65</v>
      </c>
      <c r="M45">
        <v>2894.82</v>
      </c>
      <c r="N45">
        <v>130</v>
      </c>
      <c r="O45">
        <v>6760</v>
      </c>
      <c r="P45">
        <v>5655</v>
      </c>
      <c r="Q45">
        <v>65</v>
      </c>
      <c r="R45">
        <v>65</v>
      </c>
      <c r="S45">
        <v>65</v>
      </c>
      <c r="T45">
        <v>2920.5</v>
      </c>
      <c r="U45">
        <v>2920.5</v>
      </c>
      <c r="V45">
        <v>2869.15</v>
      </c>
      <c r="W45">
        <v>1964.3</v>
      </c>
      <c r="X45">
        <v>2715.25</v>
      </c>
      <c r="Y45">
        <v>780</v>
      </c>
      <c r="Z45">
        <v>2902</v>
      </c>
      <c r="AA45">
        <v>65</v>
      </c>
      <c r="AB45" s="6">
        <v>46147.586504629631</v>
      </c>
      <c r="AC45" s="6">
        <v>46147.393287037034</v>
      </c>
    </row>
    <row r="46" spans="1:29" x14ac:dyDescent="0.25">
      <c r="A46" t="s">
        <v>7</v>
      </c>
      <c r="B46" s="5">
        <v>46147</v>
      </c>
      <c r="C46" t="s">
        <v>54</v>
      </c>
      <c r="D46" t="s">
        <v>102</v>
      </c>
      <c r="E46">
        <v>18852610</v>
      </c>
      <c r="F46" t="s">
        <v>56</v>
      </c>
      <c r="G46" t="s">
        <v>57</v>
      </c>
      <c r="H46">
        <v>21150</v>
      </c>
      <c r="I46" t="s">
        <v>60</v>
      </c>
      <c r="J46">
        <v>0.05</v>
      </c>
      <c r="K46">
        <v>-83.333333333333343</v>
      </c>
      <c r="L46">
        <v>520</v>
      </c>
      <c r="M46">
        <v>0.28000000000000003</v>
      </c>
      <c r="N46">
        <v>78780</v>
      </c>
      <c r="O46">
        <v>3380</v>
      </c>
      <c r="P46">
        <v>44720</v>
      </c>
      <c r="Q46">
        <v>33930</v>
      </c>
      <c r="R46">
        <v>40430</v>
      </c>
      <c r="S46">
        <v>22100</v>
      </c>
      <c r="T46">
        <v>0.4</v>
      </c>
      <c r="U46">
        <v>0.65</v>
      </c>
      <c r="V46">
        <v>0.05</v>
      </c>
      <c r="W46">
        <v>0.3</v>
      </c>
      <c r="X46">
        <v>0.05</v>
      </c>
      <c r="Y46">
        <v>3380</v>
      </c>
      <c r="Z46">
        <v>0.15</v>
      </c>
      <c r="AA46">
        <v>1235</v>
      </c>
      <c r="AB46" s="6">
        <v>46147.58630787037</v>
      </c>
      <c r="AC46" s="6">
        <v>46147.58021990741</v>
      </c>
    </row>
    <row r="47" spans="1:29" x14ac:dyDescent="0.25">
      <c r="A47" t="s">
        <v>7</v>
      </c>
      <c r="B47" s="5">
        <v>46147</v>
      </c>
      <c r="C47" t="s">
        <v>54</v>
      </c>
      <c r="D47" t="s">
        <v>103</v>
      </c>
      <c r="E47">
        <v>18852866</v>
      </c>
      <c r="F47" t="s">
        <v>56</v>
      </c>
      <c r="G47" t="s">
        <v>57</v>
      </c>
      <c r="H47">
        <v>21200</v>
      </c>
      <c r="I47" t="s">
        <v>58</v>
      </c>
      <c r="J47">
        <v>2939.8</v>
      </c>
      <c r="K47">
        <v>0</v>
      </c>
      <c r="L47">
        <v>65</v>
      </c>
      <c r="M47">
        <v>0</v>
      </c>
      <c r="N47">
        <v>0</v>
      </c>
      <c r="O47">
        <v>6240</v>
      </c>
      <c r="P47">
        <v>6435</v>
      </c>
      <c r="Q47">
        <v>65</v>
      </c>
      <c r="R47">
        <v>65</v>
      </c>
      <c r="S47">
        <v>65</v>
      </c>
      <c r="T47">
        <v>0</v>
      </c>
      <c r="U47">
        <v>0</v>
      </c>
      <c r="V47">
        <v>0</v>
      </c>
      <c r="W47">
        <v>2939.8</v>
      </c>
      <c r="X47">
        <v>2659.4</v>
      </c>
      <c r="Y47">
        <v>780</v>
      </c>
      <c r="Z47">
        <v>2965.4</v>
      </c>
      <c r="AA47">
        <v>780</v>
      </c>
      <c r="AB47" s="6">
        <v>46147.586516203701</v>
      </c>
      <c r="AC47" s="6">
        <v>46140.441296296296</v>
      </c>
    </row>
    <row r="48" spans="1:29" x14ac:dyDescent="0.25">
      <c r="A48" t="s">
        <v>7</v>
      </c>
      <c r="B48" s="5">
        <v>46147</v>
      </c>
      <c r="C48" t="s">
        <v>54</v>
      </c>
      <c r="D48" t="s">
        <v>104</v>
      </c>
      <c r="E48">
        <v>18853122</v>
      </c>
      <c r="F48" t="s">
        <v>56</v>
      </c>
      <c r="G48" t="s">
        <v>57</v>
      </c>
      <c r="H48">
        <v>21200</v>
      </c>
      <c r="I48" t="s">
        <v>60</v>
      </c>
      <c r="J48">
        <v>0.05</v>
      </c>
      <c r="K48">
        <v>-83.333333333333343</v>
      </c>
      <c r="L48">
        <v>65</v>
      </c>
      <c r="M48">
        <v>0.26</v>
      </c>
      <c r="N48">
        <v>129090</v>
      </c>
      <c r="O48">
        <v>1105</v>
      </c>
      <c r="P48">
        <v>43615</v>
      </c>
      <c r="Q48">
        <v>51610</v>
      </c>
      <c r="R48">
        <v>85605</v>
      </c>
      <c r="S48">
        <v>51610</v>
      </c>
      <c r="T48">
        <v>0.4</v>
      </c>
      <c r="U48">
        <v>0.7</v>
      </c>
      <c r="V48">
        <v>0.05</v>
      </c>
      <c r="W48">
        <v>0.3</v>
      </c>
      <c r="X48">
        <v>0.05</v>
      </c>
      <c r="Y48">
        <v>1105</v>
      </c>
      <c r="Z48">
        <v>0.1</v>
      </c>
      <c r="AA48">
        <v>1885</v>
      </c>
      <c r="AB48" s="6">
        <v>46147.586516203701</v>
      </c>
      <c r="AC48" s="6">
        <v>46147.584907407407</v>
      </c>
    </row>
    <row r="49" spans="1:29" x14ac:dyDescent="0.25">
      <c r="A49" t="s">
        <v>7</v>
      </c>
      <c r="B49" s="5">
        <v>46147</v>
      </c>
      <c r="C49" t="s">
        <v>54</v>
      </c>
      <c r="D49" t="s">
        <v>105</v>
      </c>
      <c r="E49">
        <v>18853378</v>
      </c>
      <c r="F49" t="s">
        <v>56</v>
      </c>
      <c r="G49" t="s">
        <v>57</v>
      </c>
      <c r="H49">
        <v>21250</v>
      </c>
      <c r="I49" t="s">
        <v>58</v>
      </c>
      <c r="J49">
        <v>2840.3</v>
      </c>
      <c r="K49">
        <v>0</v>
      </c>
      <c r="L49">
        <v>65</v>
      </c>
      <c r="M49">
        <v>0</v>
      </c>
      <c r="N49">
        <v>0</v>
      </c>
      <c r="O49">
        <v>6305</v>
      </c>
      <c r="P49">
        <v>5980</v>
      </c>
      <c r="Q49">
        <v>65</v>
      </c>
      <c r="R49">
        <v>65</v>
      </c>
      <c r="S49">
        <v>65</v>
      </c>
      <c r="T49">
        <v>0</v>
      </c>
      <c r="U49">
        <v>0</v>
      </c>
      <c r="V49">
        <v>0</v>
      </c>
      <c r="W49">
        <v>2840.3</v>
      </c>
      <c r="X49">
        <v>2743.25</v>
      </c>
      <c r="Y49">
        <v>780</v>
      </c>
      <c r="Z49">
        <v>2948.8</v>
      </c>
      <c r="AA49">
        <v>780</v>
      </c>
      <c r="AB49" s="6">
        <v>46147.586435185185</v>
      </c>
      <c r="AC49" s="6">
        <v>46140.39949074074</v>
      </c>
    </row>
    <row r="50" spans="1:29" x14ac:dyDescent="0.25">
      <c r="A50" t="s">
        <v>7</v>
      </c>
      <c r="B50" s="5">
        <v>46147</v>
      </c>
      <c r="C50" t="s">
        <v>54</v>
      </c>
      <c r="D50" t="s">
        <v>106</v>
      </c>
      <c r="E50">
        <v>18853890</v>
      </c>
      <c r="F50" t="s">
        <v>56</v>
      </c>
      <c r="G50" t="s">
        <v>57</v>
      </c>
      <c r="H50">
        <v>21250</v>
      </c>
      <c r="I50" t="s">
        <v>60</v>
      </c>
      <c r="J50">
        <v>0.1</v>
      </c>
      <c r="K50">
        <v>-71.428571428571416</v>
      </c>
      <c r="L50">
        <v>195</v>
      </c>
      <c r="M50">
        <v>0.22</v>
      </c>
      <c r="N50">
        <v>73970</v>
      </c>
      <c r="O50">
        <v>2405</v>
      </c>
      <c r="P50">
        <v>41405</v>
      </c>
      <c r="Q50">
        <v>31265</v>
      </c>
      <c r="R50">
        <v>39715</v>
      </c>
      <c r="S50">
        <v>20540</v>
      </c>
      <c r="T50">
        <v>0.35</v>
      </c>
      <c r="U50">
        <v>0.65</v>
      </c>
      <c r="V50">
        <v>0.05</v>
      </c>
      <c r="W50">
        <v>0.35</v>
      </c>
      <c r="X50">
        <v>0.05</v>
      </c>
      <c r="Y50">
        <v>2405</v>
      </c>
      <c r="Z50">
        <v>0.1</v>
      </c>
      <c r="AA50">
        <v>4615</v>
      </c>
      <c r="AB50" s="6">
        <v>46147.585995370369</v>
      </c>
      <c r="AC50" s="6">
        <v>46147.583784722221</v>
      </c>
    </row>
    <row r="51" spans="1:29" x14ac:dyDescent="0.25">
      <c r="A51" t="s">
        <v>7</v>
      </c>
      <c r="B51" s="5">
        <v>46147</v>
      </c>
      <c r="C51" t="s">
        <v>54</v>
      </c>
      <c r="D51" t="s">
        <v>107</v>
      </c>
      <c r="E51">
        <v>18854146</v>
      </c>
      <c r="F51" t="s">
        <v>56</v>
      </c>
      <c r="G51" t="s">
        <v>57</v>
      </c>
      <c r="H51">
        <v>21300</v>
      </c>
      <c r="I51" t="s">
        <v>58</v>
      </c>
      <c r="J51">
        <v>2780.05</v>
      </c>
      <c r="K51">
        <v>52.306470169287259</v>
      </c>
      <c r="L51">
        <v>65</v>
      </c>
      <c r="M51">
        <v>2774.1</v>
      </c>
      <c r="N51">
        <v>130</v>
      </c>
      <c r="O51">
        <v>7670</v>
      </c>
      <c r="P51">
        <v>7150</v>
      </c>
      <c r="Q51">
        <v>65</v>
      </c>
      <c r="R51">
        <v>65</v>
      </c>
      <c r="S51">
        <v>65</v>
      </c>
      <c r="T51">
        <v>2768.15</v>
      </c>
      <c r="U51">
        <v>2780.05</v>
      </c>
      <c r="V51">
        <v>2768.15</v>
      </c>
      <c r="W51">
        <v>1825.3</v>
      </c>
      <c r="X51">
        <v>2704.8</v>
      </c>
      <c r="Y51">
        <v>780</v>
      </c>
      <c r="Z51">
        <v>2764.45</v>
      </c>
      <c r="AA51">
        <v>65</v>
      </c>
      <c r="AB51" s="6">
        <v>46147.586527777778</v>
      </c>
      <c r="AC51" s="6">
        <v>46147.550208333334</v>
      </c>
    </row>
    <row r="52" spans="1:29" x14ac:dyDescent="0.25">
      <c r="A52" t="s">
        <v>7</v>
      </c>
      <c r="B52" s="5">
        <v>46147</v>
      </c>
      <c r="C52" t="s">
        <v>54</v>
      </c>
      <c r="D52" t="s">
        <v>108</v>
      </c>
      <c r="E52">
        <v>18855938</v>
      </c>
      <c r="F52" t="s">
        <v>56</v>
      </c>
      <c r="G52" t="s">
        <v>57</v>
      </c>
      <c r="H52">
        <v>21300</v>
      </c>
      <c r="I52" t="s">
        <v>60</v>
      </c>
      <c r="J52">
        <v>0.05</v>
      </c>
      <c r="K52">
        <v>-83.333333333333343</v>
      </c>
      <c r="L52">
        <v>1105</v>
      </c>
      <c r="M52">
        <v>0.24</v>
      </c>
      <c r="N52">
        <v>169325</v>
      </c>
      <c r="O52">
        <v>124345</v>
      </c>
      <c r="P52">
        <v>39520</v>
      </c>
      <c r="Q52">
        <v>56030</v>
      </c>
      <c r="R52">
        <v>101465</v>
      </c>
      <c r="S52">
        <v>54405</v>
      </c>
      <c r="T52">
        <v>0.3</v>
      </c>
      <c r="U52">
        <v>0.35</v>
      </c>
      <c r="V52">
        <v>0.05</v>
      </c>
      <c r="W52">
        <v>0.3</v>
      </c>
      <c r="X52">
        <v>0.05</v>
      </c>
      <c r="Y52">
        <v>124345</v>
      </c>
      <c r="Z52">
        <v>0.1</v>
      </c>
      <c r="AA52">
        <v>2600</v>
      </c>
      <c r="AB52" s="6">
        <v>46147.586458333331</v>
      </c>
      <c r="AC52" s="6">
        <v>46147.586168981485</v>
      </c>
    </row>
    <row r="53" spans="1:29" x14ac:dyDescent="0.25">
      <c r="A53" t="s">
        <v>7</v>
      </c>
      <c r="B53" s="5">
        <v>46147</v>
      </c>
      <c r="C53" t="s">
        <v>54</v>
      </c>
      <c r="D53" t="s">
        <v>109</v>
      </c>
      <c r="E53">
        <v>18857474</v>
      </c>
      <c r="F53" t="s">
        <v>56</v>
      </c>
      <c r="G53" t="s">
        <v>57</v>
      </c>
      <c r="H53">
        <v>21350</v>
      </c>
      <c r="I53" t="s">
        <v>58</v>
      </c>
      <c r="J53">
        <v>1779.5</v>
      </c>
      <c r="K53">
        <v>0</v>
      </c>
      <c r="L53">
        <v>0</v>
      </c>
      <c r="M53">
        <v>0</v>
      </c>
      <c r="N53">
        <v>0</v>
      </c>
      <c r="O53">
        <v>5850</v>
      </c>
      <c r="P53">
        <v>5980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1779.5</v>
      </c>
      <c r="X53">
        <v>2526.65</v>
      </c>
      <c r="Y53">
        <v>780</v>
      </c>
      <c r="Z53">
        <v>2827.5</v>
      </c>
      <c r="AA53">
        <v>780</v>
      </c>
      <c r="AB53" s="6">
        <v>46147.586493055554</v>
      </c>
      <c r="AC53" s="6">
        <v>25569.229166666668</v>
      </c>
    </row>
    <row r="54" spans="1:29" x14ac:dyDescent="0.25">
      <c r="A54" t="s">
        <v>7</v>
      </c>
      <c r="B54" s="5">
        <v>46147</v>
      </c>
      <c r="C54" t="s">
        <v>54</v>
      </c>
      <c r="D54" t="s">
        <v>110</v>
      </c>
      <c r="E54">
        <v>18857730</v>
      </c>
      <c r="F54" t="s">
        <v>56</v>
      </c>
      <c r="G54" t="s">
        <v>57</v>
      </c>
      <c r="H54">
        <v>21350</v>
      </c>
      <c r="I54" t="s">
        <v>60</v>
      </c>
      <c r="J54">
        <v>0.1</v>
      </c>
      <c r="K54">
        <v>-71.428571428571416</v>
      </c>
      <c r="L54">
        <v>65</v>
      </c>
      <c r="M54">
        <v>0.35</v>
      </c>
      <c r="N54">
        <v>59865</v>
      </c>
      <c r="O54">
        <v>5135</v>
      </c>
      <c r="P54">
        <v>37245</v>
      </c>
      <c r="Q54">
        <v>29770</v>
      </c>
      <c r="R54">
        <v>37505</v>
      </c>
      <c r="S54">
        <v>15665</v>
      </c>
      <c r="T54">
        <v>0.75</v>
      </c>
      <c r="U54">
        <v>0.9</v>
      </c>
      <c r="V54">
        <v>0.1</v>
      </c>
      <c r="W54">
        <v>0.35</v>
      </c>
      <c r="X54">
        <v>0.1</v>
      </c>
      <c r="Y54">
        <v>3705</v>
      </c>
      <c r="Z54">
        <v>0.15</v>
      </c>
      <c r="AA54">
        <v>1820</v>
      </c>
      <c r="AB54" s="6">
        <v>46147.586493055554</v>
      </c>
      <c r="AC54" s="6">
        <v>46147.582071759258</v>
      </c>
    </row>
    <row r="55" spans="1:29" x14ac:dyDescent="0.25">
      <c r="A55" t="s">
        <v>7</v>
      </c>
      <c r="B55" s="5">
        <v>46147</v>
      </c>
      <c r="C55" t="s">
        <v>54</v>
      </c>
      <c r="D55" t="s">
        <v>111</v>
      </c>
      <c r="E55">
        <v>18857986</v>
      </c>
      <c r="F55" t="s">
        <v>56</v>
      </c>
      <c r="G55" t="s">
        <v>57</v>
      </c>
      <c r="H55">
        <v>21400</v>
      </c>
      <c r="I55" t="s">
        <v>58</v>
      </c>
      <c r="J55">
        <v>2578.6999999999998</v>
      </c>
      <c r="K55">
        <v>0</v>
      </c>
      <c r="L55">
        <v>65</v>
      </c>
      <c r="M55">
        <v>0</v>
      </c>
      <c r="N55">
        <v>0</v>
      </c>
      <c r="O55">
        <v>6045</v>
      </c>
      <c r="P55">
        <v>5980</v>
      </c>
      <c r="Q55">
        <v>65</v>
      </c>
      <c r="R55">
        <v>65</v>
      </c>
      <c r="S55">
        <v>65</v>
      </c>
      <c r="T55">
        <v>0</v>
      </c>
      <c r="U55">
        <v>0</v>
      </c>
      <c r="V55">
        <v>0</v>
      </c>
      <c r="W55">
        <v>2578.6999999999998</v>
      </c>
      <c r="X55">
        <v>2470.3000000000002</v>
      </c>
      <c r="Y55">
        <v>780</v>
      </c>
      <c r="Z55">
        <v>2785.95</v>
      </c>
      <c r="AA55">
        <v>780</v>
      </c>
      <c r="AB55" s="6">
        <v>46147.586527777778</v>
      </c>
      <c r="AC55" s="6">
        <v>46140.643020833333</v>
      </c>
    </row>
    <row r="56" spans="1:29" x14ac:dyDescent="0.25">
      <c r="A56" t="s">
        <v>7</v>
      </c>
      <c r="B56" s="5">
        <v>46147</v>
      </c>
      <c r="C56" t="s">
        <v>54</v>
      </c>
      <c r="D56" t="s">
        <v>112</v>
      </c>
      <c r="E56">
        <v>18858242</v>
      </c>
      <c r="F56" t="s">
        <v>56</v>
      </c>
      <c r="G56" t="s">
        <v>57</v>
      </c>
      <c r="H56">
        <v>21400</v>
      </c>
      <c r="I56" t="s">
        <v>60</v>
      </c>
      <c r="J56">
        <v>0.05</v>
      </c>
      <c r="K56">
        <v>-83.333333333333343</v>
      </c>
      <c r="L56">
        <v>1235</v>
      </c>
      <c r="M56">
        <v>0.22</v>
      </c>
      <c r="N56">
        <v>135395</v>
      </c>
      <c r="O56">
        <v>38220</v>
      </c>
      <c r="P56">
        <v>67795</v>
      </c>
      <c r="Q56">
        <v>69745</v>
      </c>
      <c r="R56">
        <v>87230</v>
      </c>
      <c r="S56">
        <v>69745</v>
      </c>
      <c r="T56">
        <v>0.35</v>
      </c>
      <c r="U56">
        <v>0.75</v>
      </c>
      <c r="V56">
        <v>0.05</v>
      </c>
      <c r="W56">
        <v>0.3</v>
      </c>
      <c r="X56">
        <v>0.05</v>
      </c>
      <c r="Y56">
        <v>38220</v>
      </c>
      <c r="Z56">
        <v>0.1</v>
      </c>
      <c r="AA56">
        <v>12155</v>
      </c>
      <c r="AB56" s="6">
        <v>46147.586377314816</v>
      </c>
      <c r="AC56" s="6">
        <v>46147.586284722223</v>
      </c>
    </row>
    <row r="57" spans="1:29" x14ac:dyDescent="0.25">
      <c r="A57" t="s">
        <v>7</v>
      </c>
      <c r="B57" s="5">
        <v>46147</v>
      </c>
      <c r="C57" t="s">
        <v>54</v>
      </c>
      <c r="D57" t="s">
        <v>113</v>
      </c>
      <c r="E57">
        <v>18858498</v>
      </c>
      <c r="F57" t="s">
        <v>56</v>
      </c>
      <c r="G57" t="s">
        <v>57</v>
      </c>
      <c r="H57">
        <v>21450</v>
      </c>
      <c r="I57" t="s">
        <v>58</v>
      </c>
      <c r="J57">
        <v>2455.75</v>
      </c>
      <c r="K57">
        <v>0</v>
      </c>
      <c r="L57">
        <v>65</v>
      </c>
      <c r="M57">
        <v>0</v>
      </c>
      <c r="N57">
        <v>0</v>
      </c>
      <c r="O57">
        <v>5265</v>
      </c>
      <c r="P57">
        <v>5980</v>
      </c>
      <c r="Q57">
        <v>65</v>
      </c>
      <c r="R57">
        <v>65</v>
      </c>
      <c r="S57">
        <v>65</v>
      </c>
      <c r="T57">
        <v>0</v>
      </c>
      <c r="U57">
        <v>0</v>
      </c>
      <c r="V57">
        <v>0</v>
      </c>
      <c r="W57">
        <v>2455.75</v>
      </c>
      <c r="X57">
        <v>2435</v>
      </c>
      <c r="Y57">
        <v>130</v>
      </c>
      <c r="Z57">
        <v>2722.2</v>
      </c>
      <c r="AA57">
        <v>780</v>
      </c>
      <c r="AB57" s="6">
        <v>46147.586435185185</v>
      </c>
      <c r="AC57" s="6">
        <v>46142.510416666664</v>
      </c>
    </row>
    <row r="58" spans="1:29" x14ac:dyDescent="0.25">
      <c r="A58" t="s">
        <v>7</v>
      </c>
      <c r="B58" s="5">
        <v>46147</v>
      </c>
      <c r="C58" t="s">
        <v>54</v>
      </c>
      <c r="D58" t="s">
        <v>114</v>
      </c>
      <c r="E58">
        <v>18858754</v>
      </c>
      <c r="F58" t="s">
        <v>56</v>
      </c>
      <c r="G58" t="s">
        <v>57</v>
      </c>
      <c r="H58">
        <v>21450</v>
      </c>
      <c r="I58" t="s">
        <v>60</v>
      </c>
      <c r="J58">
        <v>0.2</v>
      </c>
      <c r="K58">
        <v>-50</v>
      </c>
      <c r="L58">
        <v>130</v>
      </c>
      <c r="M58">
        <v>0.24</v>
      </c>
      <c r="N58">
        <v>18005</v>
      </c>
      <c r="O58">
        <v>5785</v>
      </c>
      <c r="P58">
        <v>44850</v>
      </c>
      <c r="Q58">
        <v>15015</v>
      </c>
      <c r="R58">
        <v>15015</v>
      </c>
      <c r="S58">
        <v>8970</v>
      </c>
      <c r="T58">
        <v>0.4</v>
      </c>
      <c r="U58">
        <v>0.4</v>
      </c>
      <c r="V58">
        <v>0.1</v>
      </c>
      <c r="W58">
        <v>0.4</v>
      </c>
      <c r="X58">
        <v>0.1</v>
      </c>
      <c r="Y58">
        <v>5785</v>
      </c>
      <c r="Z58">
        <v>0.15</v>
      </c>
      <c r="AA58">
        <v>5265</v>
      </c>
      <c r="AB58" s="6">
        <v>46147.586157407408</v>
      </c>
      <c r="AC58" s="6">
        <v>46147.579953703702</v>
      </c>
    </row>
    <row r="59" spans="1:29" x14ac:dyDescent="0.25">
      <c r="A59" t="s">
        <v>7</v>
      </c>
      <c r="B59" s="5">
        <v>46147</v>
      </c>
      <c r="C59" t="s">
        <v>54</v>
      </c>
      <c r="D59" t="s">
        <v>115</v>
      </c>
      <c r="E59">
        <v>18859010</v>
      </c>
      <c r="F59" t="s">
        <v>56</v>
      </c>
      <c r="G59" t="s">
        <v>57</v>
      </c>
      <c r="H59">
        <v>21500</v>
      </c>
      <c r="I59" t="s">
        <v>58</v>
      </c>
      <c r="J59">
        <v>2450</v>
      </c>
      <c r="K59">
        <v>-8.2397003745318358</v>
      </c>
      <c r="L59">
        <v>65</v>
      </c>
      <c r="M59">
        <v>2440.4699999999998</v>
      </c>
      <c r="N59">
        <v>130</v>
      </c>
      <c r="O59">
        <v>6500</v>
      </c>
      <c r="P59">
        <v>5525</v>
      </c>
      <c r="Q59">
        <v>520</v>
      </c>
      <c r="R59">
        <v>520</v>
      </c>
      <c r="S59">
        <v>520</v>
      </c>
      <c r="T59">
        <v>2430.9499999999998</v>
      </c>
      <c r="U59">
        <v>2450</v>
      </c>
      <c r="V59">
        <v>2430.9499999999998</v>
      </c>
      <c r="W59">
        <v>2670</v>
      </c>
      <c r="X59">
        <v>2533.8000000000002</v>
      </c>
      <c r="Y59">
        <v>65</v>
      </c>
      <c r="Z59">
        <v>2547.0500000000002</v>
      </c>
      <c r="AA59">
        <v>65</v>
      </c>
      <c r="AB59" s="6">
        <v>46147.586527777778</v>
      </c>
      <c r="AC59" s="6">
        <v>46147.440520833334</v>
      </c>
    </row>
    <row r="60" spans="1:29" x14ac:dyDescent="0.25">
      <c r="A60" t="s">
        <v>7</v>
      </c>
      <c r="B60" s="5">
        <v>46147</v>
      </c>
      <c r="C60" t="s">
        <v>54</v>
      </c>
      <c r="D60" t="s">
        <v>116</v>
      </c>
      <c r="E60">
        <v>18860290</v>
      </c>
      <c r="F60" t="s">
        <v>56</v>
      </c>
      <c r="G60" t="s">
        <v>57</v>
      </c>
      <c r="H60">
        <v>21500</v>
      </c>
      <c r="I60" t="s">
        <v>60</v>
      </c>
      <c r="J60">
        <v>0.1</v>
      </c>
      <c r="K60">
        <v>-66.666666666666671</v>
      </c>
      <c r="L60">
        <v>520</v>
      </c>
      <c r="M60">
        <v>0.19</v>
      </c>
      <c r="N60">
        <v>2500095</v>
      </c>
      <c r="O60">
        <v>690885</v>
      </c>
      <c r="P60">
        <v>486850</v>
      </c>
      <c r="Q60">
        <v>499525</v>
      </c>
      <c r="R60">
        <v>943085</v>
      </c>
      <c r="S60">
        <v>499525</v>
      </c>
      <c r="T60">
        <v>0.5</v>
      </c>
      <c r="U60">
        <v>0.65</v>
      </c>
      <c r="V60">
        <v>0.05</v>
      </c>
      <c r="W60">
        <v>0.3</v>
      </c>
      <c r="X60">
        <v>0.05</v>
      </c>
      <c r="Y60">
        <v>690885</v>
      </c>
      <c r="Z60">
        <v>0.1</v>
      </c>
      <c r="AA60">
        <v>234845</v>
      </c>
      <c r="AB60" s="6">
        <v>46147.58630787037</v>
      </c>
      <c r="AC60" s="6">
        <v>46147.58556712963</v>
      </c>
    </row>
    <row r="61" spans="1:29" x14ac:dyDescent="0.25">
      <c r="A61" t="s">
        <v>7</v>
      </c>
      <c r="B61" s="5">
        <v>46147</v>
      </c>
      <c r="C61" t="s">
        <v>54</v>
      </c>
      <c r="D61" t="s">
        <v>117</v>
      </c>
      <c r="E61">
        <v>18862082</v>
      </c>
      <c r="F61" t="s">
        <v>56</v>
      </c>
      <c r="G61" t="s">
        <v>57</v>
      </c>
      <c r="H61">
        <v>21550</v>
      </c>
      <c r="I61" t="s">
        <v>58</v>
      </c>
      <c r="J61">
        <v>1599.75</v>
      </c>
      <c r="K61">
        <v>0</v>
      </c>
      <c r="L61">
        <v>0</v>
      </c>
      <c r="M61">
        <v>0</v>
      </c>
      <c r="N61">
        <v>0</v>
      </c>
      <c r="O61">
        <v>5980</v>
      </c>
      <c r="P61">
        <v>5980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1599.75</v>
      </c>
      <c r="X61">
        <v>2349.4499999999998</v>
      </c>
      <c r="Y61">
        <v>780</v>
      </c>
      <c r="Z61">
        <v>2645.8</v>
      </c>
      <c r="AA61">
        <v>780</v>
      </c>
      <c r="AB61" s="6">
        <v>46147.586516203701</v>
      </c>
      <c r="AC61" s="6">
        <v>25569.229166666668</v>
      </c>
    </row>
    <row r="62" spans="1:29" x14ac:dyDescent="0.25">
      <c r="A62" t="s">
        <v>7</v>
      </c>
      <c r="B62" s="5">
        <v>46147</v>
      </c>
      <c r="C62" t="s">
        <v>54</v>
      </c>
      <c r="D62" t="s">
        <v>118</v>
      </c>
      <c r="E62">
        <v>18862338</v>
      </c>
      <c r="F62" t="s">
        <v>56</v>
      </c>
      <c r="G62" t="s">
        <v>57</v>
      </c>
      <c r="H62">
        <v>21550</v>
      </c>
      <c r="I62" t="s">
        <v>60</v>
      </c>
      <c r="J62">
        <v>0.1</v>
      </c>
      <c r="K62">
        <v>-71.428571428571416</v>
      </c>
      <c r="L62">
        <v>130</v>
      </c>
      <c r="M62">
        <v>0.26</v>
      </c>
      <c r="N62">
        <v>44850</v>
      </c>
      <c r="O62">
        <v>10595</v>
      </c>
      <c r="P62">
        <v>39780</v>
      </c>
      <c r="Q62">
        <v>27950</v>
      </c>
      <c r="R62">
        <v>33085</v>
      </c>
      <c r="S62">
        <v>27105</v>
      </c>
      <c r="T62">
        <v>0.45</v>
      </c>
      <c r="U62">
        <v>0.8</v>
      </c>
      <c r="V62">
        <v>0.05</v>
      </c>
      <c r="W62">
        <v>0.35</v>
      </c>
      <c r="X62">
        <v>0.05</v>
      </c>
      <c r="Y62">
        <v>10595</v>
      </c>
      <c r="Z62">
        <v>0.1</v>
      </c>
      <c r="AA62">
        <v>1625</v>
      </c>
      <c r="AB62" s="6">
        <v>46147.586377314816</v>
      </c>
      <c r="AC62" s="6">
        <v>46147.584907407407</v>
      </c>
    </row>
    <row r="63" spans="1:29" x14ac:dyDescent="0.25">
      <c r="A63" t="s">
        <v>7</v>
      </c>
      <c r="B63" s="5">
        <v>46147</v>
      </c>
      <c r="C63" t="s">
        <v>54</v>
      </c>
      <c r="D63" t="s">
        <v>119</v>
      </c>
      <c r="E63">
        <v>18862594</v>
      </c>
      <c r="F63" t="s">
        <v>56</v>
      </c>
      <c r="G63" t="s">
        <v>57</v>
      </c>
      <c r="H63">
        <v>21600</v>
      </c>
      <c r="I63" t="s">
        <v>58</v>
      </c>
      <c r="J63">
        <v>1555.7</v>
      </c>
      <c r="K63">
        <v>0</v>
      </c>
      <c r="L63">
        <v>0</v>
      </c>
      <c r="M63">
        <v>0</v>
      </c>
      <c r="N63">
        <v>0</v>
      </c>
      <c r="O63">
        <v>5850</v>
      </c>
      <c r="P63">
        <v>2795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1555.7</v>
      </c>
      <c r="X63">
        <v>2296.3000000000002</v>
      </c>
      <c r="Y63">
        <v>780</v>
      </c>
      <c r="Z63">
        <v>2588.4499999999998</v>
      </c>
      <c r="AA63">
        <v>780</v>
      </c>
      <c r="AB63" s="6">
        <v>46147.586273148147</v>
      </c>
      <c r="AC63" s="6">
        <v>25569.229166666668</v>
      </c>
    </row>
    <row r="64" spans="1:29" x14ac:dyDescent="0.25">
      <c r="A64" t="s">
        <v>7</v>
      </c>
      <c r="B64" s="5">
        <v>46147</v>
      </c>
      <c r="C64" t="s">
        <v>54</v>
      </c>
      <c r="D64" t="s">
        <v>120</v>
      </c>
      <c r="E64">
        <v>18862850</v>
      </c>
      <c r="F64" t="s">
        <v>56</v>
      </c>
      <c r="G64" t="s">
        <v>57</v>
      </c>
      <c r="H64">
        <v>21600</v>
      </c>
      <c r="I64" t="s">
        <v>60</v>
      </c>
      <c r="J64">
        <v>0.05</v>
      </c>
      <c r="K64">
        <v>-85.714285714285722</v>
      </c>
      <c r="L64">
        <v>325</v>
      </c>
      <c r="M64">
        <v>0.25</v>
      </c>
      <c r="N64">
        <v>293280</v>
      </c>
      <c r="O64">
        <v>410605</v>
      </c>
      <c r="P64">
        <v>72670</v>
      </c>
      <c r="Q64">
        <v>69940</v>
      </c>
      <c r="R64">
        <v>136435</v>
      </c>
      <c r="S64">
        <v>69745</v>
      </c>
      <c r="T64">
        <v>0.65</v>
      </c>
      <c r="U64">
        <v>0.7</v>
      </c>
      <c r="V64">
        <v>0.05</v>
      </c>
      <c r="W64">
        <v>0.35</v>
      </c>
      <c r="X64">
        <v>0.05</v>
      </c>
      <c r="Y64">
        <v>410605</v>
      </c>
      <c r="Z64">
        <v>0.1</v>
      </c>
      <c r="AA64">
        <v>12480</v>
      </c>
      <c r="AB64" s="6">
        <v>46147.586435185185</v>
      </c>
      <c r="AC64" s="6">
        <v>46147.585451388892</v>
      </c>
    </row>
    <row r="65" spans="1:29" x14ac:dyDescent="0.25">
      <c r="A65" t="s">
        <v>7</v>
      </c>
      <c r="B65" s="5">
        <v>46147</v>
      </c>
      <c r="C65" t="s">
        <v>54</v>
      </c>
      <c r="D65" t="s">
        <v>121</v>
      </c>
      <c r="E65">
        <v>18863106</v>
      </c>
      <c r="F65" t="s">
        <v>56</v>
      </c>
      <c r="G65" t="s">
        <v>57</v>
      </c>
      <c r="H65">
        <v>21650</v>
      </c>
      <c r="I65" t="s">
        <v>58</v>
      </c>
      <c r="J65">
        <v>1512.1</v>
      </c>
      <c r="K65">
        <v>0</v>
      </c>
      <c r="L65">
        <v>0</v>
      </c>
      <c r="M65">
        <v>0</v>
      </c>
      <c r="N65">
        <v>0</v>
      </c>
      <c r="O65">
        <v>5980</v>
      </c>
      <c r="P65">
        <v>5980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1512.1</v>
      </c>
      <c r="X65">
        <v>2250.4499999999998</v>
      </c>
      <c r="Y65">
        <v>780</v>
      </c>
      <c r="Z65">
        <v>2528.65</v>
      </c>
      <c r="AA65">
        <v>780</v>
      </c>
      <c r="AB65" s="6">
        <v>46147.586423611108</v>
      </c>
      <c r="AC65" s="6">
        <v>25569.229166666668</v>
      </c>
    </row>
    <row r="66" spans="1:29" x14ac:dyDescent="0.25">
      <c r="A66" t="s">
        <v>7</v>
      </c>
      <c r="B66" s="5">
        <v>46147</v>
      </c>
      <c r="C66" t="s">
        <v>54</v>
      </c>
      <c r="D66" t="s">
        <v>122</v>
      </c>
      <c r="E66">
        <v>18863362</v>
      </c>
      <c r="F66" t="s">
        <v>56</v>
      </c>
      <c r="G66" t="s">
        <v>57</v>
      </c>
      <c r="H66">
        <v>21650</v>
      </c>
      <c r="I66" t="s">
        <v>60</v>
      </c>
      <c r="J66">
        <v>0.05</v>
      </c>
      <c r="K66">
        <v>-85.714285714285722</v>
      </c>
      <c r="L66">
        <v>65</v>
      </c>
      <c r="M66">
        <v>0.21</v>
      </c>
      <c r="N66">
        <v>31135</v>
      </c>
      <c r="O66">
        <v>10530</v>
      </c>
      <c r="P66">
        <v>45500</v>
      </c>
      <c r="Q66">
        <v>18915</v>
      </c>
      <c r="R66">
        <v>22815</v>
      </c>
      <c r="S66">
        <v>14820</v>
      </c>
      <c r="T66">
        <v>0.3</v>
      </c>
      <c r="U66">
        <v>0.35</v>
      </c>
      <c r="V66">
        <v>0.05</v>
      </c>
      <c r="W66">
        <v>0.35</v>
      </c>
      <c r="X66">
        <v>0.05</v>
      </c>
      <c r="Y66">
        <v>10530</v>
      </c>
      <c r="Z66">
        <v>0.1</v>
      </c>
      <c r="AA66">
        <v>3835</v>
      </c>
      <c r="AB66" s="6">
        <v>46147.586423611108</v>
      </c>
      <c r="AC66" s="6">
        <v>46147.575601851851</v>
      </c>
    </row>
    <row r="67" spans="1:29" x14ac:dyDescent="0.25">
      <c r="A67" t="s">
        <v>7</v>
      </c>
      <c r="B67" s="5">
        <v>46147</v>
      </c>
      <c r="C67" t="s">
        <v>54</v>
      </c>
      <c r="D67" t="s">
        <v>123</v>
      </c>
      <c r="E67">
        <v>18864130</v>
      </c>
      <c r="F67" t="s">
        <v>56</v>
      </c>
      <c r="G67" t="s">
        <v>57</v>
      </c>
      <c r="H67">
        <v>21700</v>
      </c>
      <c r="I67" t="s">
        <v>58</v>
      </c>
      <c r="J67">
        <v>1468.9</v>
      </c>
      <c r="K67">
        <v>0</v>
      </c>
      <c r="L67">
        <v>0</v>
      </c>
      <c r="M67">
        <v>0</v>
      </c>
      <c r="N67">
        <v>0</v>
      </c>
      <c r="O67">
        <v>5980</v>
      </c>
      <c r="P67">
        <v>5980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1468.9</v>
      </c>
      <c r="X67">
        <v>2202.5</v>
      </c>
      <c r="Y67">
        <v>780</v>
      </c>
      <c r="Z67">
        <v>2485.25</v>
      </c>
      <c r="AA67">
        <v>780</v>
      </c>
      <c r="AB67" s="6">
        <v>46147.586493055554</v>
      </c>
      <c r="AC67" s="6">
        <v>25569.229166666668</v>
      </c>
    </row>
    <row r="68" spans="1:29" x14ac:dyDescent="0.25">
      <c r="A68" t="s">
        <v>7</v>
      </c>
      <c r="B68" s="5">
        <v>46147</v>
      </c>
      <c r="C68" t="s">
        <v>54</v>
      </c>
      <c r="D68" t="s">
        <v>124</v>
      </c>
      <c r="E68">
        <v>18864386</v>
      </c>
      <c r="F68" t="s">
        <v>56</v>
      </c>
      <c r="G68" t="s">
        <v>57</v>
      </c>
      <c r="H68">
        <v>21700</v>
      </c>
      <c r="I68" t="s">
        <v>60</v>
      </c>
      <c r="J68">
        <v>0.1</v>
      </c>
      <c r="K68">
        <v>-66.666666666666671</v>
      </c>
      <c r="L68">
        <v>130</v>
      </c>
      <c r="M68">
        <v>0.31</v>
      </c>
      <c r="N68">
        <v>255775</v>
      </c>
      <c r="O68">
        <v>433355</v>
      </c>
      <c r="P68">
        <v>140400</v>
      </c>
      <c r="Q68">
        <v>114530</v>
      </c>
      <c r="R68">
        <v>141050</v>
      </c>
      <c r="S68">
        <v>107900</v>
      </c>
      <c r="T68">
        <v>0.9</v>
      </c>
      <c r="U68">
        <v>0.9</v>
      </c>
      <c r="V68">
        <v>0.1</v>
      </c>
      <c r="W68">
        <v>0.3</v>
      </c>
      <c r="X68">
        <v>0.05</v>
      </c>
      <c r="Y68">
        <v>433355</v>
      </c>
      <c r="Z68">
        <v>0.1</v>
      </c>
      <c r="AA68">
        <v>32955</v>
      </c>
      <c r="AB68" s="6">
        <v>46147.586493055554</v>
      </c>
      <c r="AC68" s="6">
        <v>46147.584907407407</v>
      </c>
    </row>
    <row r="69" spans="1:29" x14ac:dyDescent="0.25">
      <c r="A69" t="s">
        <v>7</v>
      </c>
      <c r="B69" s="5">
        <v>46147</v>
      </c>
      <c r="C69" t="s">
        <v>54</v>
      </c>
      <c r="D69" t="s">
        <v>125</v>
      </c>
      <c r="E69">
        <v>18864642</v>
      </c>
      <c r="F69" t="s">
        <v>56</v>
      </c>
      <c r="G69" t="s">
        <v>57</v>
      </c>
      <c r="H69">
        <v>21750</v>
      </c>
      <c r="I69" t="s">
        <v>58</v>
      </c>
      <c r="J69">
        <v>1426.2</v>
      </c>
      <c r="K69">
        <v>0</v>
      </c>
      <c r="L69">
        <v>0</v>
      </c>
      <c r="M69">
        <v>0</v>
      </c>
      <c r="N69">
        <v>0</v>
      </c>
      <c r="O69">
        <v>5980</v>
      </c>
      <c r="P69">
        <v>5980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1426.2</v>
      </c>
      <c r="X69">
        <v>2155.1999999999998</v>
      </c>
      <c r="Y69">
        <v>780</v>
      </c>
      <c r="Z69">
        <v>2467.9499999999998</v>
      </c>
      <c r="AA69">
        <v>780</v>
      </c>
      <c r="AB69" s="6">
        <v>46147.586377314816</v>
      </c>
      <c r="AC69" s="6">
        <v>25569.229166666668</v>
      </c>
    </row>
    <row r="70" spans="1:29" x14ac:dyDescent="0.25">
      <c r="A70" t="s">
        <v>7</v>
      </c>
      <c r="B70" s="5">
        <v>46147</v>
      </c>
      <c r="C70" t="s">
        <v>54</v>
      </c>
      <c r="D70" t="s">
        <v>126</v>
      </c>
      <c r="E70">
        <v>18864898</v>
      </c>
      <c r="F70" t="s">
        <v>56</v>
      </c>
      <c r="G70" t="s">
        <v>57</v>
      </c>
      <c r="H70">
        <v>21750</v>
      </c>
      <c r="I70" t="s">
        <v>60</v>
      </c>
      <c r="J70">
        <v>0.05</v>
      </c>
      <c r="K70">
        <v>-83.333333333333343</v>
      </c>
      <c r="L70">
        <v>65</v>
      </c>
      <c r="M70">
        <v>0.24</v>
      </c>
      <c r="N70">
        <v>99255</v>
      </c>
      <c r="O70">
        <v>390</v>
      </c>
      <c r="P70">
        <v>60775</v>
      </c>
      <c r="Q70">
        <v>70330</v>
      </c>
      <c r="R70">
        <v>72865</v>
      </c>
      <c r="S70">
        <v>59995</v>
      </c>
      <c r="T70">
        <v>0.35</v>
      </c>
      <c r="U70">
        <v>0.4</v>
      </c>
      <c r="V70">
        <v>0.05</v>
      </c>
      <c r="W70">
        <v>0.3</v>
      </c>
      <c r="X70">
        <v>0.05</v>
      </c>
      <c r="Y70">
        <v>390</v>
      </c>
      <c r="Z70">
        <v>0.1</v>
      </c>
      <c r="AA70">
        <v>7995</v>
      </c>
      <c r="AB70" s="6">
        <v>46147.586527777778</v>
      </c>
      <c r="AC70" s="6">
        <v>46147.582743055558</v>
      </c>
    </row>
    <row r="71" spans="1:29" x14ac:dyDescent="0.25">
      <c r="A71" t="s">
        <v>7</v>
      </c>
      <c r="B71" s="5">
        <v>46147</v>
      </c>
      <c r="C71" t="s">
        <v>54</v>
      </c>
      <c r="D71" t="s">
        <v>127</v>
      </c>
      <c r="E71">
        <v>18865666</v>
      </c>
      <c r="F71" t="s">
        <v>56</v>
      </c>
      <c r="G71" t="s">
        <v>57</v>
      </c>
      <c r="H71">
        <v>21800</v>
      </c>
      <c r="I71" t="s">
        <v>58</v>
      </c>
      <c r="J71">
        <v>1383.9</v>
      </c>
      <c r="K71">
        <v>0</v>
      </c>
      <c r="L71">
        <v>0</v>
      </c>
      <c r="M71">
        <v>0</v>
      </c>
      <c r="N71">
        <v>0</v>
      </c>
      <c r="O71">
        <v>5980</v>
      </c>
      <c r="P71">
        <v>3380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1383.9</v>
      </c>
      <c r="X71">
        <v>2101.65</v>
      </c>
      <c r="Y71">
        <v>780</v>
      </c>
      <c r="Z71">
        <v>2363.4499999999998</v>
      </c>
      <c r="AA71">
        <v>780</v>
      </c>
      <c r="AB71" s="6">
        <v>46147.586435185185</v>
      </c>
      <c r="AC71" s="6">
        <v>25569.229166666668</v>
      </c>
    </row>
    <row r="72" spans="1:29" x14ac:dyDescent="0.25">
      <c r="A72" t="s">
        <v>7</v>
      </c>
      <c r="B72" s="5">
        <v>46147</v>
      </c>
      <c r="C72" t="s">
        <v>54</v>
      </c>
      <c r="D72" t="s">
        <v>128</v>
      </c>
      <c r="E72">
        <v>18871810</v>
      </c>
      <c r="F72" t="s">
        <v>56</v>
      </c>
      <c r="G72" t="s">
        <v>57</v>
      </c>
      <c r="H72">
        <v>21800</v>
      </c>
      <c r="I72" t="s">
        <v>60</v>
      </c>
      <c r="J72">
        <v>0.05</v>
      </c>
      <c r="K72">
        <v>-85.714285714285722</v>
      </c>
      <c r="L72">
        <v>65</v>
      </c>
      <c r="M72">
        <v>0.25</v>
      </c>
      <c r="N72">
        <v>545545</v>
      </c>
      <c r="O72">
        <v>247650</v>
      </c>
      <c r="P72">
        <v>132210</v>
      </c>
      <c r="Q72">
        <v>135980</v>
      </c>
      <c r="R72">
        <v>255970</v>
      </c>
      <c r="S72">
        <v>135720</v>
      </c>
      <c r="T72">
        <v>0.45</v>
      </c>
      <c r="U72">
        <v>0.85</v>
      </c>
      <c r="V72">
        <v>0.05</v>
      </c>
      <c r="W72">
        <v>0.35</v>
      </c>
      <c r="X72">
        <v>0.05</v>
      </c>
      <c r="Y72">
        <v>247650</v>
      </c>
      <c r="Z72">
        <v>0.1</v>
      </c>
      <c r="AA72">
        <v>28600</v>
      </c>
      <c r="AB72" s="6">
        <v>46147.586458333331</v>
      </c>
      <c r="AC72" s="6">
        <v>46147.586412037039</v>
      </c>
    </row>
    <row r="73" spans="1:29" x14ac:dyDescent="0.25">
      <c r="A73" t="s">
        <v>7</v>
      </c>
      <c r="B73" s="5">
        <v>46147</v>
      </c>
      <c r="C73" t="s">
        <v>54</v>
      </c>
      <c r="D73" t="s">
        <v>129</v>
      </c>
      <c r="E73">
        <v>18872322</v>
      </c>
      <c r="F73" t="s">
        <v>56</v>
      </c>
      <c r="G73" t="s">
        <v>57</v>
      </c>
      <c r="H73">
        <v>21850</v>
      </c>
      <c r="I73" t="s">
        <v>58</v>
      </c>
      <c r="J73">
        <v>1342.1</v>
      </c>
      <c r="K73">
        <v>0</v>
      </c>
      <c r="L73">
        <v>0</v>
      </c>
      <c r="M73">
        <v>0</v>
      </c>
      <c r="N73">
        <v>0</v>
      </c>
      <c r="O73">
        <v>5980</v>
      </c>
      <c r="P73">
        <v>3380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1342.1</v>
      </c>
      <c r="X73">
        <v>2058.5</v>
      </c>
      <c r="Y73">
        <v>780</v>
      </c>
      <c r="Z73">
        <v>2316.8000000000002</v>
      </c>
      <c r="AA73">
        <v>780</v>
      </c>
      <c r="AB73" s="6">
        <v>46147.586458333331</v>
      </c>
      <c r="AC73" s="6">
        <v>25569.229166666668</v>
      </c>
    </row>
    <row r="74" spans="1:29" x14ac:dyDescent="0.25">
      <c r="A74" t="s">
        <v>7</v>
      </c>
      <c r="B74" s="5">
        <v>46147</v>
      </c>
      <c r="C74" t="s">
        <v>54</v>
      </c>
      <c r="D74" t="s">
        <v>130</v>
      </c>
      <c r="E74">
        <v>18872578</v>
      </c>
      <c r="F74" t="s">
        <v>56</v>
      </c>
      <c r="G74" t="s">
        <v>57</v>
      </c>
      <c r="H74">
        <v>21850</v>
      </c>
      <c r="I74" t="s">
        <v>60</v>
      </c>
      <c r="J74">
        <v>0.1</v>
      </c>
      <c r="K74">
        <v>-66.666666666666671</v>
      </c>
      <c r="L74">
        <v>130</v>
      </c>
      <c r="M74">
        <v>0.25</v>
      </c>
      <c r="N74">
        <v>64545</v>
      </c>
      <c r="O74">
        <v>4355</v>
      </c>
      <c r="P74">
        <v>63440</v>
      </c>
      <c r="Q74">
        <v>65845</v>
      </c>
      <c r="R74">
        <v>67535</v>
      </c>
      <c r="S74">
        <v>61490</v>
      </c>
      <c r="T74">
        <v>0.85</v>
      </c>
      <c r="U74">
        <v>0.85</v>
      </c>
      <c r="V74">
        <v>0.05</v>
      </c>
      <c r="W74">
        <v>0.3</v>
      </c>
      <c r="X74">
        <v>0.05</v>
      </c>
      <c r="Y74">
        <v>4355</v>
      </c>
      <c r="Z74">
        <v>0.1</v>
      </c>
      <c r="AA74">
        <v>9425</v>
      </c>
      <c r="AB74" s="6">
        <v>46147.58630787037</v>
      </c>
      <c r="AC74" s="6">
        <v>46147.582743055558</v>
      </c>
    </row>
    <row r="75" spans="1:29" x14ac:dyDescent="0.25">
      <c r="A75" t="s">
        <v>7</v>
      </c>
      <c r="B75" s="5">
        <v>46147</v>
      </c>
      <c r="C75" t="s">
        <v>54</v>
      </c>
      <c r="D75" t="s">
        <v>131</v>
      </c>
      <c r="E75">
        <v>18872834</v>
      </c>
      <c r="F75" t="s">
        <v>56</v>
      </c>
      <c r="G75" t="s">
        <v>57</v>
      </c>
      <c r="H75">
        <v>21900</v>
      </c>
      <c r="I75" t="s">
        <v>58</v>
      </c>
      <c r="J75">
        <v>1300.8499999999999</v>
      </c>
      <c r="K75">
        <v>0</v>
      </c>
      <c r="L75">
        <v>0</v>
      </c>
      <c r="M75">
        <v>0</v>
      </c>
      <c r="N75">
        <v>0</v>
      </c>
      <c r="O75">
        <v>5200</v>
      </c>
      <c r="P75">
        <v>3380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1300.8499999999999</v>
      </c>
      <c r="X75">
        <v>2011.5</v>
      </c>
      <c r="Y75">
        <v>130</v>
      </c>
      <c r="Z75">
        <v>2204.6</v>
      </c>
      <c r="AA75">
        <v>780</v>
      </c>
      <c r="AB75" s="6">
        <v>46147.586377314816</v>
      </c>
      <c r="AC75" s="6">
        <v>25569.229166666668</v>
      </c>
    </row>
    <row r="76" spans="1:29" x14ac:dyDescent="0.25">
      <c r="A76" t="s">
        <v>7</v>
      </c>
      <c r="B76" s="5">
        <v>46147</v>
      </c>
      <c r="C76" t="s">
        <v>54</v>
      </c>
      <c r="D76" t="s">
        <v>132</v>
      </c>
      <c r="E76">
        <v>18873858</v>
      </c>
      <c r="F76" t="s">
        <v>56</v>
      </c>
      <c r="G76" t="s">
        <v>57</v>
      </c>
      <c r="H76">
        <v>21900</v>
      </c>
      <c r="I76" t="s">
        <v>60</v>
      </c>
      <c r="J76">
        <v>0.1</v>
      </c>
      <c r="K76">
        <v>-75</v>
      </c>
      <c r="L76">
        <v>65</v>
      </c>
      <c r="M76">
        <v>0.26</v>
      </c>
      <c r="N76">
        <v>570635</v>
      </c>
      <c r="O76">
        <v>279760</v>
      </c>
      <c r="P76">
        <v>145210</v>
      </c>
      <c r="Q76">
        <v>174525</v>
      </c>
      <c r="R76">
        <v>288340</v>
      </c>
      <c r="S76">
        <v>174005</v>
      </c>
      <c r="T76">
        <v>0.5</v>
      </c>
      <c r="U76">
        <v>0.65</v>
      </c>
      <c r="V76">
        <v>0.1</v>
      </c>
      <c r="W76">
        <v>0.4</v>
      </c>
      <c r="X76">
        <v>0.05</v>
      </c>
      <c r="Y76">
        <v>279760</v>
      </c>
      <c r="Z76">
        <v>0.1</v>
      </c>
      <c r="AA76">
        <v>27040</v>
      </c>
      <c r="AB76" s="6">
        <v>46147.586527777778</v>
      </c>
      <c r="AC76" s="6">
        <v>46147.583275462966</v>
      </c>
    </row>
    <row r="77" spans="1:29" x14ac:dyDescent="0.25">
      <c r="A77" t="s">
        <v>7</v>
      </c>
      <c r="B77" s="5">
        <v>46147</v>
      </c>
      <c r="C77" t="s">
        <v>54</v>
      </c>
      <c r="D77" t="s">
        <v>133</v>
      </c>
      <c r="E77">
        <v>18874626</v>
      </c>
      <c r="F77" t="s">
        <v>56</v>
      </c>
      <c r="G77" t="s">
        <v>57</v>
      </c>
      <c r="H77">
        <v>21950</v>
      </c>
      <c r="I77" t="s">
        <v>58</v>
      </c>
      <c r="J77">
        <v>1260.05</v>
      </c>
      <c r="K77">
        <v>0</v>
      </c>
      <c r="L77">
        <v>0</v>
      </c>
      <c r="M77">
        <v>0</v>
      </c>
      <c r="N77">
        <v>0</v>
      </c>
      <c r="O77">
        <v>5850</v>
      </c>
      <c r="P77">
        <v>1170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1260.05</v>
      </c>
      <c r="X77">
        <v>1958.35</v>
      </c>
      <c r="Y77">
        <v>780</v>
      </c>
      <c r="Z77">
        <v>2205.0500000000002</v>
      </c>
      <c r="AA77">
        <v>780</v>
      </c>
      <c r="AB77" s="6">
        <v>46147.586435185185</v>
      </c>
      <c r="AC77" s="6">
        <v>25569.229166666668</v>
      </c>
    </row>
    <row r="78" spans="1:29" x14ac:dyDescent="0.25">
      <c r="A78" t="s">
        <v>7</v>
      </c>
      <c r="B78" s="5">
        <v>46147</v>
      </c>
      <c r="C78" t="s">
        <v>54</v>
      </c>
      <c r="D78" t="s">
        <v>134</v>
      </c>
      <c r="E78">
        <v>18874882</v>
      </c>
      <c r="F78" t="s">
        <v>56</v>
      </c>
      <c r="G78" t="s">
        <v>57</v>
      </c>
      <c r="H78">
        <v>21950</v>
      </c>
      <c r="I78" t="s">
        <v>60</v>
      </c>
      <c r="J78">
        <v>0.1</v>
      </c>
      <c r="K78">
        <v>-71.428571428571416</v>
      </c>
      <c r="L78">
        <v>65</v>
      </c>
      <c r="M78">
        <v>0.24</v>
      </c>
      <c r="N78">
        <v>111020</v>
      </c>
      <c r="O78">
        <v>8645</v>
      </c>
      <c r="P78">
        <v>58890</v>
      </c>
      <c r="Q78">
        <v>55770</v>
      </c>
      <c r="R78">
        <v>67405</v>
      </c>
      <c r="S78">
        <v>40950</v>
      </c>
      <c r="T78">
        <v>0.35</v>
      </c>
      <c r="U78">
        <v>0.9</v>
      </c>
      <c r="V78">
        <v>0.05</v>
      </c>
      <c r="W78">
        <v>0.35</v>
      </c>
      <c r="X78">
        <v>0.1</v>
      </c>
      <c r="Y78">
        <v>5265</v>
      </c>
      <c r="Z78">
        <v>0.15</v>
      </c>
      <c r="AA78">
        <v>1365</v>
      </c>
      <c r="AB78" s="6">
        <v>46147.586435185185</v>
      </c>
      <c r="AC78" s="6">
        <v>46147.584907407407</v>
      </c>
    </row>
    <row r="79" spans="1:29" x14ac:dyDescent="0.25">
      <c r="A79" t="s">
        <v>7</v>
      </c>
      <c r="B79" s="5">
        <v>46147</v>
      </c>
      <c r="C79" t="s">
        <v>54</v>
      </c>
      <c r="D79" t="s">
        <v>135</v>
      </c>
      <c r="E79">
        <v>18875394</v>
      </c>
      <c r="F79" t="s">
        <v>56</v>
      </c>
      <c r="G79" t="s">
        <v>57</v>
      </c>
      <c r="H79">
        <v>22000</v>
      </c>
      <c r="I79" t="s">
        <v>58</v>
      </c>
      <c r="J79">
        <v>2033.05</v>
      </c>
      <c r="K79">
        <v>-6.2613827604490844</v>
      </c>
      <c r="L79">
        <v>65</v>
      </c>
      <c r="M79">
        <v>2008.57</v>
      </c>
      <c r="N79">
        <v>7995</v>
      </c>
      <c r="O79">
        <v>7865</v>
      </c>
      <c r="P79">
        <v>6825</v>
      </c>
      <c r="Q79">
        <v>9035</v>
      </c>
      <c r="R79">
        <v>13325</v>
      </c>
      <c r="S79">
        <v>9035</v>
      </c>
      <c r="T79">
        <v>2150.5500000000002</v>
      </c>
      <c r="U79">
        <v>2150.5500000000002</v>
      </c>
      <c r="V79">
        <v>1904.35</v>
      </c>
      <c r="W79">
        <v>2168.85</v>
      </c>
      <c r="X79">
        <v>2035.35</v>
      </c>
      <c r="Y79">
        <v>65</v>
      </c>
      <c r="Z79">
        <v>2045.4</v>
      </c>
      <c r="AA79">
        <v>195</v>
      </c>
      <c r="AB79" s="6">
        <v>46147.586504629631</v>
      </c>
      <c r="AC79" s="6">
        <v>46147.586354166669</v>
      </c>
    </row>
    <row r="80" spans="1:29" x14ac:dyDescent="0.25">
      <c r="A80" t="s">
        <v>7</v>
      </c>
      <c r="B80" s="5">
        <v>46147</v>
      </c>
      <c r="C80" t="s">
        <v>54</v>
      </c>
      <c r="D80" t="s">
        <v>136</v>
      </c>
      <c r="E80">
        <v>18875650</v>
      </c>
      <c r="F80" t="s">
        <v>56</v>
      </c>
      <c r="G80" t="s">
        <v>57</v>
      </c>
      <c r="H80">
        <v>22000</v>
      </c>
      <c r="I80" t="s">
        <v>60</v>
      </c>
      <c r="J80">
        <v>0.05</v>
      </c>
      <c r="K80">
        <v>-83.333333333333343</v>
      </c>
      <c r="L80">
        <v>650</v>
      </c>
      <c r="M80">
        <v>0.17</v>
      </c>
      <c r="N80">
        <v>6683170</v>
      </c>
      <c r="O80">
        <v>1901250</v>
      </c>
      <c r="P80">
        <v>3824730</v>
      </c>
      <c r="Q80">
        <v>3317665</v>
      </c>
      <c r="R80">
        <v>4159350</v>
      </c>
      <c r="S80">
        <v>3317665</v>
      </c>
      <c r="T80">
        <v>0.25</v>
      </c>
      <c r="U80">
        <v>0.3</v>
      </c>
      <c r="V80">
        <v>0.05</v>
      </c>
      <c r="W80">
        <v>0.3</v>
      </c>
      <c r="X80">
        <v>0.05</v>
      </c>
      <c r="Y80">
        <v>1901250</v>
      </c>
      <c r="Z80">
        <v>0.1</v>
      </c>
      <c r="AA80">
        <v>2168465</v>
      </c>
      <c r="AB80" s="6">
        <v>46147.586481481485</v>
      </c>
      <c r="AC80" s="6">
        <v>46147.586354166669</v>
      </c>
    </row>
    <row r="81" spans="1:29" x14ac:dyDescent="0.25">
      <c r="A81" t="s">
        <v>7</v>
      </c>
      <c r="B81" s="5">
        <v>46147</v>
      </c>
      <c r="C81" t="s">
        <v>54</v>
      </c>
      <c r="D81" t="s">
        <v>137</v>
      </c>
      <c r="E81">
        <v>18875906</v>
      </c>
      <c r="F81" t="s">
        <v>56</v>
      </c>
      <c r="G81" t="s">
        <v>57</v>
      </c>
      <c r="H81">
        <v>22050</v>
      </c>
      <c r="I81" t="s">
        <v>58</v>
      </c>
      <c r="J81">
        <v>1180.2</v>
      </c>
      <c r="K81">
        <v>0</v>
      </c>
      <c r="L81">
        <v>0</v>
      </c>
      <c r="M81">
        <v>0</v>
      </c>
      <c r="N81">
        <v>0</v>
      </c>
      <c r="O81">
        <v>5850</v>
      </c>
      <c r="P81">
        <v>1300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1180.2</v>
      </c>
      <c r="X81">
        <v>1862.45</v>
      </c>
      <c r="Y81">
        <v>780</v>
      </c>
      <c r="Z81">
        <v>2719.7</v>
      </c>
      <c r="AA81">
        <v>780</v>
      </c>
      <c r="AB81" s="6">
        <v>46147.586493055554</v>
      </c>
      <c r="AC81" s="6">
        <v>25569.229166666668</v>
      </c>
    </row>
    <row r="82" spans="1:29" x14ac:dyDescent="0.25">
      <c r="A82" t="s">
        <v>7</v>
      </c>
      <c r="B82" s="5">
        <v>46147</v>
      </c>
      <c r="C82" t="s">
        <v>54</v>
      </c>
      <c r="D82" t="s">
        <v>138</v>
      </c>
      <c r="E82">
        <v>18876162</v>
      </c>
      <c r="F82" t="s">
        <v>56</v>
      </c>
      <c r="G82" t="s">
        <v>57</v>
      </c>
      <c r="H82">
        <v>22050</v>
      </c>
      <c r="I82" t="s">
        <v>60</v>
      </c>
      <c r="J82">
        <v>0.15</v>
      </c>
      <c r="K82">
        <v>-62.5</v>
      </c>
      <c r="L82">
        <v>130</v>
      </c>
      <c r="M82">
        <v>0.28999999999999998</v>
      </c>
      <c r="N82">
        <v>239590</v>
      </c>
      <c r="O82">
        <v>447265</v>
      </c>
      <c r="P82">
        <v>62660</v>
      </c>
      <c r="Q82">
        <v>81510</v>
      </c>
      <c r="R82">
        <v>85215</v>
      </c>
      <c r="S82">
        <v>51740</v>
      </c>
      <c r="T82">
        <v>0.55000000000000004</v>
      </c>
      <c r="U82">
        <v>0.8</v>
      </c>
      <c r="V82">
        <v>0.1</v>
      </c>
      <c r="W82">
        <v>0.4</v>
      </c>
      <c r="X82">
        <v>0.1</v>
      </c>
      <c r="Y82">
        <v>12935</v>
      </c>
      <c r="Z82">
        <v>0.15</v>
      </c>
      <c r="AA82">
        <v>12740</v>
      </c>
      <c r="AB82" s="6">
        <v>46147.586481481485</v>
      </c>
      <c r="AC82" s="6">
        <v>46147.584907407407</v>
      </c>
    </row>
    <row r="83" spans="1:29" x14ac:dyDescent="0.25">
      <c r="A83" t="s">
        <v>7</v>
      </c>
      <c r="B83" s="5">
        <v>46147</v>
      </c>
      <c r="C83" t="s">
        <v>54</v>
      </c>
      <c r="D83" t="s">
        <v>139</v>
      </c>
      <c r="E83">
        <v>18876418</v>
      </c>
      <c r="F83" t="s">
        <v>56</v>
      </c>
      <c r="G83" t="s">
        <v>57</v>
      </c>
      <c r="H83">
        <v>22100</v>
      </c>
      <c r="I83" t="s">
        <v>58</v>
      </c>
      <c r="J83">
        <v>1801.8</v>
      </c>
      <c r="K83">
        <v>4.7314578005115004</v>
      </c>
      <c r="L83">
        <v>65</v>
      </c>
      <c r="M83">
        <v>1838.08</v>
      </c>
      <c r="N83">
        <v>195</v>
      </c>
      <c r="O83">
        <v>6955</v>
      </c>
      <c r="P83">
        <v>6500</v>
      </c>
      <c r="Q83">
        <v>585</v>
      </c>
      <c r="R83">
        <v>715</v>
      </c>
      <c r="S83">
        <v>585</v>
      </c>
      <c r="T83">
        <v>1856.2</v>
      </c>
      <c r="U83">
        <v>1856.25</v>
      </c>
      <c r="V83">
        <v>1801.8</v>
      </c>
      <c r="W83">
        <v>1720.4</v>
      </c>
      <c r="X83">
        <v>1915.4</v>
      </c>
      <c r="Y83">
        <v>780</v>
      </c>
      <c r="Z83">
        <v>1956.35</v>
      </c>
      <c r="AA83">
        <v>65</v>
      </c>
      <c r="AB83" s="6">
        <v>46147.586516203701</v>
      </c>
      <c r="AC83" s="6">
        <v>46147.500439814816</v>
      </c>
    </row>
    <row r="84" spans="1:29" x14ac:dyDescent="0.25">
      <c r="A84" t="s">
        <v>7</v>
      </c>
      <c r="B84" s="5">
        <v>46147</v>
      </c>
      <c r="C84" t="s">
        <v>54</v>
      </c>
      <c r="D84" t="s">
        <v>140</v>
      </c>
      <c r="E84">
        <v>18876674</v>
      </c>
      <c r="F84" t="s">
        <v>56</v>
      </c>
      <c r="G84" t="s">
        <v>57</v>
      </c>
      <c r="H84">
        <v>22100</v>
      </c>
      <c r="I84" t="s">
        <v>60</v>
      </c>
      <c r="J84">
        <v>0.1</v>
      </c>
      <c r="K84">
        <v>-77.777777777777771</v>
      </c>
      <c r="L84">
        <v>65</v>
      </c>
      <c r="M84">
        <v>0.27</v>
      </c>
      <c r="N84">
        <v>875420</v>
      </c>
      <c r="O84">
        <v>1443715</v>
      </c>
      <c r="P84">
        <v>155740</v>
      </c>
      <c r="Q84">
        <v>168415</v>
      </c>
      <c r="R84">
        <v>383110</v>
      </c>
      <c r="S84">
        <v>168415</v>
      </c>
      <c r="T84">
        <v>0.5</v>
      </c>
      <c r="U84">
        <v>1</v>
      </c>
      <c r="V84">
        <v>0.1</v>
      </c>
      <c r="W84">
        <v>0.45</v>
      </c>
      <c r="X84">
        <v>0.1</v>
      </c>
      <c r="Y84">
        <v>37570</v>
      </c>
      <c r="Z84">
        <v>0.15</v>
      </c>
      <c r="AA84">
        <v>45630</v>
      </c>
      <c r="AB84" s="6">
        <v>46147.586527777778</v>
      </c>
      <c r="AC84" s="6">
        <v>46147.586400462962</v>
      </c>
    </row>
    <row r="85" spans="1:29" x14ac:dyDescent="0.25">
      <c r="A85" t="s">
        <v>7</v>
      </c>
      <c r="B85" s="5">
        <v>46147</v>
      </c>
      <c r="C85" t="s">
        <v>54</v>
      </c>
      <c r="D85" t="s">
        <v>141</v>
      </c>
      <c r="E85">
        <v>18876930</v>
      </c>
      <c r="F85" t="s">
        <v>56</v>
      </c>
      <c r="G85" t="s">
        <v>57</v>
      </c>
      <c r="H85">
        <v>22150</v>
      </c>
      <c r="I85" t="s">
        <v>58</v>
      </c>
      <c r="J85">
        <v>1975.2</v>
      </c>
      <c r="K85">
        <v>0</v>
      </c>
      <c r="L85">
        <v>65</v>
      </c>
      <c r="M85">
        <v>0</v>
      </c>
      <c r="N85">
        <v>0</v>
      </c>
      <c r="O85">
        <v>8450</v>
      </c>
      <c r="P85">
        <v>6760</v>
      </c>
      <c r="Q85">
        <v>65</v>
      </c>
      <c r="R85">
        <v>65</v>
      </c>
      <c r="S85">
        <v>65</v>
      </c>
      <c r="T85">
        <v>0</v>
      </c>
      <c r="U85">
        <v>0</v>
      </c>
      <c r="V85">
        <v>0</v>
      </c>
      <c r="W85">
        <v>1975.2</v>
      </c>
      <c r="X85">
        <v>1768.7</v>
      </c>
      <c r="Y85">
        <v>780</v>
      </c>
      <c r="Z85">
        <v>2013.85</v>
      </c>
      <c r="AA85">
        <v>780</v>
      </c>
      <c r="AB85" s="6">
        <v>46147.586435185185</v>
      </c>
      <c r="AC85" s="6">
        <v>46139.408692129633</v>
      </c>
    </row>
    <row r="86" spans="1:29" x14ac:dyDescent="0.25">
      <c r="A86" t="s">
        <v>7</v>
      </c>
      <c r="B86" s="5">
        <v>46147</v>
      </c>
      <c r="C86" t="s">
        <v>54</v>
      </c>
      <c r="D86" t="s">
        <v>142</v>
      </c>
      <c r="E86">
        <v>18878722</v>
      </c>
      <c r="F86" t="s">
        <v>56</v>
      </c>
      <c r="G86" t="s">
        <v>57</v>
      </c>
      <c r="H86">
        <v>22150</v>
      </c>
      <c r="I86" t="s">
        <v>60</v>
      </c>
      <c r="J86">
        <v>0.1</v>
      </c>
      <c r="K86">
        <v>-77.777777777777771</v>
      </c>
      <c r="L86">
        <v>65</v>
      </c>
      <c r="M86">
        <v>0.28000000000000003</v>
      </c>
      <c r="N86">
        <v>151255</v>
      </c>
      <c r="O86">
        <v>404820</v>
      </c>
      <c r="P86">
        <v>45695</v>
      </c>
      <c r="Q86">
        <v>66950</v>
      </c>
      <c r="R86">
        <v>75595</v>
      </c>
      <c r="S86">
        <v>61360</v>
      </c>
      <c r="T86">
        <v>0.4</v>
      </c>
      <c r="U86">
        <v>0.7</v>
      </c>
      <c r="V86">
        <v>0.1</v>
      </c>
      <c r="W86">
        <v>0.45</v>
      </c>
      <c r="X86">
        <v>0.1</v>
      </c>
      <c r="Y86">
        <v>19825</v>
      </c>
      <c r="Z86">
        <v>0.15</v>
      </c>
      <c r="AA86">
        <v>3315</v>
      </c>
      <c r="AB86" s="6">
        <v>46147.586446759262</v>
      </c>
      <c r="AC86" s="6">
        <v>46147.586180555554</v>
      </c>
    </row>
    <row r="87" spans="1:29" x14ac:dyDescent="0.25">
      <c r="A87" t="s">
        <v>7</v>
      </c>
      <c r="B87" s="5">
        <v>46147</v>
      </c>
      <c r="C87" t="s">
        <v>54</v>
      </c>
      <c r="D87" t="s">
        <v>143</v>
      </c>
      <c r="E87">
        <v>18878978</v>
      </c>
      <c r="F87" t="s">
        <v>56</v>
      </c>
      <c r="G87" t="s">
        <v>57</v>
      </c>
      <c r="H87">
        <v>22200</v>
      </c>
      <c r="I87" t="s">
        <v>58</v>
      </c>
      <c r="J87">
        <v>1774.65</v>
      </c>
      <c r="K87">
        <v>-3.5516304347826035</v>
      </c>
      <c r="L87">
        <v>65</v>
      </c>
      <c r="M87">
        <v>1792.25</v>
      </c>
      <c r="N87">
        <v>650</v>
      </c>
      <c r="O87">
        <v>7280</v>
      </c>
      <c r="P87">
        <v>6890</v>
      </c>
      <c r="Q87">
        <v>520</v>
      </c>
      <c r="R87">
        <v>975</v>
      </c>
      <c r="S87">
        <v>520</v>
      </c>
      <c r="T87">
        <v>1816.5</v>
      </c>
      <c r="U87">
        <v>1823.1</v>
      </c>
      <c r="V87">
        <v>1748.4</v>
      </c>
      <c r="W87">
        <v>1840</v>
      </c>
      <c r="X87">
        <v>1816.8</v>
      </c>
      <c r="Y87">
        <v>260</v>
      </c>
      <c r="Z87">
        <v>1856.95</v>
      </c>
      <c r="AA87">
        <v>65</v>
      </c>
      <c r="AB87" s="6">
        <v>46147.586527777778</v>
      </c>
      <c r="AC87" s="6">
        <v>46147.52920138889</v>
      </c>
    </row>
    <row r="88" spans="1:29" x14ac:dyDescent="0.25">
      <c r="A88" t="s">
        <v>7</v>
      </c>
      <c r="B88" s="5">
        <v>46147</v>
      </c>
      <c r="C88" t="s">
        <v>54</v>
      </c>
      <c r="D88" t="s">
        <v>144</v>
      </c>
      <c r="E88">
        <v>18879234</v>
      </c>
      <c r="F88" t="s">
        <v>56</v>
      </c>
      <c r="G88" t="s">
        <v>57</v>
      </c>
      <c r="H88">
        <v>22200</v>
      </c>
      <c r="I88" t="s">
        <v>60</v>
      </c>
      <c r="J88">
        <v>0.05</v>
      </c>
      <c r="K88">
        <v>-88.888888888888886</v>
      </c>
      <c r="L88">
        <v>455</v>
      </c>
      <c r="M88">
        <v>0.28000000000000003</v>
      </c>
      <c r="N88">
        <v>1097655</v>
      </c>
      <c r="O88">
        <v>84500</v>
      </c>
      <c r="P88">
        <v>304785</v>
      </c>
      <c r="Q88">
        <v>255645</v>
      </c>
      <c r="R88">
        <v>491660</v>
      </c>
      <c r="S88">
        <v>255385</v>
      </c>
      <c r="T88">
        <v>0.7</v>
      </c>
      <c r="U88">
        <v>0.8</v>
      </c>
      <c r="V88">
        <v>0.05</v>
      </c>
      <c r="W88">
        <v>0.45</v>
      </c>
      <c r="X88">
        <v>0.05</v>
      </c>
      <c r="Y88">
        <v>84500</v>
      </c>
      <c r="Z88">
        <v>0.1</v>
      </c>
      <c r="AA88">
        <v>98150</v>
      </c>
      <c r="AB88" s="6">
        <v>46147.586215277777</v>
      </c>
      <c r="AC88" s="6">
        <v>46147.585451388892</v>
      </c>
    </row>
    <row r="89" spans="1:29" x14ac:dyDescent="0.25">
      <c r="A89" t="s">
        <v>7</v>
      </c>
      <c r="B89" s="5">
        <v>46147</v>
      </c>
      <c r="C89" t="s">
        <v>54</v>
      </c>
      <c r="D89" t="s">
        <v>145</v>
      </c>
      <c r="E89">
        <v>18879490</v>
      </c>
      <c r="F89" t="s">
        <v>56</v>
      </c>
      <c r="G89" t="s">
        <v>57</v>
      </c>
      <c r="H89">
        <v>22250</v>
      </c>
      <c r="I89" t="s">
        <v>58</v>
      </c>
      <c r="J89">
        <v>1561.05</v>
      </c>
      <c r="K89">
        <v>0</v>
      </c>
      <c r="L89">
        <v>65</v>
      </c>
      <c r="M89">
        <v>0</v>
      </c>
      <c r="N89">
        <v>0</v>
      </c>
      <c r="O89">
        <v>5395</v>
      </c>
      <c r="P89">
        <v>5525</v>
      </c>
      <c r="Q89">
        <v>585</v>
      </c>
      <c r="R89">
        <v>585</v>
      </c>
      <c r="S89">
        <v>585</v>
      </c>
      <c r="T89">
        <v>0</v>
      </c>
      <c r="U89">
        <v>0</v>
      </c>
      <c r="V89">
        <v>0</v>
      </c>
      <c r="W89">
        <v>1561.05</v>
      </c>
      <c r="X89">
        <v>1723.9</v>
      </c>
      <c r="Y89">
        <v>65</v>
      </c>
      <c r="Z89">
        <v>1911.75</v>
      </c>
      <c r="AA89">
        <v>65</v>
      </c>
      <c r="AB89" s="6">
        <v>46147.586527777778</v>
      </c>
      <c r="AC89" s="6">
        <v>46142.470034722224</v>
      </c>
    </row>
    <row r="90" spans="1:29" x14ac:dyDescent="0.25">
      <c r="A90" t="s">
        <v>7</v>
      </c>
      <c r="B90" s="5">
        <v>46147</v>
      </c>
      <c r="C90" t="s">
        <v>54</v>
      </c>
      <c r="D90" t="s">
        <v>146</v>
      </c>
      <c r="E90">
        <v>18879746</v>
      </c>
      <c r="F90" t="s">
        <v>56</v>
      </c>
      <c r="G90" t="s">
        <v>57</v>
      </c>
      <c r="H90">
        <v>22250</v>
      </c>
      <c r="I90" t="s">
        <v>60</v>
      </c>
      <c r="J90">
        <v>0.15</v>
      </c>
      <c r="K90">
        <v>-66.666666666666671</v>
      </c>
      <c r="L90">
        <v>65</v>
      </c>
      <c r="M90">
        <v>0.31</v>
      </c>
      <c r="N90">
        <v>191555</v>
      </c>
      <c r="O90">
        <v>368355</v>
      </c>
      <c r="P90">
        <v>61295</v>
      </c>
      <c r="Q90">
        <v>71435</v>
      </c>
      <c r="R90">
        <v>101595</v>
      </c>
      <c r="S90">
        <v>71435</v>
      </c>
      <c r="T90">
        <v>0.55000000000000004</v>
      </c>
      <c r="U90">
        <v>0.75</v>
      </c>
      <c r="V90">
        <v>0.1</v>
      </c>
      <c r="W90">
        <v>0.45</v>
      </c>
      <c r="X90">
        <v>0.1</v>
      </c>
      <c r="Y90">
        <v>28860</v>
      </c>
      <c r="Z90">
        <v>0.15</v>
      </c>
      <c r="AA90">
        <v>5135</v>
      </c>
      <c r="AB90" s="6">
        <v>46147.586377314816</v>
      </c>
      <c r="AC90" s="6">
        <v>46147.584629629629</v>
      </c>
    </row>
    <row r="91" spans="1:29" x14ac:dyDescent="0.25">
      <c r="A91" t="s">
        <v>7</v>
      </c>
      <c r="B91" s="5">
        <v>46147</v>
      </c>
      <c r="C91" t="s">
        <v>54</v>
      </c>
      <c r="D91" t="s">
        <v>147</v>
      </c>
      <c r="E91">
        <v>18880002</v>
      </c>
      <c r="F91" t="s">
        <v>56</v>
      </c>
      <c r="G91" t="s">
        <v>57</v>
      </c>
      <c r="H91">
        <v>22300</v>
      </c>
      <c r="I91" t="s">
        <v>58</v>
      </c>
      <c r="J91">
        <v>1833.85</v>
      </c>
      <c r="K91">
        <v>0</v>
      </c>
      <c r="L91">
        <v>65</v>
      </c>
      <c r="M91">
        <v>0</v>
      </c>
      <c r="N91">
        <v>0</v>
      </c>
      <c r="O91">
        <v>6435</v>
      </c>
      <c r="P91">
        <v>6240</v>
      </c>
      <c r="Q91">
        <v>195</v>
      </c>
      <c r="R91">
        <v>195</v>
      </c>
      <c r="S91">
        <v>195</v>
      </c>
      <c r="T91">
        <v>0</v>
      </c>
      <c r="U91">
        <v>0</v>
      </c>
      <c r="V91">
        <v>0</v>
      </c>
      <c r="W91">
        <v>1833.85</v>
      </c>
      <c r="X91">
        <v>1686.7</v>
      </c>
      <c r="Y91">
        <v>780</v>
      </c>
      <c r="Z91">
        <v>1862.9</v>
      </c>
      <c r="AA91">
        <v>780</v>
      </c>
      <c r="AB91" s="6">
        <v>46147.586527777778</v>
      </c>
      <c r="AC91" s="6">
        <v>46146.522812499999</v>
      </c>
    </row>
    <row r="92" spans="1:29" x14ac:dyDescent="0.25">
      <c r="A92" t="s">
        <v>7</v>
      </c>
      <c r="B92" s="5">
        <v>46147</v>
      </c>
      <c r="C92" t="s">
        <v>54</v>
      </c>
      <c r="D92" t="s">
        <v>148</v>
      </c>
      <c r="E92">
        <v>18880258</v>
      </c>
      <c r="F92" t="s">
        <v>56</v>
      </c>
      <c r="G92" t="s">
        <v>57</v>
      </c>
      <c r="H92">
        <v>22300</v>
      </c>
      <c r="I92" t="s">
        <v>60</v>
      </c>
      <c r="J92">
        <v>0.1</v>
      </c>
      <c r="K92">
        <v>-75</v>
      </c>
      <c r="L92">
        <v>1365</v>
      </c>
      <c r="M92">
        <v>0.28999999999999998</v>
      </c>
      <c r="N92">
        <v>832000</v>
      </c>
      <c r="O92">
        <v>1290900</v>
      </c>
      <c r="P92">
        <v>238160</v>
      </c>
      <c r="Q92">
        <v>255190</v>
      </c>
      <c r="R92">
        <v>449085</v>
      </c>
      <c r="S92">
        <v>255190</v>
      </c>
      <c r="T92">
        <v>0.6</v>
      </c>
      <c r="U92">
        <v>0.8</v>
      </c>
      <c r="V92">
        <v>0.1</v>
      </c>
      <c r="W92">
        <v>0.4</v>
      </c>
      <c r="X92">
        <v>0.1</v>
      </c>
      <c r="Y92">
        <v>133055</v>
      </c>
      <c r="Z92">
        <v>0.15</v>
      </c>
      <c r="AA92">
        <v>44850</v>
      </c>
      <c r="AB92" s="6">
        <v>46147.586435185185</v>
      </c>
      <c r="AC92" s="6">
        <v>46147.586180555554</v>
      </c>
    </row>
    <row r="93" spans="1:29" x14ac:dyDescent="0.25">
      <c r="A93" t="s">
        <v>7</v>
      </c>
      <c r="B93" s="5">
        <v>46147</v>
      </c>
      <c r="C93" t="s">
        <v>54</v>
      </c>
      <c r="D93" t="s">
        <v>149</v>
      </c>
      <c r="E93">
        <v>18880514</v>
      </c>
      <c r="F93" t="s">
        <v>56</v>
      </c>
      <c r="G93" t="s">
        <v>57</v>
      </c>
      <c r="H93">
        <v>22350</v>
      </c>
      <c r="I93" t="s">
        <v>58</v>
      </c>
      <c r="J93">
        <v>1684.1</v>
      </c>
      <c r="K93">
        <v>-13.872196793412945</v>
      </c>
      <c r="L93">
        <v>65</v>
      </c>
      <c r="M93">
        <v>1697.5</v>
      </c>
      <c r="N93">
        <v>130</v>
      </c>
      <c r="O93">
        <v>5915</v>
      </c>
      <c r="P93">
        <v>5785</v>
      </c>
      <c r="Q93">
        <v>130</v>
      </c>
      <c r="R93">
        <v>130</v>
      </c>
      <c r="S93">
        <v>65</v>
      </c>
      <c r="T93">
        <v>1710.9</v>
      </c>
      <c r="U93">
        <v>1710.9</v>
      </c>
      <c r="V93">
        <v>1684.1</v>
      </c>
      <c r="W93">
        <v>1955.35</v>
      </c>
      <c r="X93">
        <v>1671.8</v>
      </c>
      <c r="Y93">
        <v>65</v>
      </c>
      <c r="Z93">
        <v>1708.9</v>
      </c>
      <c r="AA93">
        <v>65</v>
      </c>
      <c r="AB93" s="6">
        <v>46147.586527777778</v>
      </c>
      <c r="AC93" s="6">
        <v>46147.392291666663</v>
      </c>
    </row>
    <row r="94" spans="1:29" x14ac:dyDescent="0.25">
      <c r="A94" t="s">
        <v>7</v>
      </c>
      <c r="B94" s="5">
        <v>46147</v>
      </c>
      <c r="C94" t="s">
        <v>54</v>
      </c>
      <c r="D94" t="s">
        <v>150</v>
      </c>
      <c r="E94">
        <v>18880770</v>
      </c>
      <c r="F94" t="s">
        <v>56</v>
      </c>
      <c r="G94" t="s">
        <v>57</v>
      </c>
      <c r="H94">
        <v>22350</v>
      </c>
      <c r="I94" t="s">
        <v>60</v>
      </c>
      <c r="J94">
        <v>0.05</v>
      </c>
      <c r="K94">
        <v>-87.5</v>
      </c>
      <c r="L94">
        <v>195</v>
      </c>
      <c r="M94">
        <v>0.26</v>
      </c>
      <c r="N94">
        <v>254540</v>
      </c>
      <c r="O94">
        <v>78390</v>
      </c>
      <c r="P94">
        <v>70330</v>
      </c>
      <c r="Q94">
        <v>95355</v>
      </c>
      <c r="R94">
        <v>109655</v>
      </c>
      <c r="S94">
        <v>81965</v>
      </c>
      <c r="T94">
        <v>0.35</v>
      </c>
      <c r="U94">
        <v>0.8</v>
      </c>
      <c r="V94">
        <v>0.05</v>
      </c>
      <c r="W94">
        <v>0.4</v>
      </c>
      <c r="X94">
        <v>0.05</v>
      </c>
      <c r="Y94">
        <v>78390</v>
      </c>
      <c r="Z94">
        <v>0.1</v>
      </c>
      <c r="AA94">
        <v>14625</v>
      </c>
      <c r="AB94" s="6">
        <v>46147.586423611108</v>
      </c>
      <c r="AC94" s="6">
        <v>46147.583831018521</v>
      </c>
    </row>
    <row r="95" spans="1:29" x14ac:dyDescent="0.25">
      <c r="A95" t="s">
        <v>7</v>
      </c>
      <c r="B95" s="5">
        <v>46147</v>
      </c>
      <c r="C95" t="s">
        <v>54</v>
      </c>
      <c r="D95" t="s">
        <v>151</v>
      </c>
      <c r="E95">
        <v>18881026</v>
      </c>
      <c r="F95" t="s">
        <v>56</v>
      </c>
      <c r="G95" t="s">
        <v>57</v>
      </c>
      <c r="H95">
        <v>22400</v>
      </c>
      <c r="I95" t="s">
        <v>58</v>
      </c>
      <c r="J95">
        <v>1500</v>
      </c>
      <c r="K95">
        <v>-16.380968308386986</v>
      </c>
      <c r="L95">
        <v>65</v>
      </c>
      <c r="M95">
        <v>1523.09</v>
      </c>
      <c r="N95">
        <v>520</v>
      </c>
      <c r="O95">
        <v>6630</v>
      </c>
      <c r="P95">
        <v>6110</v>
      </c>
      <c r="Q95">
        <v>650</v>
      </c>
      <c r="R95">
        <v>1040</v>
      </c>
      <c r="S95">
        <v>650</v>
      </c>
      <c r="T95">
        <v>1676.75</v>
      </c>
      <c r="U95">
        <v>1676.75</v>
      </c>
      <c r="V95">
        <v>1500</v>
      </c>
      <c r="W95">
        <v>1793.85</v>
      </c>
      <c r="X95">
        <v>1622.1</v>
      </c>
      <c r="Y95">
        <v>65</v>
      </c>
      <c r="Z95">
        <v>1653.6</v>
      </c>
      <c r="AA95">
        <v>65</v>
      </c>
      <c r="AB95" s="6">
        <v>46147.586504629631</v>
      </c>
      <c r="AC95" s="6">
        <v>46147.500798611109</v>
      </c>
    </row>
    <row r="96" spans="1:29" x14ac:dyDescent="0.25">
      <c r="A96" t="s">
        <v>7</v>
      </c>
      <c r="B96" s="5">
        <v>46147</v>
      </c>
      <c r="C96" t="s">
        <v>54</v>
      </c>
      <c r="D96" t="s">
        <v>152</v>
      </c>
      <c r="E96">
        <v>18922498</v>
      </c>
      <c r="F96" t="s">
        <v>56</v>
      </c>
      <c r="G96" t="s">
        <v>57</v>
      </c>
      <c r="H96">
        <v>22400</v>
      </c>
      <c r="I96" t="s">
        <v>60</v>
      </c>
      <c r="J96">
        <v>0.1</v>
      </c>
      <c r="K96">
        <v>-77.777777777777771</v>
      </c>
      <c r="L96">
        <v>130</v>
      </c>
      <c r="M96">
        <v>0.26</v>
      </c>
      <c r="N96">
        <v>1146340</v>
      </c>
      <c r="O96">
        <v>7020</v>
      </c>
      <c r="P96">
        <v>269035</v>
      </c>
      <c r="Q96">
        <v>268840</v>
      </c>
      <c r="R96">
        <v>332930</v>
      </c>
      <c r="S96">
        <v>268190</v>
      </c>
      <c r="T96">
        <v>0.75</v>
      </c>
      <c r="U96">
        <v>0.95</v>
      </c>
      <c r="V96">
        <v>0.05</v>
      </c>
      <c r="W96">
        <v>0.45</v>
      </c>
      <c r="X96">
        <v>0.05</v>
      </c>
      <c r="Y96">
        <v>7020</v>
      </c>
      <c r="Z96">
        <v>0.1</v>
      </c>
      <c r="AA96">
        <v>104455</v>
      </c>
      <c r="AB96" s="6">
        <v>46147.586493055554</v>
      </c>
      <c r="AC96" s="6">
        <v>46147.584780092591</v>
      </c>
    </row>
    <row r="97" spans="1:29" x14ac:dyDescent="0.25">
      <c r="A97" t="s">
        <v>7</v>
      </c>
      <c r="B97" s="5">
        <v>46147</v>
      </c>
      <c r="C97" t="s">
        <v>54</v>
      </c>
      <c r="D97" t="s">
        <v>153</v>
      </c>
      <c r="E97">
        <v>18922754</v>
      </c>
      <c r="F97" t="s">
        <v>56</v>
      </c>
      <c r="G97" t="s">
        <v>57</v>
      </c>
      <c r="H97">
        <v>22450</v>
      </c>
      <c r="I97" t="s">
        <v>58</v>
      </c>
      <c r="J97">
        <v>1431.85</v>
      </c>
      <c r="K97">
        <v>-25.329196109619051</v>
      </c>
      <c r="L97">
        <v>65</v>
      </c>
      <c r="M97">
        <v>1495</v>
      </c>
      <c r="N97">
        <v>130</v>
      </c>
      <c r="O97">
        <v>6240</v>
      </c>
      <c r="P97">
        <v>6110</v>
      </c>
      <c r="Q97">
        <v>195</v>
      </c>
      <c r="R97">
        <v>195</v>
      </c>
      <c r="S97">
        <v>130</v>
      </c>
      <c r="T97">
        <v>1558.15</v>
      </c>
      <c r="U97">
        <v>1558.15</v>
      </c>
      <c r="V97">
        <v>1431.85</v>
      </c>
      <c r="W97">
        <v>1917.55</v>
      </c>
      <c r="X97">
        <v>1571.8</v>
      </c>
      <c r="Y97">
        <v>65</v>
      </c>
      <c r="Z97">
        <v>1598.05</v>
      </c>
      <c r="AA97">
        <v>65</v>
      </c>
      <c r="AB97" s="6">
        <v>46147.586516203701</v>
      </c>
      <c r="AC97" s="6">
        <v>46147.496550925927</v>
      </c>
    </row>
    <row r="98" spans="1:29" x14ac:dyDescent="0.25">
      <c r="A98" t="s">
        <v>7</v>
      </c>
      <c r="B98" s="5">
        <v>46147</v>
      </c>
      <c r="C98" t="s">
        <v>54</v>
      </c>
      <c r="D98" t="s">
        <v>154</v>
      </c>
      <c r="E98">
        <v>18923010</v>
      </c>
      <c r="F98" t="s">
        <v>56</v>
      </c>
      <c r="G98" t="s">
        <v>57</v>
      </c>
      <c r="H98">
        <v>22450</v>
      </c>
      <c r="I98" t="s">
        <v>60</v>
      </c>
      <c r="J98">
        <v>0.1</v>
      </c>
      <c r="K98">
        <v>-77.777777777777771</v>
      </c>
      <c r="L98">
        <v>260</v>
      </c>
      <c r="M98">
        <v>0.26</v>
      </c>
      <c r="N98">
        <v>776685</v>
      </c>
      <c r="O98">
        <v>712660</v>
      </c>
      <c r="P98">
        <v>153465</v>
      </c>
      <c r="Q98">
        <v>152685</v>
      </c>
      <c r="R98">
        <v>230295</v>
      </c>
      <c r="S98">
        <v>152685</v>
      </c>
      <c r="T98">
        <v>0.5</v>
      </c>
      <c r="U98">
        <v>0.8</v>
      </c>
      <c r="V98">
        <v>0.1</v>
      </c>
      <c r="W98">
        <v>0.45</v>
      </c>
      <c r="X98">
        <v>0.1</v>
      </c>
      <c r="Y98">
        <v>21840</v>
      </c>
      <c r="Z98">
        <v>0.15</v>
      </c>
      <c r="AA98">
        <v>29575</v>
      </c>
      <c r="AB98" s="6">
        <v>46147.586527777778</v>
      </c>
      <c r="AC98" s="6">
        <v>46147.586157407408</v>
      </c>
    </row>
    <row r="99" spans="1:29" x14ac:dyDescent="0.25">
      <c r="A99" t="s">
        <v>7</v>
      </c>
      <c r="B99" s="5">
        <v>46147</v>
      </c>
      <c r="C99" t="s">
        <v>54</v>
      </c>
      <c r="D99" t="s">
        <v>155</v>
      </c>
      <c r="E99">
        <v>18923266</v>
      </c>
      <c r="F99" t="s">
        <v>56</v>
      </c>
      <c r="G99" t="s">
        <v>57</v>
      </c>
      <c r="H99">
        <v>22500</v>
      </c>
      <c r="I99" t="s">
        <v>58</v>
      </c>
      <c r="J99">
        <v>1545</v>
      </c>
      <c r="K99">
        <v>-6.3182148920688839</v>
      </c>
      <c r="L99">
        <v>65</v>
      </c>
      <c r="M99">
        <v>1511.21</v>
      </c>
      <c r="N99">
        <v>10725</v>
      </c>
      <c r="O99">
        <v>12935</v>
      </c>
      <c r="P99">
        <v>13325</v>
      </c>
      <c r="Q99">
        <v>7020</v>
      </c>
      <c r="R99">
        <v>13065</v>
      </c>
      <c r="S99">
        <v>7020</v>
      </c>
      <c r="T99">
        <v>1566.7</v>
      </c>
      <c r="U99">
        <v>1573.15</v>
      </c>
      <c r="V99">
        <v>1397.95</v>
      </c>
      <c r="W99">
        <v>1649.2</v>
      </c>
      <c r="X99">
        <v>1532.9</v>
      </c>
      <c r="Y99">
        <v>130</v>
      </c>
      <c r="Z99">
        <v>1542.2</v>
      </c>
      <c r="AA99">
        <v>65</v>
      </c>
      <c r="AB99" s="6">
        <v>46147.586504629631</v>
      </c>
      <c r="AC99" s="6">
        <v>46147.583240740743</v>
      </c>
    </row>
    <row r="100" spans="1:29" x14ac:dyDescent="0.25">
      <c r="A100" t="s">
        <v>7</v>
      </c>
      <c r="B100" s="5">
        <v>46147</v>
      </c>
      <c r="C100" t="s">
        <v>54</v>
      </c>
      <c r="D100" t="s">
        <v>156</v>
      </c>
      <c r="E100">
        <v>18933762</v>
      </c>
      <c r="F100" t="s">
        <v>56</v>
      </c>
      <c r="G100" t="s">
        <v>57</v>
      </c>
      <c r="H100">
        <v>22500</v>
      </c>
      <c r="I100" t="s">
        <v>60</v>
      </c>
      <c r="J100">
        <v>0.1</v>
      </c>
      <c r="K100">
        <v>-77.777777777777771</v>
      </c>
      <c r="L100">
        <v>65</v>
      </c>
      <c r="M100">
        <v>0.28999999999999998</v>
      </c>
      <c r="N100">
        <v>9038575</v>
      </c>
      <c r="O100">
        <v>3914495</v>
      </c>
      <c r="P100">
        <v>1275040</v>
      </c>
      <c r="Q100">
        <v>2935985</v>
      </c>
      <c r="R100">
        <v>3352700</v>
      </c>
      <c r="S100">
        <v>2779595</v>
      </c>
      <c r="T100">
        <v>0.45</v>
      </c>
      <c r="U100">
        <v>0.45</v>
      </c>
      <c r="V100">
        <v>0.1</v>
      </c>
      <c r="W100">
        <v>0.45</v>
      </c>
      <c r="X100">
        <v>0.1</v>
      </c>
      <c r="Y100">
        <v>640900</v>
      </c>
      <c r="Z100">
        <v>0.15</v>
      </c>
      <c r="AA100">
        <v>590330</v>
      </c>
      <c r="AB100" s="6">
        <v>46147.586458333331</v>
      </c>
      <c r="AC100" s="6">
        <v>46147.586435185185</v>
      </c>
    </row>
    <row r="101" spans="1:29" x14ac:dyDescent="0.25">
      <c r="A101" t="s">
        <v>7</v>
      </c>
      <c r="B101" s="5">
        <v>46147</v>
      </c>
      <c r="C101" t="s">
        <v>54</v>
      </c>
      <c r="D101" t="s">
        <v>157</v>
      </c>
      <c r="E101">
        <v>18934018</v>
      </c>
      <c r="F101" t="s">
        <v>56</v>
      </c>
      <c r="G101" t="s">
        <v>57</v>
      </c>
      <c r="H101">
        <v>22550</v>
      </c>
      <c r="I101" t="s">
        <v>58</v>
      </c>
      <c r="J101">
        <v>1499</v>
      </c>
      <c r="K101">
        <v>-7.3347139368837562</v>
      </c>
      <c r="L101">
        <v>65</v>
      </c>
      <c r="M101">
        <v>1467.41</v>
      </c>
      <c r="N101">
        <v>1170</v>
      </c>
      <c r="O101">
        <v>8320</v>
      </c>
      <c r="P101">
        <v>7930</v>
      </c>
      <c r="Q101">
        <v>65</v>
      </c>
      <c r="R101">
        <v>455</v>
      </c>
      <c r="S101">
        <v>65</v>
      </c>
      <c r="T101">
        <v>1475.95</v>
      </c>
      <c r="U101">
        <v>1524</v>
      </c>
      <c r="V101">
        <v>1400</v>
      </c>
      <c r="W101">
        <v>1617.65</v>
      </c>
      <c r="X101">
        <v>1460</v>
      </c>
      <c r="Y101">
        <v>780</v>
      </c>
      <c r="Z101">
        <v>1500.7</v>
      </c>
      <c r="AA101">
        <v>130</v>
      </c>
      <c r="AB101" s="6">
        <v>46147.586458333331</v>
      </c>
      <c r="AC101" s="6">
        <v>46147.577175925922</v>
      </c>
    </row>
    <row r="102" spans="1:29" x14ac:dyDescent="0.25">
      <c r="A102" t="s">
        <v>7</v>
      </c>
      <c r="B102" s="5">
        <v>46147</v>
      </c>
      <c r="C102" t="s">
        <v>54</v>
      </c>
      <c r="D102" t="s">
        <v>158</v>
      </c>
      <c r="E102">
        <v>18935042</v>
      </c>
      <c r="F102" t="s">
        <v>56</v>
      </c>
      <c r="G102" t="s">
        <v>57</v>
      </c>
      <c r="H102">
        <v>22550</v>
      </c>
      <c r="I102" t="s">
        <v>60</v>
      </c>
      <c r="J102">
        <v>0.1</v>
      </c>
      <c r="K102">
        <v>-80</v>
      </c>
      <c r="L102">
        <v>130</v>
      </c>
      <c r="M102">
        <v>0.3</v>
      </c>
      <c r="N102">
        <v>1579825</v>
      </c>
      <c r="O102">
        <v>84175</v>
      </c>
      <c r="P102">
        <v>196755</v>
      </c>
      <c r="Q102">
        <v>195520</v>
      </c>
      <c r="R102">
        <v>331565</v>
      </c>
      <c r="S102">
        <v>158275</v>
      </c>
      <c r="T102">
        <v>0.5</v>
      </c>
      <c r="U102">
        <v>0.65</v>
      </c>
      <c r="V102">
        <v>0.05</v>
      </c>
      <c r="W102">
        <v>0.5</v>
      </c>
      <c r="X102">
        <v>0.05</v>
      </c>
      <c r="Y102">
        <v>84175</v>
      </c>
      <c r="Z102">
        <v>0.1</v>
      </c>
      <c r="AA102">
        <v>20800</v>
      </c>
      <c r="AB102" s="6">
        <v>46147.586053240739</v>
      </c>
      <c r="AC102" s="6">
        <v>46147.583333333336</v>
      </c>
    </row>
    <row r="103" spans="1:29" x14ac:dyDescent="0.25">
      <c r="A103" t="s">
        <v>7</v>
      </c>
      <c r="B103" s="5">
        <v>46147</v>
      </c>
      <c r="C103" t="s">
        <v>54</v>
      </c>
      <c r="D103" t="s">
        <v>159</v>
      </c>
      <c r="E103">
        <v>18936322</v>
      </c>
      <c r="F103" t="s">
        <v>56</v>
      </c>
      <c r="G103" t="s">
        <v>57</v>
      </c>
      <c r="H103">
        <v>22600</v>
      </c>
      <c r="I103" t="s">
        <v>58</v>
      </c>
      <c r="J103">
        <v>1458.4</v>
      </c>
      <c r="K103">
        <v>-6.4438528402347774</v>
      </c>
      <c r="L103">
        <v>65</v>
      </c>
      <c r="M103">
        <v>1487.05</v>
      </c>
      <c r="N103">
        <v>130</v>
      </c>
      <c r="O103">
        <v>8450</v>
      </c>
      <c r="P103">
        <v>8710</v>
      </c>
      <c r="Q103">
        <v>585</v>
      </c>
      <c r="R103">
        <v>585</v>
      </c>
      <c r="S103">
        <v>585</v>
      </c>
      <c r="T103">
        <v>1515.7</v>
      </c>
      <c r="U103">
        <v>1515.7</v>
      </c>
      <c r="V103">
        <v>1458.4</v>
      </c>
      <c r="W103">
        <v>1558.85</v>
      </c>
      <c r="X103">
        <v>1429.55</v>
      </c>
      <c r="Y103">
        <v>65</v>
      </c>
      <c r="Z103">
        <v>1454.55</v>
      </c>
      <c r="AA103">
        <v>130</v>
      </c>
      <c r="AB103" s="6">
        <v>46147.586527777778</v>
      </c>
      <c r="AC103" s="6">
        <v>46147.57644675926</v>
      </c>
    </row>
    <row r="104" spans="1:29" x14ac:dyDescent="0.25">
      <c r="A104" t="s">
        <v>7</v>
      </c>
      <c r="B104" s="5">
        <v>46147</v>
      </c>
      <c r="C104" t="s">
        <v>54</v>
      </c>
      <c r="D104" t="s">
        <v>160</v>
      </c>
      <c r="E104">
        <v>18936578</v>
      </c>
      <c r="F104" t="s">
        <v>56</v>
      </c>
      <c r="G104" t="s">
        <v>57</v>
      </c>
      <c r="H104">
        <v>22600</v>
      </c>
      <c r="I104" t="s">
        <v>60</v>
      </c>
      <c r="J104">
        <v>0.1</v>
      </c>
      <c r="K104">
        <v>-80</v>
      </c>
      <c r="L104">
        <v>65</v>
      </c>
      <c r="M104">
        <v>0.28000000000000003</v>
      </c>
      <c r="N104">
        <v>2553070</v>
      </c>
      <c r="O104">
        <v>2095080</v>
      </c>
      <c r="P104">
        <v>452075</v>
      </c>
      <c r="Q104">
        <v>524810</v>
      </c>
      <c r="R104">
        <v>803920</v>
      </c>
      <c r="S104">
        <v>524810</v>
      </c>
      <c r="T104">
        <v>0.45</v>
      </c>
      <c r="U104">
        <v>0.75</v>
      </c>
      <c r="V104">
        <v>0.1</v>
      </c>
      <c r="W104">
        <v>0.5</v>
      </c>
      <c r="X104">
        <v>0.1</v>
      </c>
      <c r="Y104">
        <v>115440</v>
      </c>
      <c r="Z104">
        <v>0.15</v>
      </c>
      <c r="AA104">
        <v>125775</v>
      </c>
      <c r="AB104" s="6">
        <v>46147.586458333331</v>
      </c>
      <c r="AC104" s="6">
        <v>46147.586261574077</v>
      </c>
    </row>
    <row r="105" spans="1:29" x14ac:dyDescent="0.25">
      <c r="A105" t="s">
        <v>7</v>
      </c>
      <c r="B105" s="5">
        <v>46147</v>
      </c>
      <c r="C105" t="s">
        <v>54</v>
      </c>
      <c r="D105" t="s">
        <v>161</v>
      </c>
      <c r="E105">
        <v>18939650</v>
      </c>
      <c r="F105" t="s">
        <v>56</v>
      </c>
      <c r="G105" t="s">
        <v>57</v>
      </c>
      <c r="H105">
        <v>22650</v>
      </c>
      <c r="I105" t="s">
        <v>58</v>
      </c>
      <c r="J105">
        <v>1279.95</v>
      </c>
      <c r="K105">
        <v>-8.2966147232670586</v>
      </c>
      <c r="L105">
        <v>65</v>
      </c>
      <c r="M105">
        <v>1338.11</v>
      </c>
      <c r="N105">
        <v>195</v>
      </c>
      <c r="O105">
        <v>8840</v>
      </c>
      <c r="P105">
        <v>8515</v>
      </c>
      <c r="Q105">
        <v>195</v>
      </c>
      <c r="R105">
        <v>260</v>
      </c>
      <c r="S105">
        <v>195</v>
      </c>
      <c r="T105">
        <v>1423.95</v>
      </c>
      <c r="U105">
        <v>1423.95</v>
      </c>
      <c r="V105">
        <v>1279.95</v>
      </c>
      <c r="W105">
        <v>1395.75</v>
      </c>
      <c r="X105">
        <v>1362.6</v>
      </c>
      <c r="Y105">
        <v>780</v>
      </c>
      <c r="Z105">
        <v>1399.5</v>
      </c>
      <c r="AA105">
        <v>65</v>
      </c>
      <c r="AB105" s="6">
        <v>46147.586435185185</v>
      </c>
      <c r="AC105" s="6">
        <v>46147.443472222221</v>
      </c>
    </row>
    <row r="106" spans="1:29" x14ac:dyDescent="0.25">
      <c r="A106" t="s">
        <v>7</v>
      </c>
      <c r="B106" s="5">
        <v>46147</v>
      </c>
      <c r="C106" t="s">
        <v>54</v>
      </c>
      <c r="D106" t="s">
        <v>162</v>
      </c>
      <c r="E106">
        <v>18940930</v>
      </c>
      <c r="F106" t="s">
        <v>56</v>
      </c>
      <c r="G106" t="s">
        <v>57</v>
      </c>
      <c r="H106">
        <v>22650</v>
      </c>
      <c r="I106" t="s">
        <v>60</v>
      </c>
      <c r="J106">
        <v>0.1</v>
      </c>
      <c r="K106">
        <v>-81.818181818181827</v>
      </c>
      <c r="L106">
        <v>975</v>
      </c>
      <c r="M106">
        <v>0.3</v>
      </c>
      <c r="N106">
        <v>694200</v>
      </c>
      <c r="O106">
        <v>1142375</v>
      </c>
      <c r="P106">
        <v>200005</v>
      </c>
      <c r="Q106">
        <v>270530</v>
      </c>
      <c r="R106">
        <v>322335</v>
      </c>
      <c r="S106">
        <v>270400</v>
      </c>
      <c r="T106">
        <v>0.55000000000000004</v>
      </c>
      <c r="U106">
        <v>0.6</v>
      </c>
      <c r="V106">
        <v>0.1</v>
      </c>
      <c r="W106">
        <v>0.55000000000000004</v>
      </c>
      <c r="X106">
        <v>0.1</v>
      </c>
      <c r="Y106">
        <v>65000</v>
      </c>
      <c r="Z106">
        <v>0.15</v>
      </c>
      <c r="AA106">
        <v>75985</v>
      </c>
      <c r="AB106" s="6">
        <v>46147.586435185185</v>
      </c>
      <c r="AC106" s="6">
        <v>46147.586180555554</v>
      </c>
    </row>
    <row r="107" spans="1:29" x14ac:dyDescent="0.25">
      <c r="A107" t="s">
        <v>7</v>
      </c>
      <c r="B107" s="5">
        <v>46147</v>
      </c>
      <c r="C107" t="s">
        <v>54</v>
      </c>
      <c r="D107" t="s">
        <v>163</v>
      </c>
      <c r="E107">
        <v>18941186</v>
      </c>
      <c r="F107" t="s">
        <v>56</v>
      </c>
      <c r="G107" t="s">
        <v>57</v>
      </c>
      <c r="H107">
        <v>22700</v>
      </c>
      <c r="I107" t="s">
        <v>58</v>
      </c>
      <c r="J107">
        <v>1370.65</v>
      </c>
      <c r="K107">
        <v>-4.8721240934170682</v>
      </c>
      <c r="L107">
        <v>130</v>
      </c>
      <c r="M107">
        <v>1342.36</v>
      </c>
      <c r="N107">
        <v>1820</v>
      </c>
      <c r="O107">
        <v>9295</v>
      </c>
      <c r="P107">
        <v>9100</v>
      </c>
      <c r="Q107">
        <v>2340</v>
      </c>
      <c r="R107">
        <v>3380</v>
      </c>
      <c r="S107">
        <v>2340</v>
      </c>
      <c r="T107">
        <v>1360</v>
      </c>
      <c r="U107">
        <v>1370.65</v>
      </c>
      <c r="V107">
        <v>1293.5</v>
      </c>
      <c r="W107">
        <v>1440.85</v>
      </c>
      <c r="X107">
        <v>1316.1</v>
      </c>
      <c r="Y107">
        <v>780</v>
      </c>
      <c r="Z107">
        <v>1348.9</v>
      </c>
      <c r="AA107">
        <v>130</v>
      </c>
      <c r="AB107" s="6">
        <v>46147.586423611108</v>
      </c>
      <c r="AC107" s="6">
        <v>46147.550787037035</v>
      </c>
    </row>
    <row r="108" spans="1:29" x14ac:dyDescent="0.25">
      <c r="A108" t="s">
        <v>7</v>
      </c>
      <c r="B108" s="5">
        <v>46147</v>
      </c>
      <c r="C108" t="s">
        <v>54</v>
      </c>
      <c r="D108" t="s">
        <v>164</v>
      </c>
      <c r="E108">
        <v>18941954</v>
      </c>
      <c r="F108" t="s">
        <v>56</v>
      </c>
      <c r="G108" t="s">
        <v>57</v>
      </c>
      <c r="H108">
        <v>22700</v>
      </c>
      <c r="I108" t="s">
        <v>60</v>
      </c>
      <c r="J108">
        <v>0.1</v>
      </c>
      <c r="K108">
        <v>-80</v>
      </c>
      <c r="L108">
        <v>65</v>
      </c>
      <c r="M108">
        <v>0.32</v>
      </c>
      <c r="N108">
        <v>2780635</v>
      </c>
      <c r="O108">
        <v>2506400</v>
      </c>
      <c r="P108">
        <v>382720</v>
      </c>
      <c r="Q108">
        <v>589420</v>
      </c>
      <c r="R108">
        <v>940875</v>
      </c>
      <c r="S108">
        <v>589420</v>
      </c>
      <c r="T108">
        <v>0.3</v>
      </c>
      <c r="U108">
        <v>0.7</v>
      </c>
      <c r="V108">
        <v>0.1</v>
      </c>
      <c r="W108">
        <v>0.5</v>
      </c>
      <c r="X108">
        <v>0.1</v>
      </c>
      <c r="Y108">
        <v>307450</v>
      </c>
      <c r="Z108">
        <v>0.15</v>
      </c>
      <c r="AA108">
        <v>64350</v>
      </c>
      <c r="AB108" s="6">
        <v>46147.586423611108</v>
      </c>
      <c r="AC108" s="6">
        <v>46147.584907407407</v>
      </c>
    </row>
    <row r="109" spans="1:29" x14ac:dyDescent="0.25">
      <c r="A109" t="s">
        <v>7</v>
      </c>
      <c r="B109" s="5">
        <v>46147</v>
      </c>
      <c r="C109" t="s">
        <v>54</v>
      </c>
      <c r="D109" t="s">
        <v>165</v>
      </c>
      <c r="E109">
        <v>18942210</v>
      </c>
      <c r="F109" t="s">
        <v>56</v>
      </c>
      <c r="G109" t="s">
        <v>57</v>
      </c>
      <c r="H109">
        <v>22750</v>
      </c>
      <c r="I109" t="s">
        <v>58</v>
      </c>
      <c r="J109">
        <v>1470</v>
      </c>
      <c r="K109">
        <v>0</v>
      </c>
      <c r="L109">
        <v>65</v>
      </c>
      <c r="M109">
        <v>0</v>
      </c>
      <c r="N109">
        <v>0</v>
      </c>
      <c r="O109">
        <v>7735</v>
      </c>
      <c r="P109">
        <v>8190</v>
      </c>
      <c r="Q109">
        <v>1430</v>
      </c>
      <c r="R109">
        <v>1430</v>
      </c>
      <c r="S109">
        <v>1430</v>
      </c>
      <c r="T109">
        <v>0</v>
      </c>
      <c r="U109">
        <v>0</v>
      </c>
      <c r="V109">
        <v>0</v>
      </c>
      <c r="W109">
        <v>1470</v>
      </c>
      <c r="X109">
        <v>1248.9000000000001</v>
      </c>
      <c r="Y109">
        <v>2535</v>
      </c>
      <c r="Z109">
        <v>1347.8</v>
      </c>
      <c r="AA109">
        <v>2535</v>
      </c>
      <c r="AB109" s="6">
        <v>46147.586493055554</v>
      </c>
      <c r="AC109" s="6">
        <v>46146.50576388889</v>
      </c>
    </row>
    <row r="110" spans="1:29" x14ac:dyDescent="0.25">
      <c r="A110" t="s">
        <v>7</v>
      </c>
      <c r="B110" s="5">
        <v>46147</v>
      </c>
      <c r="C110" t="s">
        <v>54</v>
      </c>
      <c r="D110" t="s">
        <v>166</v>
      </c>
      <c r="E110">
        <v>18944002</v>
      </c>
      <c r="F110" t="s">
        <v>56</v>
      </c>
      <c r="G110" t="s">
        <v>57</v>
      </c>
      <c r="H110">
        <v>22750</v>
      </c>
      <c r="I110" t="s">
        <v>60</v>
      </c>
      <c r="J110">
        <v>0.1</v>
      </c>
      <c r="K110">
        <v>-83.333333333333343</v>
      </c>
      <c r="L110">
        <v>910</v>
      </c>
      <c r="M110">
        <v>0.35</v>
      </c>
      <c r="N110">
        <v>3039270</v>
      </c>
      <c r="O110">
        <v>1939015</v>
      </c>
      <c r="P110">
        <v>326625</v>
      </c>
      <c r="Q110">
        <v>586235</v>
      </c>
      <c r="R110">
        <v>651885</v>
      </c>
      <c r="S110">
        <v>244270</v>
      </c>
      <c r="T110">
        <v>0.8</v>
      </c>
      <c r="U110">
        <v>0.95</v>
      </c>
      <c r="V110">
        <v>0.1</v>
      </c>
      <c r="W110">
        <v>0.6</v>
      </c>
      <c r="X110">
        <v>0.1</v>
      </c>
      <c r="Y110">
        <v>363285</v>
      </c>
      <c r="Z110">
        <v>0.15</v>
      </c>
      <c r="AA110">
        <v>74620</v>
      </c>
      <c r="AB110" s="6">
        <v>46147.586493055554</v>
      </c>
      <c r="AC110" s="6">
        <v>46147.586180555554</v>
      </c>
    </row>
    <row r="111" spans="1:29" x14ac:dyDescent="0.25">
      <c r="A111" t="s">
        <v>7</v>
      </c>
      <c r="B111" s="5">
        <v>46147</v>
      </c>
      <c r="C111" t="s">
        <v>54</v>
      </c>
      <c r="D111" t="s">
        <v>167</v>
      </c>
      <c r="E111">
        <v>18944258</v>
      </c>
      <c r="F111" t="s">
        <v>56</v>
      </c>
      <c r="G111" t="s">
        <v>57</v>
      </c>
      <c r="H111">
        <v>22800</v>
      </c>
      <c r="I111" t="s">
        <v>58</v>
      </c>
      <c r="J111">
        <v>1230.8</v>
      </c>
      <c r="K111">
        <v>-9.6494769682510579</v>
      </c>
      <c r="L111">
        <v>65</v>
      </c>
      <c r="M111">
        <v>1224.48</v>
      </c>
      <c r="N111">
        <v>5655</v>
      </c>
      <c r="O111">
        <v>11765</v>
      </c>
      <c r="P111">
        <v>11830</v>
      </c>
      <c r="Q111">
        <v>4485</v>
      </c>
      <c r="R111">
        <v>6500</v>
      </c>
      <c r="S111">
        <v>4485</v>
      </c>
      <c r="T111">
        <v>1250</v>
      </c>
      <c r="U111">
        <v>1260</v>
      </c>
      <c r="V111">
        <v>1090.8</v>
      </c>
      <c r="W111">
        <v>1362.25</v>
      </c>
      <c r="X111">
        <v>1237.2</v>
      </c>
      <c r="Y111">
        <v>130</v>
      </c>
      <c r="Z111">
        <v>1244.6500000000001</v>
      </c>
      <c r="AA111">
        <v>195</v>
      </c>
      <c r="AB111" s="6">
        <v>46147.586504629631</v>
      </c>
      <c r="AC111" s="6">
        <v>46147.586134259262</v>
      </c>
    </row>
    <row r="112" spans="1:29" x14ac:dyDescent="0.25">
      <c r="A112" t="s">
        <v>7</v>
      </c>
      <c r="B112" s="5">
        <v>46147</v>
      </c>
      <c r="C112" t="s">
        <v>54</v>
      </c>
      <c r="D112" t="s">
        <v>168</v>
      </c>
      <c r="E112">
        <v>18949122</v>
      </c>
      <c r="F112" t="s">
        <v>56</v>
      </c>
      <c r="G112" t="s">
        <v>57</v>
      </c>
      <c r="H112">
        <v>22800</v>
      </c>
      <c r="I112" t="s">
        <v>60</v>
      </c>
      <c r="J112">
        <v>0.1</v>
      </c>
      <c r="K112">
        <v>-83.333333333333343</v>
      </c>
      <c r="L112">
        <v>65</v>
      </c>
      <c r="M112">
        <v>0.31</v>
      </c>
      <c r="N112">
        <v>12416690</v>
      </c>
      <c r="O112">
        <v>5677035</v>
      </c>
      <c r="P112">
        <v>2031250</v>
      </c>
      <c r="Q112">
        <v>1663090</v>
      </c>
      <c r="R112">
        <v>2727335</v>
      </c>
      <c r="S112">
        <v>1663090</v>
      </c>
      <c r="T112">
        <v>1</v>
      </c>
      <c r="U112">
        <v>1</v>
      </c>
      <c r="V112">
        <v>0.1</v>
      </c>
      <c r="W112">
        <v>0.6</v>
      </c>
      <c r="X112">
        <v>0.1</v>
      </c>
      <c r="Y112">
        <v>574275</v>
      </c>
      <c r="Z112">
        <v>0.15</v>
      </c>
      <c r="AA112">
        <v>501735</v>
      </c>
      <c r="AB112" s="6">
        <v>46147.586527777778</v>
      </c>
      <c r="AC112" s="6">
        <v>46147.586446759262</v>
      </c>
    </row>
    <row r="113" spans="1:29" x14ac:dyDescent="0.25">
      <c r="A113" t="s">
        <v>7</v>
      </c>
      <c r="B113" s="5">
        <v>46147</v>
      </c>
      <c r="C113" t="s">
        <v>54</v>
      </c>
      <c r="D113" t="s">
        <v>169</v>
      </c>
      <c r="E113">
        <v>18949378</v>
      </c>
      <c r="F113" t="s">
        <v>56</v>
      </c>
      <c r="G113" t="s">
        <v>57</v>
      </c>
      <c r="H113">
        <v>22850</v>
      </c>
      <c r="I113" t="s">
        <v>58</v>
      </c>
      <c r="J113">
        <v>1149.7</v>
      </c>
      <c r="K113">
        <v>-11.998162960695012</v>
      </c>
      <c r="L113">
        <v>65</v>
      </c>
      <c r="M113">
        <v>1152.5999999999999</v>
      </c>
      <c r="N113">
        <v>1625</v>
      </c>
      <c r="O113">
        <v>8125</v>
      </c>
      <c r="P113">
        <v>7735</v>
      </c>
      <c r="Q113">
        <v>910</v>
      </c>
      <c r="R113">
        <v>1170</v>
      </c>
      <c r="S113">
        <v>845</v>
      </c>
      <c r="T113">
        <v>1205.45</v>
      </c>
      <c r="U113">
        <v>1205.45</v>
      </c>
      <c r="V113">
        <v>1082.6500000000001</v>
      </c>
      <c r="W113">
        <v>1306.45</v>
      </c>
      <c r="X113">
        <v>1175.1500000000001</v>
      </c>
      <c r="Y113">
        <v>65</v>
      </c>
      <c r="Z113">
        <v>1192.75</v>
      </c>
      <c r="AA113">
        <v>130</v>
      </c>
      <c r="AB113" s="6">
        <v>46147.586446759262</v>
      </c>
      <c r="AC113" s="6">
        <v>46147.536724537036</v>
      </c>
    </row>
    <row r="114" spans="1:29" x14ac:dyDescent="0.25">
      <c r="A114" t="s">
        <v>7</v>
      </c>
      <c r="B114" s="5">
        <v>46147</v>
      </c>
      <c r="C114" t="s">
        <v>54</v>
      </c>
      <c r="D114" t="s">
        <v>170</v>
      </c>
      <c r="E114">
        <v>18962178</v>
      </c>
      <c r="F114" t="s">
        <v>56</v>
      </c>
      <c r="G114" t="s">
        <v>57</v>
      </c>
      <c r="H114">
        <v>22850</v>
      </c>
      <c r="I114" t="s">
        <v>60</v>
      </c>
      <c r="J114">
        <v>0.1</v>
      </c>
      <c r="K114">
        <v>-84.615384615384627</v>
      </c>
      <c r="L114">
        <v>65</v>
      </c>
      <c r="M114">
        <v>0.33</v>
      </c>
      <c r="N114">
        <v>2542800</v>
      </c>
      <c r="O114">
        <v>3639610</v>
      </c>
      <c r="P114">
        <v>1120665</v>
      </c>
      <c r="Q114">
        <v>468520</v>
      </c>
      <c r="R114">
        <v>537485</v>
      </c>
      <c r="S114">
        <v>290940</v>
      </c>
      <c r="T114">
        <v>0.6</v>
      </c>
      <c r="U114">
        <v>0.6</v>
      </c>
      <c r="V114">
        <v>0.1</v>
      </c>
      <c r="W114">
        <v>0.65</v>
      </c>
      <c r="X114">
        <v>0.1</v>
      </c>
      <c r="Y114">
        <v>96590</v>
      </c>
      <c r="Z114">
        <v>0.15</v>
      </c>
      <c r="AA114">
        <v>229515</v>
      </c>
      <c r="AB114" s="6">
        <v>46147.586446759262</v>
      </c>
      <c r="AC114" s="6">
        <v>46147.586238425924</v>
      </c>
    </row>
    <row r="115" spans="1:29" x14ac:dyDescent="0.25">
      <c r="A115" t="s">
        <v>7</v>
      </c>
      <c r="B115" s="5">
        <v>46147</v>
      </c>
      <c r="C115" t="s">
        <v>54</v>
      </c>
      <c r="D115" t="s">
        <v>171</v>
      </c>
      <c r="E115">
        <v>18962434</v>
      </c>
      <c r="F115" t="s">
        <v>56</v>
      </c>
      <c r="G115" t="s">
        <v>57</v>
      </c>
      <c r="H115">
        <v>22900</v>
      </c>
      <c r="I115" t="s">
        <v>58</v>
      </c>
      <c r="J115">
        <v>1147</v>
      </c>
      <c r="K115">
        <v>-8.3463182708058685</v>
      </c>
      <c r="L115">
        <v>195</v>
      </c>
      <c r="M115">
        <v>1103.44</v>
      </c>
      <c r="N115">
        <v>1950</v>
      </c>
      <c r="O115">
        <v>10400</v>
      </c>
      <c r="P115">
        <v>10205</v>
      </c>
      <c r="Q115">
        <v>3705</v>
      </c>
      <c r="R115">
        <v>4485</v>
      </c>
      <c r="S115">
        <v>3705</v>
      </c>
      <c r="T115">
        <v>1130</v>
      </c>
      <c r="U115">
        <v>1180</v>
      </c>
      <c r="V115">
        <v>980</v>
      </c>
      <c r="W115">
        <v>1251.45</v>
      </c>
      <c r="X115">
        <v>1134.4000000000001</v>
      </c>
      <c r="Y115">
        <v>65</v>
      </c>
      <c r="Z115">
        <v>1144.0999999999999</v>
      </c>
      <c r="AA115">
        <v>325</v>
      </c>
      <c r="AB115" s="6">
        <v>46147.586527777778</v>
      </c>
      <c r="AC115" s="6">
        <v>46147.582280092596</v>
      </c>
    </row>
    <row r="116" spans="1:29" x14ac:dyDescent="0.25">
      <c r="A116" t="s">
        <v>7</v>
      </c>
      <c r="B116" s="5">
        <v>46147</v>
      </c>
      <c r="C116" t="s">
        <v>54</v>
      </c>
      <c r="D116" t="s">
        <v>172</v>
      </c>
      <c r="E116">
        <v>18962690</v>
      </c>
      <c r="F116" t="s">
        <v>56</v>
      </c>
      <c r="G116" t="s">
        <v>57</v>
      </c>
      <c r="H116">
        <v>22900</v>
      </c>
      <c r="I116" t="s">
        <v>60</v>
      </c>
      <c r="J116">
        <v>0.1</v>
      </c>
      <c r="K116">
        <v>-85.714285714285722</v>
      </c>
      <c r="L116">
        <v>65</v>
      </c>
      <c r="M116">
        <v>0.34</v>
      </c>
      <c r="N116">
        <v>7795840</v>
      </c>
      <c r="O116">
        <v>5126290</v>
      </c>
      <c r="P116">
        <v>2523170</v>
      </c>
      <c r="Q116">
        <v>1213095</v>
      </c>
      <c r="R116">
        <v>1387230</v>
      </c>
      <c r="S116">
        <v>972075</v>
      </c>
      <c r="T116">
        <v>0.45</v>
      </c>
      <c r="U116">
        <v>0.7</v>
      </c>
      <c r="V116">
        <v>0.1</v>
      </c>
      <c r="W116">
        <v>0.7</v>
      </c>
      <c r="X116">
        <v>0.1</v>
      </c>
      <c r="Y116">
        <v>493155</v>
      </c>
      <c r="Z116">
        <v>0.15</v>
      </c>
      <c r="AA116">
        <v>374140</v>
      </c>
      <c r="AB116" s="6">
        <v>46147.586458333331</v>
      </c>
      <c r="AC116" s="6">
        <v>46147.585706018515</v>
      </c>
    </row>
    <row r="117" spans="1:29" x14ac:dyDescent="0.25">
      <c r="A117" t="s">
        <v>7</v>
      </c>
      <c r="B117" s="5">
        <v>46147</v>
      </c>
      <c r="C117" t="s">
        <v>54</v>
      </c>
      <c r="D117" t="s">
        <v>173</v>
      </c>
      <c r="E117">
        <v>18962946</v>
      </c>
      <c r="F117" t="s">
        <v>56</v>
      </c>
      <c r="G117" t="s">
        <v>57</v>
      </c>
      <c r="H117">
        <v>22950</v>
      </c>
      <c r="I117" t="s">
        <v>58</v>
      </c>
      <c r="J117">
        <v>1083.5</v>
      </c>
      <c r="K117">
        <v>-10.461945293777367</v>
      </c>
      <c r="L117">
        <v>65</v>
      </c>
      <c r="M117">
        <v>996.56</v>
      </c>
      <c r="N117">
        <v>1235</v>
      </c>
      <c r="O117">
        <v>9880</v>
      </c>
      <c r="P117">
        <v>9685</v>
      </c>
      <c r="Q117">
        <v>845</v>
      </c>
      <c r="R117">
        <v>1365</v>
      </c>
      <c r="S117">
        <v>845</v>
      </c>
      <c r="T117">
        <v>979</v>
      </c>
      <c r="U117">
        <v>1083.5</v>
      </c>
      <c r="V117">
        <v>947.65</v>
      </c>
      <c r="W117">
        <v>1210.0999999999999</v>
      </c>
      <c r="X117">
        <v>1084.55</v>
      </c>
      <c r="Y117">
        <v>130</v>
      </c>
      <c r="Z117">
        <v>1094.5</v>
      </c>
      <c r="AA117">
        <v>260</v>
      </c>
      <c r="AB117" s="6">
        <v>46147.586516203701</v>
      </c>
      <c r="AC117" s="6">
        <v>46147.54184027778</v>
      </c>
    </row>
    <row r="118" spans="1:29" x14ac:dyDescent="0.25">
      <c r="A118" t="s">
        <v>7</v>
      </c>
      <c r="B118" s="5">
        <v>46147</v>
      </c>
      <c r="C118" t="s">
        <v>54</v>
      </c>
      <c r="D118" t="s">
        <v>174</v>
      </c>
      <c r="E118">
        <v>18963458</v>
      </c>
      <c r="F118" t="s">
        <v>56</v>
      </c>
      <c r="G118" t="s">
        <v>57</v>
      </c>
      <c r="H118">
        <v>22950</v>
      </c>
      <c r="I118" t="s">
        <v>60</v>
      </c>
      <c r="J118">
        <v>0.15</v>
      </c>
      <c r="K118">
        <v>-81.25</v>
      </c>
      <c r="L118">
        <v>65</v>
      </c>
      <c r="M118">
        <v>0.34</v>
      </c>
      <c r="N118">
        <v>4809220</v>
      </c>
      <c r="O118">
        <v>5130320</v>
      </c>
      <c r="P118">
        <v>1420445</v>
      </c>
      <c r="Q118">
        <v>659490</v>
      </c>
      <c r="R118">
        <v>771355</v>
      </c>
      <c r="S118">
        <v>303160</v>
      </c>
      <c r="T118">
        <v>0.55000000000000004</v>
      </c>
      <c r="U118">
        <v>0.65</v>
      </c>
      <c r="V118">
        <v>0.1</v>
      </c>
      <c r="W118">
        <v>0.8</v>
      </c>
      <c r="X118">
        <v>0.1</v>
      </c>
      <c r="Y118">
        <v>1318525</v>
      </c>
      <c r="Z118">
        <v>0.15</v>
      </c>
      <c r="AA118">
        <v>297440</v>
      </c>
      <c r="AB118" s="6">
        <v>46147.586527777778</v>
      </c>
      <c r="AC118" s="6">
        <v>46147.586481481485</v>
      </c>
    </row>
    <row r="119" spans="1:29" x14ac:dyDescent="0.25">
      <c r="A119" t="s">
        <v>7</v>
      </c>
      <c r="B119" s="5">
        <v>46147</v>
      </c>
      <c r="C119" t="s">
        <v>54</v>
      </c>
      <c r="D119" t="s">
        <v>175</v>
      </c>
      <c r="E119">
        <v>18963714</v>
      </c>
      <c r="F119" t="s">
        <v>56</v>
      </c>
      <c r="G119" t="s">
        <v>57</v>
      </c>
      <c r="H119">
        <v>23000</v>
      </c>
      <c r="I119" t="s">
        <v>58</v>
      </c>
      <c r="J119">
        <v>1033.3499999999999</v>
      </c>
      <c r="K119">
        <v>-10.92194301969743</v>
      </c>
      <c r="L119">
        <v>65</v>
      </c>
      <c r="M119">
        <v>973.61</v>
      </c>
      <c r="N119">
        <v>152490</v>
      </c>
      <c r="O119">
        <v>23335</v>
      </c>
      <c r="P119">
        <v>25285</v>
      </c>
      <c r="Q119">
        <v>83785</v>
      </c>
      <c r="R119">
        <v>138840</v>
      </c>
      <c r="S119">
        <v>83785</v>
      </c>
      <c r="T119">
        <v>1012</v>
      </c>
      <c r="U119">
        <v>1087.3499999999999</v>
      </c>
      <c r="V119">
        <v>881.15</v>
      </c>
      <c r="W119">
        <v>1160.05</v>
      </c>
      <c r="X119">
        <v>1038.5</v>
      </c>
      <c r="Y119">
        <v>65</v>
      </c>
      <c r="Z119">
        <v>1042.0999999999999</v>
      </c>
      <c r="AA119">
        <v>520</v>
      </c>
      <c r="AB119" s="6">
        <v>46147.586516203701</v>
      </c>
      <c r="AC119" s="6">
        <v>46147.586354166669</v>
      </c>
    </row>
    <row r="120" spans="1:29" x14ac:dyDescent="0.25">
      <c r="A120" t="s">
        <v>7</v>
      </c>
      <c r="B120" s="5">
        <v>46147</v>
      </c>
      <c r="C120" t="s">
        <v>54</v>
      </c>
      <c r="D120" t="s">
        <v>176</v>
      </c>
      <c r="E120">
        <v>18964226</v>
      </c>
      <c r="F120" t="s">
        <v>56</v>
      </c>
      <c r="G120" t="s">
        <v>57</v>
      </c>
      <c r="H120">
        <v>23000</v>
      </c>
      <c r="I120" t="s">
        <v>60</v>
      </c>
      <c r="J120">
        <v>0.1</v>
      </c>
      <c r="K120">
        <v>-87.5</v>
      </c>
      <c r="L120">
        <v>65</v>
      </c>
      <c r="M120">
        <v>0.35</v>
      </c>
      <c r="N120">
        <v>55675620</v>
      </c>
      <c r="O120">
        <v>13920920</v>
      </c>
      <c r="P120">
        <v>9063860</v>
      </c>
      <c r="Q120">
        <v>7124715</v>
      </c>
      <c r="R120">
        <v>8202935</v>
      </c>
      <c r="S120">
        <v>6284785</v>
      </c>
      <c r="T120">
        <v>0.4</v>
      </c>
      <c r="U120">
        <v>0.65</v>
      </c>
      <c r="V120">
        <v>0.1</v>
      </c>
      <c r="W120">
        <v>0.8</v>
      </c>
      <c r="X120">
        <v>0.1</v>
      </c>
      <c r="Y120">
        <v>5027815</v>
      </c>
      <c r="Z120">
        <v>0.15</v>
      </c>
      <c r="AA120">
        <v>2901145</v>
      </c>
      <c r="AB120" s="6">
        <v>46147.586527777778</v>
      </c>
      <c r="AC120" s="6">
        <v>46147.586516203701</v>
      </c>
    </row>
    <row r="121" spans="1:29" x14ac:dyDescent="0.25">
      <c r="A121" t="s">
        <v>7</v>
      </c>
      <c r="B121" s="5">
        <v>46147</v>
      </c>
      <c r="C121" t="s">
        <v>54</v>
      </c>
      <c r="D121" t="s">
        <v>177</v>
      </c>
      <c r="E121">
        <v>18964482</v>
      </c>
      <c r="F121" t="s">
        <v>56</v>
      </c>
      <c r="G121" t="s">
        <v>57</v>
      </c>
      <c r="H121">
        <v>23050</v>
      </c>
      <c r="I121" t="s">
        <v>58</v>
      </c>
      <c r="J121">
        <v>926.7</v>
      </c>
      <c r="K121">
        <v>-16.291043764960925</v>
      </c>
      <c r="L121">
        <v>65</v>
      </c>
      <c r="M121">
        <v>947.58</v>
      </c>
      <c r="N121">
        <v>4745</v>
      </c>
      <c r="O121">
        <v>9165</v>
      </c>
      <c r="P121">
        <v>8970</v>
      </c>
      <c r="Q121">
        <v>1755</v>
      </c>
      <c r="R121">
        <v>2145</v>
      </c>
      <c r="S121">
        <v>1625</v>
      </c>
      <c r="T121">
        <v>996.25</v>
      </c>
      <c r="U121">
        <v>1018.9</v>
      </c>
      <c r="V121">
        <v>830</v>
      </c>
      <c r="W121">
        <v>1107.05</v>
      </c>
      <c r="X121">
        <v>985.75</v>
      </c>
      <c r="Y121">
        <v>325</v>
      </c>
      <c r="Z121">
        <v>993.7</v>
      </c>
      <c r="AA121">
        <v>65</v>
      </c>
      <c r="AB121" s="6">
        <v>46147.586527777778</v>
      </c>
      <c r="AC121" s="6">
        <v>46147.516701388886</v>
      </c>
    </row>
    <row r="122" spans="1:29" x14ac:dyDescent="0.25">
      <c r="A122" t="s">
        <v>7</v>
      </c>
      <c r="B122" s="5">
        <v>46147</v>
      </c>
      <c r="C122" t="s">
        <v>54</v>
      </c>
      <c r="D122" t="s">
        <v>178</v>
      </c>
      <c r="E122">
        <v>18964994</v>
      </c>
      <c r="F122" t="s">
        <v>56</v>
      </c>
      <c r="G122" t="s">
        <v>57</v>
      </c>
      <c r="H122">
        <v>23050</v>
      </c>
      <c r="I122" t="s">
        <v>60</v>
      </c>
      <c r="J122">
        <v>0.05</v>
      </c>
      <c r="K122">
        <v>-94.117647058823536</v>
      </c>
      <c r="L122">
        <v>195</v>
      </c>
      <c r="M122">
        <v>0.35</v>
      </c>
      <c r="N122">
        <v>15304770</v>
      </c>
      <c r="O122">
        <v>3712540</v>
      </c>
      <c r="P122">
        <v>3857945</v>
      </c>
      <c r="Q122">
        <v>2201940</v>
      </c>
      <c r="R122">
        <v>2441660</v>
      </c>
      <c r="S122">
        <v>414245</v>
      </c>
      <c r="T122">
        <v>0.6</v>
      </c>
      <c r="U122">
        <v>0.65</v>
      </c>
      <c r="V122">
        <v>0.05</v>
      </c>
      <c r="W122">
        <v>0.85</v>
      </c>
      <c r="X122">
        <v>0.05</v>
      </c>
      <c r="Y122">
        <v>3712540</v>
      </c>
      <c r="Z122">
        <v>0.1</v>
      </c>
      <c r="AA122">
        <v>1126320</v>
      </c>
      <c r="AB122" s="6">
        <v>46147.586527777778</v>
      </c>
      <c r="AC122" s="6">
        <v>46147.586469907408</v>
      </c>
    </row>
    <row r="123" spans="1:29" x14ac:dyDescent="0.25">
      <c r="A123" t="s">
        <v>7</v>
      </c>
      <c r="B123" s="5">
        <v>46147</v>
      </c>
      <c r="C123" t="s">
        <v>54</v>
      </c>
      <c r="D123" t="s">
        <v>179</v>
      </c>
      <c r="E123">
        <v>18966274</v>
      </c>
      <c r="F123" t="s">
        <v>56</v>
      </c>
      <c r="G123" t="s">
        <v>57</v>
      </c>
      <c r="H123">
        <v>23100</v>
      </c>
      <c r="I123" t="s">
        <v>58</v>
      </c>
      <c r="J123">
        <v>944.85</v>
      </c>
      <c r="K123">
        <v>-10.993358767839474</v>
      </c>
      <c r="L123">
        <v>65</v>
      </c>
      <c r="M123">
        <v>890</v>
      </c>
      <c r="N123">
        <v>14430</v>
      </c>
      <c r="O123">
        <v>22815</v>
      </c>
      <c r="P123">
        <v>22945</v>
      </c>
      <c r="Q123">
        <v>6890</v>
      </c>
      <c r="R123">
        <v>11440</v>
      </c>
      <c r="S123">
        <v>6890</v>
      </c>
      <c r="T123">
        <v>862.95</v>
      </c>
      <c r="U123">
        <v>986.1</v>
      </c>
      <c r="V123">
        <v>780</v>
      </c>
      <c r="W123">
        <v>1061.55</v>
      </c>
      <c r="X123">
        <v>935.65</v>
      </c>
      <c r="Y123">
        <v>195</v>
      </c>
      <c r="Z123">
        <v>941</v>
      </c>
      <c r="AA123">
        <v>65</v>
      </c>
      <c r="AB123" s="6">
        <v>46147.586516203701</v>
      </c>
      <c r="AC123" s="6">
        <v>46147.582546296297</v>
      </c>
    </row>
    <row r="124" spans="1:29" x14ac:dyDescent="0.25">
      <c r="A124" t="s">
        <v>7</v>
      </c>
      <c r="B124" s="5">
        <v>46147</v>
      </c>
      <c r="C124" t="s">
        <v>54</v>
      </c>
      <c r="D124" t="s">
        <v>180</v>
      </c>
      <c r="E124">
        <v>18966530</v>
      </c>
      <c r="F124" t="s">
        <v>56</v>
      </c>
      <c r="G124" t="s">
        <v>57</v>
      </c>
      <c r="H124">
        <v>23100</v>
      </c>
      <c r="I124" t="s">
        <v>60</v>
      </c>
      <c r="J124">
        <v>0.1</v>
      </c>
      <c r="K124">
        <v>-88.235294117647058</v>
      </c>
      <c r="L124">
        <v>65</v>
      </c>
      <c r="M124">
        <v>0.37</v>
      </c>
      <c r="N124">
        <v>19558630</v>
      </c>
      <c r="O124">
        <v>10316540</v>
      </c>
      <c r="P124">
        <v>3590860</v>
      </c>
      <c r="Q124">
        <v>2177890</v>
      </c>
      <c r="R124">
        <v>2499640</v>
      </c>
      <c r="S124">
        <v>1738230</v>
      </c>
      <c r="T124">
        <v>0.4</v>
      </c>
      <c r="U124">
        <v>0.7</v>
      </c>
      <c r="V124">
        <v>0.1</v>
      </c>
      <c r="W124">
        <v>0.85</v>
      </c>
      <c r="X124">
        <v>0.1</v>
      </c>
      <c r="Y124">
        <v>4315480</v>
      </c>
      <c r="Z124">
        <v>0.15</v>
      </c>
      <c r="AA124">
        <v>863525</v>
      </c>
      <c r="AB124" s="6">
        <v>46147.586504629631</v>
      </c>
      <c r="AC124" s="6">
        <v>46147.586469907408</v>
      </c>
    </row>
    <row r="125" spans="1:29" x14ac:dyDescent="0.25">
      <c r="A125" t="s">
        <v>7</v>
      </c>
      <c r="B125" s="5">
        <v>46147</v>
      </c>
      <c r="C125" t="s">
        <v>54</v>
      </c>
      <c r="D125" t="s">
        <v>181</v>
      </c>
      <c r="E125">
        <v>18966786</v>
      </c>
      <c r="F125" t="s">
        <v>56</v>
      </c>
      <c r="G125" t="s">
        <v>57</v>
      </c>
      <c r="H125">
        <v>23150</v>
      </c>
      <c r="I125" t="s">
        <v>58</v>
      </c>
      <c r="J125">
        <v>900.65</v>
      </c>
      <c r="K125">
        <v>-10.773726966514761</v>
      </c>
      <c r="L125">
        <v>130</v>
      </c>
      <c r="M125">
        <v>841.02</v>
      </c>
      <c r="N125">
        <v>6370</v>
      </c>
      <c r="O125">
        <v>19175</v>
      </c>
      <c r="P125">
        <v>19500</v>
      </c>
      <c r="Q125">
        <v>4940</v>
      </c>
      <c r="R125">
        <v>5395</v>
      </c>
      <c r="S125">
        <v>4550</v>
      </c>
      <c r="T125">
        <v>830.95</v>
      </c>
      <c r="U125">
        <v>928</v>
      </c>
      <c r="V125">
        <v>736.15</v>
      </c>
      <c r="W125">
        <v>1009.4</v>
      </c>
      <c r="X125">
        <v>885.25</v>
      </c>
      <c r="Y125">
        <v>130</v>
      </c>
      <c r="Z125">
        <v>892.9</v>
      </c>
      <c r="AA125">
        <v>130</v>
      </c>
      <c r="AB125" s="6">
        <v>46147.586527777778</v>
      </c>
      <c r="AC125" s="6">
        <v>46147.582060185188</v>
      </c>
    </row>
    <row r="126" spans="1:29" x14ac:dyDescent="0.25">
      <c r="A126" t="s">
        <v>7</v>
      </c>
      <c r="B126" s="5">
        <v>46147</v>
      </c>
      <c r="C126" t="s">
        <v>54</v>
      </c>
      <c r="D126" t="s">
        <v>182</v>
      </c>
      <c r="E126">
        <v>18967042</v>
      </c>
      <c r="F126" t="s">
        <v>56</v>
      </c>
      <c r="G126" t="s">
        <v>57</v>
      </c>
      <c r="H126">
        <v>23150</v>
      </c>
      <c r="I126" t="s">
        <v>60</v>
      </c>
      <c r="J126">
        <v>0.1</v>
      </c>
      <c r="K126">
        <v>-88.235294117647058</v>
      </c>
      <c r="L126">
        <v>715</v>
      </c>
      <c r="M126">
        <v>0.35</v>
      </c>
      <c r="N126">
        <v>15050360</v>
      </c>
      <c r="O126">
        <v>10065315</v>
      </c>
      <c r="P126">
        <v>3470025</v>
      </c>
      <c r="Q126">
        <v>1404845</v>
      </c>
      <c r="R126">
        <v>1865175</v>
      </c>
      <c r="S126">
        <v>936455</v>
      </c>
      <c r="T126">
        <v>0.85</v>
      </c>
      <c r="U126">
        <v>0.85</v>
      </c>
      <c r="V126">
        <v>0.1</v>
      </c>
      <c r="W126">
        <v>0.85</v>
      </c>
      <c r="X126">
        <v>0.1</v>
      </c>
      <c r="Y126">
        <v>3697850</v>
      </c>
      <c r="Z126">
        <v>0.15</v>
      </c>
      <c r="AA126">
        <v>909740</v>
      </c>
      <c r="AB126" s="6">
        <v>46147.586527777778</v>
      </c>
      <c r="AC126" s="6">
        <v>46147.586527777778</v>
      </c>
    </row>
    <row r="127" spans="1:29" x14ac:dyDescent="0.25">
      <c r="A127" t="s">
        <v>7</v>
      </c>
      <c r="B127" s="5">
        <v>46147</v>
      </c>
      <c r="C127" t="s">
        <v>54</v>
      </c>
      <c r="D127" t="s">
        <v>183</v>
      </c>
      <c r="E127">
        <v>18967298</v>
      </c>
      <c r="F127" t="s">
        <v>56</v>
      </c>
      <c r="G127" t="s">
        <v>57</v>
      </c>
      <c r="H127">
        <v>23200</v>
      </c>
      <c r="I127" t="s">
        <v>58</v>
      </c>
      <c r="J127">
        <v>828.85</v>
      </c>
      <c r="K127">
        <v>-13.127554763651608</v>
      </c>
      <c r="L127">
        <v>130</v>
      </c>
      <c r="M127">
        <v>764.28</v>
      </c>
      <c r="N127">
        <v>36660</v>
      </c>
      <c r="O127">
        <v>24310</v>
      </c>
      <c r="P127">
        <v>22490</v>
      </c>
      <c r="Q127">
        <v>17680</v>
      </c>
      <c r="R127">
        <v>20800</v>
      </c>
      <c r="S127">
        <v>14430</v>
      </c>
      <c r="T127">
        <v>836.7</v>
      </c>
      <c r="U127">
        <v>882.85</v>
      </c>
      <c r="V127">
        <v>688</v>
      </c>
      <c r="W127">
        <v>954.1</v>
      </c>
      <c r="X127">
        <v>837.95</v>
      </c>
      <c r="Y127">
        <v>65</v>
      </c>
      <c r="Z127">
        <v>842.4</v>
      </c>
      <c r="AA127">
        <v>390</v>
      </c>
      <c r="AB127" s="6">
        <v>46147.586516203701</v>
      </c>
      <c r="AC127" s="6">
        <v>46147.586111111108</v>
      </c>
    </row>
    <row r="128" spans="1:29" x14ac:dyDescent="0.25">
      <c r="A128" t="s">
        <v>7</v>
      </c>
      <c r="B128" s="5">
        <v>46147</v>
      </c>
      <c r="C128" t="s">
        <v>54</v>
      </c>
      <c r="D128" t="s">
        <v>184</v>
      </c>
      <c r="E128">
        <v>18967554</v>
      </c>
      <c r="F128" t="s">
        <v>56</v>
      </c>
      <c r="G128" t="s">
        <v>57</v>
      </c>
      <c r="H128">
        <v>23200</v>
      </c>
      <c r="I128" t="s">
        <v>60</v>
      </c>
      <c r="J128">
        <v>0.1</v>
      </c>
      <c r="K128">
        <v>-89.473684210526315</v>
      </c>
      <c r="L128">
        <v>65</v>
      </c>
      <c r="M128">
        <v>0.39</v>
      </c>
      <c r="N128">
        <v>44187000</v>
      </c>
      <c r="O128">
        <v>15264145</v>
      </c>
      <c r="P128">
        <v>7006805</v>
      </c>
      <c r="Q128">
        <v>4687150</v>
      </c>
      <c r="R128">
        <v>5318235</v>
      </c>
      <c r="S128">
        <v>3322215</v>
      </c>
      <c r="T128">
        <v>0.5</v>
      </c>
      <c r="U128">
        <v>0.75</v>
      </c>
      <c r="V128">
        <v>0.1</v>
      </c>
      <c r="W128">
        <v>0.95</v>
      </c>
      <c r="X128">
        <v>0.1</v>
      </c>
      <c r="Y128">
        <v>5625035</v>
      </c>
      <c r="Z128">
        <v>0.15</v>
      </c>
      <c r="AA128">
        <v>1907880</v>
      </c>
      <c r="AB128" s="6">
        <v>46147.586527777778</v>
      </c>
      <c r="AC128" s="6">
        <v>46147.586504629631</v>
      </c>
    </row>
    <row r="129" spans="1:29" x14ac:dyDescent="0.25">
      <c r="A129" t="s">
        <v>7</v>
      </c>
      <c r="B129" s="5">
        <v>46147</v>
      </c>
      <c r="C129" t="s">
        <v>54</v>
      </c>
      <c r="D129" t="s">
        <v>185</v>
      </c>
      <c r="E129">
        <v>18967810</v>
      </c>
      <c r="F129" t="s">
        <v>56</v>
      </c>
      <c r="G129" t="s">
        <v>57</v>
      </c>
      <c r="H129">
        <v>23250</v>
      </c>
      <c r="I129" t="s">
        <v>58</v>
      </c>
      <c r="J129">
        <v>787.45</v>
      </c>
      <c r="K129">
        <v>-13.371837183718368</v>
      </c>
      <c r="L129">
        <v>195</v>
      </c>
      <c r="M129">
        <v>712.86</v>
      </c>
      <c r="N129">
        <v>17290</v>
      </c>
      <c r="O129">
        <v>22490</v>
      </c>
      <c r="P129">
        <v>21775</v>
      </c>
      <c r="Q129">
        <v>13065</v>
      </c>
      <c r="R129">
        <v>15860</v>
      </c>
      <c r="S129">
        <v>11700</v>
      </c>
      <c r="T129">
        <v>778.55</v>
      </c>
      <c r="U129">
        <v>829.75</v>
      </c>
      <c r="V129">
        <v>640.1</v>
      </c>
      <c r="W129">
        <v>909</v>
      </c>
      <c r="X129">
        <v>786.55</v>
      </c>
      <c r="Y129">
        <v>65</v>
      </c>
      <c r="Z129">
        <v>791.45</v>
      </c>
      <c r="AA129">
        <v>130</v>
      </c>
      <c r="AB129" s="6">
        <v>46147.586527777778</v>
      </c>
      <c r="AC129" s="6">
        <v>46147.583321759259</v>
      </c>
    </row>
    <row r="130" spans="1:29" x14ac:dyDescent="0.25">
      <c r="A130" t="s">
        <v>7</v>
      </c>
      <c r="B130" s="5">
        <v>46147</v>
      </c>
      <c r="C130" t="s">
        <v>54</v>
      </c>
      <c r="D130" t="s">
        <v>186</v>
      </c>
      <c r="E130">
        <v>18968066</v>
      </c>
      <c r="F130" t="s">
        <v>56</v>
      </c>
      <c r="G130" t="s">
        <v>57</v>
      </c>
      <c r="H130">
        <v>23250</v>
      </c>
      <c r="I130" t="s">
        <v>60</v>
      </c>
      <c r="J130">
        <v>0.15</v>
      </c>
      <c r="K130">
        <v>-85.714285714285708</v>
      </c>
      <c r="L130">
        <v>65</v>
      </c>
      <c r="M130">
        <v>0.39</v>
      </c>
      <c r="N130">
        <v>19796595</v>
      </c>
      <c r="O130">
        <v>10507380</v>
      </c>
      <c r="P130">
        <v>2760290</v>
      </c>
      <c r="Q130">
        <v>2296970</v>
      </c>
      <c r="R130">
        <v>2677870</v>
      </c>
      <c r="S130">
        <v>1433315</v>
      </c>
      <c r="T130">
        <v>0.9</v>
      </c>
      <c r="U130">
        <v>0.9</v>
      </c>
      <c r="V130">
        <v>0.1</v>
      </c>
      <c r="W130">
        <v>1.05</v>
      </c>
      <c r="X130">
        <v>0.15</v>
      </c>
      <c r="Y130">
        <v>654810</v>
      </c>
      <c r="Z130">
        <v>0.2</v>
      </c>
      <c r="AA130">
        <v>1001975</v>
      </c>
      <c r="AB130" s="6">
        <v>46147.586527777778</v>
      </c>
      <c r="AC130" s="6">
        <v>46147.586516203701</v>
      </c>
    </row>
    <row r="131" spans="1:29" x14ac:dyDescent="0.25">
      <c r="A131" t="s">
        <v>7</v>
      </c>
      <c r="B131" s="5">
        <v>46147</v>
      </c>
      <c r="C131" t="s">
        <v>54</v>
      </c>
      <c r="D131" t="s">
        <v>187</v>
      </c>
      <c r="E131">
        <v>18968322</v>
      </c>
      <c r="F131" t="s">
        <v>56</v>
      </c>
      <c r="G131" t="s">
        <v>57</v>
      </c>
      <c r="H131">
        <v>23300</v>
      </c>
      <c r="I131" t="s">
        <v>58</v>
      </c>
      <c r="J131">
        <v>725.15</v>
      </c>
      <c r="K131">
        <v>-15.202011343039233</v>
      </c>
      <c r="L131">
        <v>65</v>
      </c>
      <c r="M131">
        <v>677.46</v>
      </c>
      <c r="N131">
        <v>64870</v>
      </c>
      <c r="O131">
        <v>119145</v>
      </c>
      <c r="P131">
        <v>24115</v>
      </c>
      <c r="Q131">
        <v>34255</v>
      </c>
      <c r="R131">
        <v>37895</v>
      </c>
      <c r="S131">
        <v>29640</v>
      </c>
      <c r="T131">
        <v>708.9</v>
      </c>
      <c r="U131">
        <v>780.85</v>
      </c>
      <c r="V131">
        <v>587.70000000000005</v>
      </c>
      <c r="W131">
        <v>855.15</v>
      </c>
      <c r="X131">
        <v>738.8</v>
      </c>
      <c r="Y131">
        <v>130</v>
      </c>
      <c r="Z131">
        <v>742.65</v>
      </c>
      <c r="AA131">
        <v>195</v>
      </c>
      <c r="AB131" s="6">
        <v>46147.586527777778</v>
      </c>
      <c r="AC131" s="6">
        <v>46147.586134259262</v>
      </c>
    </row>
    <row r="132" spans="1:29" x14ac:dyDescent="0.25">
      <c r="A132" t="s">
        <v>7</v>
      </c>
      <c r="B132" s="5">
        <v>46147</v>
      </c>
      <c r="C132" t="s">
        <v>54</v>
      </c>
      <c r="D132" t="s">
        <v>188</v>
      </c>
      <c r="E132">
        <v>18968578</v>
      </c>
      <c r="F132" t="s">
        <v>56</v>
      </c>
      <c r="G132" t="s">
        <v>57</v>
      </c>
      <c r="H132">
        <v>23300</v>
      </c>
      <c r="I132" t="s">
        <v>60</v>
      </c>
      <c r="J132">
        <v>0.2</v>
      </c>
      <c r="K132">
        <v>-84</v>
      </c>
      <c r="L132">
        <v>195</v>
      </c>
      <c r="M132">
        <v>0.45</v>
      </c>
      <c r="N132">
        <v>48302540</v>
      </c>
      <c r="O132">
        <v>15808650</v>
      </c>
      <c r="P132">
        <v>7095985</v>
      </c>
      <c r="Q132">
        <v>5373030</v>
      </c>
      <c r="R132">
        <v>5745545</v>
      </c>
      <c r="S132">
        <v>2992600</v>
      </c>
      <c r="T132">
        <v>0.6</v>
      </c>
      <c r="U132">
        <v>0.8</v>
      </c>
      <c r="V132">
        <v>0.15</v>
      </c>
      <c r="W132">
        <v>1.25</v>
      </c>
      <c r="X132">
        <v>0.15</v>
      </c>
      <c r="Y132">
        <v>2260765</v>
      </c>
      <c r="Z132">
        <v>0.2</v>
      </c>
      <c r="AA132">
        <v>876850</v>
      </c>
      <c r="AB132" s="6">
        <v>46147.586527777778</v>
      </c>
      <c r="AC132" s="6">
        <v>46147.586527777778</v>
      </c>
    </row>
    <row r="133" spans="1:29" x14ac:dyDescent="0.25">
      <c r="A133" t="s">
        <v>7</v>
      </c>
      <c r="B133" s="5">
        <v>46147</v>
      </c>
      <c r="C133" t="s">
        <v>54</v>
      </c>
      <c r="D133" t="s">
        <v>189</v>
      </c>
      <c r="E133">
        <v>18968834</v>
      </c>
      <c r="F133" t="s">
        <v>56</v>
      </c>
      <c r="G133" t="s">
        <v>57</v>
      </c>
      <c r="H133">
        <v>23350</v>
      </c>
      <c r="I133" t="s">
        <v>58</v>
      </c>
      <c r="J133">
        <v>695.85</v>
      </c>
      <c r="K133">
        <v>-14.409594095940957</v>
      </c>
      <c r="L133">
        <v>65</v>
      </c>
      <c r="M133">
        <v>613.34</v>
      </c>
      <c r="N133">
        <v>39975</v>
      </c>
      <c r="O133">
        <v>23010</v>
      </c>
      <c r="P133">
        <v>21515</v>
      </c>
      <c r="Q133">
        <v>18785</v>
      </c>
      <c r="R133">
        <v>19760</v>
      </c>
      <c r="S133">
        <v>10075</v>
      </c>
      <c r="T133">
        <v>722.1</v>
      </c>
      <c r="U133">
        <v>735</v>
      </c>
      <c r="V133">
        <v>539</v>
      </c>
      <c r="W133">
        <v>813</v>
      </c>
      <c r="X133">
        <v>687.55</v>
      </c>
      <c r="Y133">
        <v>130</v>
      </c>
      <c r="Z133">
        <v>692.85</v>
      </c>
      <c r="AA133">
        <v>130</v>
      </c>
      <c r="AB133" s="6">
        <v>46147.586504629631</v>
      </c>
      <c r="AC133" s="6">
        <v>46147.585358796299</v>
      </c>
    </row>
    <row r="134" spans="1:29" x14ac:dyDescent="0.25">
      <c r="A134" t="s">
        <v>7</v>
      </c>
      <c r="B134" s="5">
        <v>46147</v>
      </c>
      <c r="C134" t="s">
        <v>54</v>
      </c>
      <c r="D134" t="s">
        <v>190</v>
      </c>
      <c r="E134">
        <v>18969090</v>
      </c>
      <c r="F134" t="s">
        <v>56</v>
      </c>
      <c r="G134" t="s">
        <v>57</v>
      </c>
      <c r="H134">
        <v>23350</v>
      </c>
      <c r="I134" t="s">
        <v>60</v>
      </c>
      <c r="J134">
        <v>0.2</v>
      </c>
      <c r="K134">
        <v>-86.666666666666671</v>
      </c>
      <c r="L134">
        <v>130</v>
      </c>
      <c r="M134">
        <v>0.45</v>
      </c>
      <c r="N134">
        <v>37368370</v>
      </c>
      <c r="O134">
        <v>14677130</v>
      </c>
      <c r="P134">
        <v>4632355</v>
      </c>
      <c r="Q134">
        <v>2316405</v>
      </c>
      <c r="R134">
        <v>2723370</v>
      </c>
      <c r="S134">
        <v>1456000</v>
      </c>
      <c r="T134">
        <v>0.9</v>
      </c>
      <c r="U134">
        <v>0.95</v>
      </c>
      <c r="V134">
        <v>0.15</v>
      </c>
      <c r="W134">
        <v>1.5</v>
      </c>
      <c r="X134">
        <v>0.15</v>
      </c>
      <c r="Y134">
        <v>3406065</v>
      </c>
      <c r="Z134">
        <v>0.2</v>
      </c>
      <c r="AA134">
        <v>1641510</v>
      </c>
      <c r="AB134" s="6">
        <v>46147.586527777778</v>
      </c>
      <c r="AC134" s="6">
        <v>46147.586504629631</v>
      </c>
    </row>
    <row r="135" spans="1:29" x14ac:dyDescent="0.25">
      <c r="A135" t="s">
        <v>7</v>
      </c>
      <c r="B135" s="5">
        <v>46147</v>
      </c>
      <c r="C135" t="s">
        <v>54</v>
      </c>
      <c r="D135" t="s">
        <v>191</v>
      </c>
      <c r="E135">
        <v>18969346</v>
      </c>
      <c r="F135" t="s">
        <v>56</v>
      </c>
      <c r="G135" t="s">
        <v>57</v>
      </c>
      <c r="H135">
        <v>23400</v>
      </c>
      <c r="I135" t="s">
        <v>58</v>
      </c>
      <c r="J135">
        <v>641.25</v>
      </c>
      <c r="K135">
        <v>-15.474856653265668</v>
      </c>
      <c r="L135">
        <v>130</v>
      </c>
      <c r="M135">
        <v>579.13</v>
      </c>
      <c r="N135">
        <v>137670</v>
      </c>
      <c r="O135">
        <v>227305</v>
      </c>
      <c r="P135">
        <v>31590</v>
      </c>
      <c r="Q135">
        <v>27105</v>
      </c>
      <c r="R135">
        <v>32890</v>
      </c>
      <c r="S135">
        <v>23270</v>
      </c>
      <c r="T135">
        <v>600</v>
      </c>
      <c r="U135">
        <v>683.6</v>
      </c>
      <c r="V135">
        <v>484.1</v>
      </c>
      <c r="W135">
        <v>758.65</v>
      </c>
      <c r="X135">
        <v>638.85</v>
      </c>
      <c r="Y135">
        <v>65</v>
      </c>
      <c r="Z135">
        <v>640.95000000000005</v>
      </c>
      <c r="AA135">
        <v>455</v>
      </c>
      <c r="AB135" s="6">
        <v>46147.586516203701</v>
      </c>
      <c r="AC135" s="6">
        <v>46147.586504629631</v>
      </c>
    </row>
    <row r="136" spans="1:29" x14ac:dyDescent="0.25">
      <c r="A136" t="s">
        <v>7</v>
      </c>
      <c r="B136" s="5">
        <v>46147</v>
      </c>
      <c r="C136" t="s">
        <v>54</v>
      </c>
      <c r="D136" t="s">
        <v>192</v>
      </c>
      <c r="E136">
        <v>18969602</v>
      </c>
      <c r="F136" t="s">
        <v>56</v>
      </c>
      <c r="G136" t="s">
        <v>57</v>
      </c>
      <c r="H136">
        <v>23400</v>
      </c>
      <c r="I136" t="s">
        <v>60</v>
      </c>
      <c r="J136">
        <v>0.2</v>
      </c>
      <c r="K136">
        <v>-89.473684210526315</v>
      </c>
      <c r="L136">
        <v>130</v>
      </c>
      <c r="M136">
        <v>0.52</v>
      </c>
      <c r="N136">
        <v>71322745</v>
      </c>
      <c r="O136">
        <v>20237880</v>
      </c>
      <c r="P136">
        <v>9849060</v>
      </c>
      <c r="Q136">
        <v>7325240</v>
      </c>
      <c r="R136">
        <v>7872020</v>
      </c>
      <c r="S136">
        <v>3702140</v>
      </c>
      <c r="T136">
        <v>0.85</v>
      </c>
      <c r="U136">
        <v>0.9</v>
      </c>
      <c r="V136">
        <v>0.15</v>
      </c>
      <c r="W136">
        <v>1.9</v>
      </c>
      <c r="X136">
        <v>0.15</v>
      </c>
      <c r="Y136">
        <v>4252560</v>
      </c>
      <c r="Z136">
        <v>0.2</v>
      </c>
      <c r="AA136">
        <v>1546610</v>
      </c>
      <c r="AB136" s="6">
        <v>46147.586527777778</v>
      </c>
      <c r="AC136" s="6">
        <v>46147.586516203701</v>
      </c>
    </row>
    <row r="137" spans="1:29" x14ac:dyDescent="0.25">
      <c r="A137" t="s">
        <v>7</v>
      </c>
      <c r="B137" s="5">
        <v>46147</v>
      </c>
      <c r="C137" t="s">
        <v>54</v>
      </c>
      <c r="D137" t="s">
        <v>193</v>
      </c>
      <c r="E137">
        <v>18969858</v>
      </c>
      <c r="F137" t="s">
        <v>56</v>
      </c>
      <c r="G137" t="s">
        <v>57</v>
      </c>
      <c r="H137">
        <v>23450</v>
      </c>
      <c r="I137" t="s">
        <v>58</v>
      </c>
      <c r="J137">
        <v>582.04999999999995</v>
      </c>
      <c r="K137">
        <v>-17.795353435491844</v>
      </c>
      <c r="L137">
        <v>65</v>
      </c>
      <c r="M137">
        <v>523.67999999999995</v>
      </c>
      <c r="N137">
        <v>109980</v>
      </c>
      <c r="O137">
        <v>30615</v>
      </c>
      <c r="P137">
        <v>24115</v>
      </c>
      <c r="Q137">
        <v>18590</v>
      </c>
      <c r="R137">
        <v>31785</v>
      </c>
      <c r="S137">
        <v>15990</v>
      </c>
      <c r="T137">
        <v>531.75</v>
      </c>
      <c r="U137">
        <v>638.85</v>
      </c>
      <c r="V137">
        <v>431.2</v>
      </c>
      <c r="W137">
        <v>708.05</v>
      </c>
      <c r="X137">
        <v>589.15</v>
      </c>
      <c r="Y137">
        <v>325</v>
      </c>
      <c r="Z137">
        <v>591.4</v>
      </c>
      <c r="AA137">
        <v>130</v>
      </c>
      <c r="AB137" s="6">
        <v>46147.586527777778</v>
      </c>
      <c r="AC137" s="6">
        <v>46147.585995370369</v>
      </c>
    </row>
    <row r="138" spans="1:29" x14ac:dyDescent="0.25">
      <c r="A138" t="s">
        <v>7</v>
      </c>
      <c r="B138" s="5">
        <v>46147</v>
      </c>
      <c r="C138" t="s">
        <v>54</v>
      </c>
      <c r="D138" t="s">
        <v>194</v>
      </c>
      <c r="E138">
        <v>18970114</v>
      </c>
      <c r="F138" t="s">
        <v>56</v>
      </c>
      <c r="G138" t="s">
        <v>57</v>
      </c>
      <c r="H138">
        <v>23450</v>
      </c>
      <c r="I138" t="s">
        <v>60</v>
      </c>
      <c r="J138">
        <v>0.2</v>
      </c>
      <c r="K138">
        <v>-91.836734693877546</v>
      </c>
      <c r="L138">
        <v>130</v>
      </c>
      <c r="M138">
        <v>0.56000000000000005</v>
      </c>
      <c r="N138">
        <v>49821395</v>
      </c>
      <c r="O138">
        <v>15624115</v>
      </c>
      <c r="P138">
        <v>4794465</v>
      </c>
      <c r="Q138">
        <v>3782350</v>
      </c>
      <c r="R138">
        <v>4148950</v>
      </c>
      <c r="S138">
        <v>2085005</v>
      </c>
      <c r="T138">
        <v>1</v>
      </c>
      <c r="U138">
        <v>1.25</v>
      </c>
      <c r="V138">
        <v>0.15</v>
      </c>
      <c r="W138">
        <v>2.4500000000000002</v>
      </c>
      <c r="X138">
        <v>0.15</v>
      </c>
      <c r="Y138">
        <v>2004600</v>
      </c>
      <c r="Z138">
        <v>0.2</v>
      </c>
      <c r="AA138">
        <v>1499290</v>
      </c>
      <c r="AB138" s="6">
        <v>46147.586527777778</v>
      </c>
      <c r="AC138" s="6">
        <v>46147.586516203701</v>
      </c>
    </row>
    <row r="139" spans="1:29" x14ac:dyDescent="0.25">
      <c r="A139" t="s">
        <v>7</v>
      </c>
      <c r="B139" s="5">
        <v>46147</v>
      </c>
      <c r="C139" t="s">
        <v>54</v>
      </c>
      <c r="D139" t="s">
        <v>195</v>
      </c>
      <c r="E139">
        <v>18970370</v>
      </c>
      <c r="F139" t="s">
        <v>56</v>
      </c>
      <c r="G139" t="s">
        <v>57</v>
      </c>
      <c r="H139">
        <v>23500</v>
      </c>
      <c r="I139" t="s">
        <v>58</v>
      </c>
      <c r="J139">
        <v>541.65</v>
      </c>
      <c r="K139">
        <v>-18.179758308157101</v>
      </c>
      <c r="L139">
        <v>130</v>
      </c>
      <c r="M139">
        <v>491.99</v>
      </c>
      <c r="N139">
        <v>2297685</v>
      </c>
      <c r="O139">
        <v>341835</v>
      </c>
      <c r="P139">
        <v>41015</v>
      </c>
      <c r="Q139">
        <v>179075</v>
      </c>
      <c r="R139">
        <v>423670</v>
      </c>
      <c r="S139">
        <v>176410</v>
      </c>
      <c r="T139">
        <v>543.6</v>
      </c>
      <c r="U139">
        <v>593</v>
      </c>
      <c r="V139">
        <v>378</v>
      </c>
      <c r="W139">
        <v>662</v>
      </c>
      <c r="X139">
        <v>539.25</v>
      </c>
      <c r="Y139">
        <v>130</v>
      </c>
      <c r="Z139">
        <v>541</v>
      </c>
      <c r="AA139">
        <v>65</v>
      </c>
      <c r="AB139" s="6">
        <v>46147.586539351854</v>
      </c>
      <c r="AC139" s="6">
        <v>46147.586493055554</v>
      </c>
    </row>
    <row r="140" spans="1:29" x14ac:dyDescent="0.25">
      <c r="A140" t="s">
        <v>7</v>
      </c>
      <c r="B140" s="5">
        <v>46147</v>
      </c>
      <c r="C140" t="s">
        <v>54</v>
      </c>
      <c r="D140" t="s">
        <v>196</v>
      </c>
      <c r="E140">
        <v>18970626</v>
      </c>
      <c r="F140" t="s">
        <v>56</v>
      </c>
      <c r="G140" t="s">
        <v>57</v>
      </c>
      <c r="H140">
        <v>23500</v>
      </c>
      <c r="I140" t="s">
        <v>60</v>
      </c>
      <c r="J140">
        <v>0.25</v>
      </c>
      <c r="K140">
        <v>-91.071428571428569</v>
      </c>
      <c r="L140">
        <v>65</v>
      </c>
      <c r="M140">
        <v>0.65</v>
      </c>
      <c r="N140">
        <v>161687565</v>
      </c>
      <c r="O140">
        <v>31054335</v>
      </c>
      <c r="P140">
        <v>8191365</v>
      </c>
      <c r="Q140">
        <v>14013610</v>
      </c>
      <c r="R140">
        <v>17485585</v>
      </c>
      <c r="S140">
        <v>9022585</v>
      </c>
      <c r="T140">
        <v>1.55</v>
      </c>
      <c r="U140">
        <v>2.7</v>
      </c>
      <c r="V140">
        <v>0.15</v>
      </c>
      <c r="W140">
        <v>2.8</v>
      </c>
      <c r="X140">
        <v>0.2</v>
      </c>
      <c r="Y140">
        <v>1857375</v>
      </c>
      <c r="Z140">
        <v>0.25</v>
      </c>
      <c r="AA140">
        <v>3355040</v>
      </c>
      <c r="AB140" s="6">
        <v>46147.586527777778</v>
      </c>
      <c r="AC140" s="6">
        <v>46147.586516203701</v>
      </c>
    </row>
    <row r="141" spans="1:29" x14ac:dyDescent="0.25">
      <c r="A141" t="s">
        <v>7</v>
      </c>
      <c r="B141" s="5">
        <v>46147</v>
      </c>
      <c r="C141" t="s">
        <v>54</v>
      </c>
      <c r="D141" t="s">
        <v>197</v>
      </c>
      <c r="E141">
        <v>18970882</v>
      </c>
      <c r="F141" t="s">
        <v>56</v>
      </c>
      <c r="G141" t="s">
        <v>57</v>
      </c>
      <c r="H141">
        <v>23550</v>
      </c>
      <c r="I141" t="s">
        <v>58</v>
      </c>
      <c r="J141">
        <v>488.6</v>
      </c>
      <c r="K141">
        <v>-20.391038696537674</v>
      </c>
      <c r="L141">
        <v>65</v>
      </c>
      <c r="M141">
        <v>416.99</v>
      </c>
      <c r="N141">
        <v>414505</v>
      </c>
      <c r="O141">
        <v>937040</v>
      </c>
      <c r="P141">
        <v>27170</v>
      </c>
      <c r="Q141">
        <v>33995</v>
      </c>
      <c r="R141">
        <v>49985</v>
      </c>
      <c r="S141">
        <v>24570</v>
      </c>
      <c r="T141">
        <v>442.3</v>
      </c>
      <c r="U141">
        <v>538.35</v>
      </c>
      <c r="V141">
        <v>327.39999999999998</v>
      </c>
      <c r="W141">
        <v>613.75</v>
      </c>
      <c r="X141">
        <v>489.7</v>
      </c>
      <c r="Y141">
        <v>65</v>
      </c>
      <c r="Z141">
        <v>491.5</v>
      </c>
      <c r="AA141">
        <v>195</v>
      </c>
      <c r="AB141" s="6">
        <v>46147.586527777778</v>
      </c>
      <c r="AC141" s="6">
        <v>46147.586435185185</v>
      </c>
    </row>
    <row r="142" spans="1:29" x14ac:dyDescent="0.25">
      <c r="A142" t="s">
        <v>7</v>
      </c>
      <c r="B142" s="5">
        <v>46147</v>
      </c>
      <c r="C142" t="s">
        <v>54</v>
      </c>
      <c r="D142" t="s">
        <v>198</v>
      </c>
      <c r="E142">
        <v>18971138</v>
      </c>
      <c r="F142" t="s">
        <v>56</v>
      </c>
      <c r="G142" t="s">
        <v>57</v>
      </c>
      <c r="H142">
        <v>23550</v>
      </c>
      <c r="I142" t="s">
        <v>60</v>
      </c>
      <c r="J142">
        <v>0.25</v>
      </c>
      <c r="K142">
        <v>-92.424242424242436</v>
      </c>
      <c r="L142">
        <v>130</v>
      </c>
      <c r="M142">
        <v>0.72</v>
      </c>
      <c r="N142">
        <v>61376120</v>
      </c>
      <c r="O142">
        <v>26580450</v>
      </c>
      <c r="P142">
        <v>6530420</v>
      </c>
      <c r="Q142">
        <v>6155175</v>
      </c>
      <c r="R142">
        <v>6250140</v>
      </c>
      <c r="S142">
        <v>2029040</v>
      </c>
      <c r="T142">
        <v>1.6</v>
      </c>
      <c r="U142">
        <v>1.6</v>
      </c>
      <c r="V142">
        <v>0.2</v>
      </c>
      <c r="W142">
        <v>3.3</v>
      </c>
      <c r="X142">
        <v>0.2</v>
      </c>
      <c r="Y142">
        <v>4630405</v>
      </c>
      <c r="Z142">
        <v>0.25</v>
      </c>
      <c r="AA142">
        <v>1237795</v>
      </c>
      <c r="AB142" s="6">
        <v>46147.586527777778</v>
      </c>
      <c r="AC142" s="6">
        <v>46147.586516203701</v>
      </c>
    </row>
    <row r="143" spans="1:29" x14ac:dyDescent="0.25">
      <c r="A143" t="s">
        <v>7</v>
      </c>
      <c r="B143" s="5">
        <v>46147</v>
      </c>
      <c r="C143" t="s">
        <v>54</v>
      </c>
      <c r="D143" t="s">
        <v>199</v>
      </c>
      <c r="E143">
        <v>18971394</v>
      </c>
      <c r="F143" t="s">
        <v>56</v>
      </c>
      <c r="G143" t="s">
        <v>57</v>
      </c>
      <c r="H143">
        <v>23600</v>
      </c>
      <c r="I143" t="s">
        <v>58</v>
      </c>
      <c r="J143">
        <v>440.25</v>
      </c>
      <c r="K143">
        <v>-21.01722282023681</v>
      </c>
      <c r="L143">
        <v>65</v>
      </c>
      <c r="M143">
        <v>367.01</v>
      </c>
      <c r="N143">
        <v>1863290</v>
      </c>
      <c r="O143">
        <v>2604680</v>
      </c>
      <c r="P143">
        <v>31720</v>
      </c>
      <c r="Q143">
        <v>93990</v>
      </c>
      <c r="R143">
        <v>156910</v>
      </c>
      <c r="S143">
        <v>74815</v>
      </c>
      <c r="T143">
        <v>400.05</v>
      </c>
      <c r="U143">
        <v>490</v>
      </c>
      <c r="V143">
        <v>278.35000000000002</v>
      </c>
      <c r="W143">
        <v>557.4</v>
      </c>
      <c r="X143">
        <v>439.25</v>
      </c>
      <c r="Y143">
        <v>195</v>
      </c>
      <c r="Z143">
        <v>440.55</v>
      </c>
      <c r="AA143">
        <v>130</v>
      </c>
      <c r="AB143" s="6">
        <v>46147.586516203701</v>
      </c>
      <c r="AC143" s="6">
        <v>46147.586493055554</v>
      </c>
    </row>
    <row r="144" spans="1:29" x14ac:dyDescent="0.25">
      <c r="A144" t="s">
        <v>7</v>
      </c>
      <c r="B144" s="5">
        <v>46147</v>
      </c>
      <c r="C144" t="s">
        <v>54</v>
      </c>
      <c r="D144" t="s">
        <v>200</v>
      </c>
      <c r="E144">
        <v>18971650</v>
      </c>
      <c r="F144" t="s">
        <v>56</v>
      </c>
      <c r="G144" t="s">
        <v>57</v>
      </c>
      <c r="H144">
        <v>23600</v>
      </c>
      <c r="I144" t="s">
        <v>60</v>
      </c>
      <c r="J144">
        <v>0.25</v>
      </c>
      <c r="K144">
        <v>-93.827160493827165</v>
      </c>
      <c r="L144">
        <v>780</v>
      </c>
      <c r="M144">
        <v>0.88</v>
      </c>
      <c r="N144">
        <v>150044310</v>
      </c>
      <c r="O144">
        <v>33363200</v>
      </c>
      <c r="P144">
        <v>12442365</v>
      </c>
      <c r="Q144">
        <v>9586395</v>
      </c>
      <c r="R144">
        <v>10187125</v>
      </c>
      <c r="S144">
        <v>4242160</v>
      </c>
      <c r="T144">
        <v>1.8</v>
      </c>
      <c r="U144">
        <v>2.4</v>
      </c>
      <c r="V144">
        <v>0.2</v>
      </c>
      <c r="W144">
        <v>4.05</v>
      </c>
      <c r="X144">
        <v>0.2</v>
      </c>
      <c r="Y144">
        <v>6547775</v>
      </c>
      <c r="Z144">
        <v>0.25</v>
      </c>
      <c r="AA144">
        <v>2678455</v>
      </c>
      <c r="AB144" s="6">
        <v>46147.586527777778</v>
      </c>
      <c r="AC144" s="6">
        <v>46147.586527777778</v>
      </c>
    </row>
    <row r="145" spans="1:29" x14ac:dyDescent="0.25">
      <c r="A145" t="s">
        <v>7</v>
      </c>
      <c r="B145" s="5">
        <v>46147</v>
      </c>
      <c r="C145" t="s">
        <v>54</v>
      </c>
      <c r="D145" t="s">
        <v>201</v>
      </c>
      <c r="E145">
        <v>18971906</v>
      </c>
      <c r="F145" t="s">
        <v>56</v>
      </c>
      <c r="G145" t="s">
        <v>57</v>
      </c>
      <c r="H145">
        <v>23650</v>
      </c>
      <c r="I145" t="s">
        <v>58</v>
      </c>
      <c r="J145">
        <v>389.55</v>
      </c>
      <c r="K145">
        <v>-24.608089800658028</v>
      </c>
      <c r="L145">
        <v>65</v>
      </c>
      <c r="M145">
        <v>316.01</v>
      </c>
      <c r="N145">
        <v>1970410</v>
      </c>
      <c r="O145">
        <v>2124070</v>
      </c>
      <c r="P145">
        <v>36205</v>
      </c>
      <c r="Q145">
        <v>49530</v>
      </c>
      <c r="R145">
        <v>122460</v>
      </c>
      <c r="S145">
        <v>45825</v>
      </c>
      <c r="T145">
        <v>365.65</v>
      </c>
      <c r="U145">
        <v>444.6</v>
      </c>
      <c r="V145">
        <v>228.95</v>
      </c>
      <c r="W145">
        <v>516.70000000000005</v>
      </c>
      <c r="X145">
        <v>389.65</v>
      </c>
      <c r="Y145">
        <v>65</v>
      </c>
      <c r="Z145">
        <v>391.1</v>
      </c>
      <c r="AA145">
        <v>65</v>
      </c>
      <c r="AB145" s="6">
        <v>46147.586527777778</v>
      </c>
      <c r="AC145" s="6">
        <v>46147.586516203701</v>
      </c>
    </row>
    <row r="146" spans="1:29" x14ac:dyDescent="0.25">
      <c r="A146" t="s">
        <v>7</v>
      </c>
      <c r="B146" s="5">
        <v>46147</v>
      </c>
      <c r="C146" t="s">
        <v>54</v>
      </c>
      <c r="D146" t="s">
        <v>202</v>
      </c>
      <c r="E146">
        <v>18972162</v>
      </c>
      <c r="F146" t="s">
        <v>56</v>
      </c>
      <c r="G146" t="s">
        <v>57</v>
      </c>
      <c r="H146">
        <v>23650</v>
      </c>
      <c r="I146" t="s">
        <v>60</v>
      </c>
      <c r="J146">
        <v>0.3</v>
      </c>
      <c r="K146">
        <v>-94.339622641509436</v>
      </c>
      <c r="L146">
        <v>65</v>
      </c>
      <c r="M146">
        <v>1.23</v>
      </c>
      <c r="N146">
        <v>160459715</v>
      </c>
      <c r="O146">
        <v>27030640</v>
      </c>
      <c r="P146">
        <v>4639895</v>
      </c>
      <c r="Q146">
        <v>5675540</v>
      </c>
      <c r="R146">
        <v>6480370</v>
      </c>
      <c r="S146">
        <v>2302170</v>
      </c>
      <c r="T146">
        <v>1.95</v>
      </c>
      <c r="U146">
        <v>3.2</v>
      </c>
      <c r="V146">
        <v>0.2</v>
      </c>
      <c r="W146">
        <v>5.3</v>
      </c>
      <c r="X146">
        <v>0.25</v>
      </c>
      <c r="Y146">
        <v>1332760</v>
      </c>
      <c r="Z146">
        <v>0.3</v>
      </c>
      <c r="AA146">
        <v>1409330</v>
      </c>
      <c r="AB146" s="6">
        <v>46147.586527777778</v>
      </c>
      <c r="AC146" s="6">
        <v>46147.586527777778</v>
      </c>
    </row>
    <row r="147" spans="1:29" x14ac:dyDescent="0.25">
      <c r="A147" t="s">
        <v>7</v>
      </c>
      <c r="B147" s="5">
        <v>46147</v>
      </c>
      <c r="C147" t="s">
        <v>54</v>
      </c>
      <c r="D147" t="s">
        <v>203</v>
      </c>
      <c r="E147">
        <v>18972418</v>
      </c>
      <c r="F147" t="s">
        <v>56</v>
      </c>
      <c r="G147" t="s">
        <v>57</v>
      </c>
      <c r="H147">
        <v>23700</v>
      </c>
      <c r="I147" t="s">
        <v>58</v>
      </c>
      <c r="J147">
        <v>340.1</v>
      </c>
      <c r="K147">
        <v>-26.94662227472881</v>
      </c>
      <c r="L147">
        <v>780</v>
      </c>
      <c r="M147">
        <v>265.60000000000002</v>
      </c>
      <c r="N147">
        <v>13135135</v>
      </c>
      <c r="O147">
        <v>9209850</v>
      </c>
      <c r="P147">
        <v>62595</v>
      </c>
      <c r="Q147">
        <v>285675</v>
      </c>
      <c r="R147">
        <v>791765</v>
      </c>
      <c r="S147">
        <v>222820</v>
      </c>
      <c r="T147">
        <v>353</v>
      </c>
      <c r="U147">
        <v>393.2</v>
      </c>
      <c r="V147">
        <v>180</v>
      </c>
      <c r="W147">
        <v>465.55</v>
      </c>
      <c r="X147">
        <v>338.8</v>
      </c>
      <c r="Y147">
        <v>260</v>
      </c>
      <c r="Z147">
        <v>339.95</v>
      </c>
      <c r="AA147">
        <v>1170</v>
      </c>
      <c r="AB147" s="6">
        <v>46147.586516203701</v>
      </c>
      <c r="AC147" s="6">
        <v>46147.586516203701</v>
      </c>
    </row>
    <row r="148" spans="1:29" x14ac:dyDescent="0.25">
      <c r="A148" t="s">
        <v>7</v>
      </c>
      <c r="B148" s="5">
        <v>46147</v>
      </c>
      <c r="C148" t="s">
        <v>54</v>
      </c>
      <c r="D148" t="s">
        <v>204</v>
      </c>
      <c r="E148">
        <v>18975234</v>
      </c>
      <c r="F148" t="s">
        <v>56</v>
      </c>
      <c r="G148" t="s">
        <v>57</v>
      </c>
      <c r="H148">
        <v>23700</v>
      </c>
      <c r="I148" t="s">
        <v>60</v>
      </c>
      <c r="J148">
        <v>0.25</v>
      </c>
      <c r="K148">
        <v>-96.478873239436624</v>
      </c>
      <c r="L148">
        <v>780</v>
      </c>
      <c r="M148">
        <v>1.83</v>
      </c>
      <c r="N148">
        <v>325030160</v>
      </c>
      <c r="O148">
        <v>37172135</v>
      </c>
      <c r="P148">
        <v>13105365</v>
      </c>
      <c r="Q148">
        <v>10935795</v>
      </c>
      <c r="R148">
        <v>11717615</v>
      </c>
      <c r="S148">
        <v>5005975</v>
      </c>
      <c r="T148">
        <v>3</v>
      </c>
      <c r="U148">
        <v>5.8</v>
      </c>
      <c r="V148">
        <v>0.25</v>
      </c>
      <c r="W148">
        <v>7.1</v>
      </c>
      <c r="X148">
        <v>0.25</v>
      </c>
      <c r="Y148">
        <v>4789395</v>
      </c>
      <c r="Z148">
        <v>0.3</v>
      </c>
      <c r="AA148">
        <v>3310580</v>
      </c>
      <c r="AB148" s="6">
        <v>46147.586527777778</v>
      </c>
      <c r="AC148" s="6">
        <v>46147.586516203701</v>
      </c>
    </row>
    <row r="149" spans="1:29" x14ac:dyDescent="0.25">
      <c r="A149" t="s">
        <v>7</v>
      </c>
      <c r="B149" s="5">
        <v>46147</v>
      </c>
      <c r="C149" t="s">
        <v>54</v>
      </c>
      <c r="D149" t="s">
        <v>205</v>
      </c>
      <c r="E149">
        <v>18975490</v>
      </c>
      <c r="F149" t="s">
        <v>56</v>
      </c>
      <c r="G149" t="s">
        <v>57</v>
      </c>
      <c r="H149">
        <v>23750</v>
      </c>
      <c r="I149" t="s">
        <v>58</v>
      </c>
      <c r="J149">
        <v>289.95</v>
      </c>
      <c r="K149">
        <v>-31.079153791300214</v>
      </c>
      <c r="L149">
        <v>65</v>
      </c>
      <c r="M149">
        <v>212.83</v>
      </c>
      <c r="N149">
        <v>16786315</v>
      </c>
      <c r="O149">
        <v>14455610</v>
      </c>
      <c r="P149">
        <v>49335</v>
      </c>
      <c r="Q149">
        <v>284245</v>
      </c>
      <c r="R149">
        <v>957515</v>
      </c>
      <c r="S149">
        <v>113165</v>
      </c>
      <c r="T149">
        <v>307</v>
      </c>
      <c r="U149">
        <v>344</v>
      </c>
      <c r="V149">
        <v>131</v>
      </c>
      <c r="W149">
        <v>420.7</v>
      </c>
      <c r="X149">
        <v>289.35000000000002</v>
      </c>
      <c r="Y149">
        <v>130</v>
      </c>
      <c r="Z149">
        <v>290</v>
      </c>
      <c r="AA149">
        <v>65</v>
      </c>
      <c r="AB149" s="6">
        <v>46147.586527777778</v>
      </c>
      <c r="AC149" s="6">
        <v>46147.586516203701</v>
      </c>
    </row>
    <row r="150" spans="1:29" x14ac:dyDescent="0.25">
      <c r="A150" t="s">
        <v>7</v>
      </c>
      <c r="B150" s="5">
        <v>46147</v>
      </c>
      <c r="C150" t="s">
        <v>54</v>
      </c>
      <c r="D150" t="s">
        <v>206</v>
      </c>
      <c r="E150">
        <v>18976770</v>
      </c>
      <c r="F150" t="s">
        <v>56</v>
      </c>
      <c r="G150" t="s">
        <v>57</v>
      </c>
      <c r="H150">
        <v>23750</v>
      </c>
      <c r="I150" t="s">
        <v>60</v>
      </c>
      <c r="J150">
        <v>0.35</v>
      </c>
      <c r="K150">
        <v>-96.391752577319593</v>
      </c>
      <c r="L150">
        <v>650</v>
      </c>
      <c r="M150">
        <v>3.18</v>
      </c>
      <c r="N150">
        <v>421617235</v>
      </c>
      <c r="O150">
        <v>33940400</v>
      </c>
      <c r="P150">
        <v>7071935</v>
      </c>
      <c r="Q150">
        <v>7483970</v>
      </c>
      <c r="R150">
        <v>14072240</v>
      </c>
      <c r="S150">
        <v>3533985</v>
      </c>
      <c r="T150">
        <v>4</v>
      </c>
      <c r="U150">
        <v>10.199999999999999</v>
      </c>
      <c r="V150">
        <v>0.3</v>
      </c>
      <c r="W150">
        <v>9.6999999999999993</v>
      </c>
      <c r="X150">
        <v>0.3</v>
      </c>
      <c r="Y150">
        <v>2045030</v>
      </c>
      <c r="Z150">
        <v>0.35</v>
      </c>
      <c r="AA150">
        <v>1627145</v>
      </c>
      <c r="AB150" s="6">
        <v>46147.586527777778</v>
      </c>
      <c r="AC150" s="6">
        <v>46147.586527777778</v>
      </c>
    </row>
    <row r="151" spans="1:29" x14ac:dyDescent="0.25">
      <c r="A151" t="s">
        <v>7</v>
      </c>
      <c r="B151" s="5">
        <v>46147</v>
      </c>
      <c r="C151" t="s">
        <v>54</v>
      </c>
      <c r="D151" t="s">
        <v>207</v>
      </c>
      <c r="E151">
        <v>18977026</v>
      </c>
      <c r="F151" t="s">
        <v>56</v>
      </c>
      <c r="G151" t="s">
        <v>57</v>
      </c>
      <c r="H151">
        <v>23800</v>
      </c>
      <c r="I151" t="s">
        <v>58</v>
      </c>
      <c r="J151">
        <v>239.55</v>
      </c>
      <c r="K151">
        <v>-35.072503049193656</v>
      </c>
      <c r="L151">
        <v>65</v>
      </c>
      <c r="M151">
        <v>168.4</v>
      </c>
      <c r="N151">
        <v>95310735</v>
      </c>
      <c r="O151">
        <v>26979030</v>
      </c>
      <c r="P151">
        <v>156065</v>
      </c>
      <c r="Q151">
        <v>1000675</v>
      </c>
      <c r="R151">
        <v>4895020</v>
      </c>
      <c r="S151">
        <v>574990</v>
      </c>
      <c r="T151">
        <v>263</v>
      </c>
      <c r="U151">
        <v>294.05</v>
      </c>
      <c r="V151">
        <v>93.45</v>
      </c>
      <c r="W151">
        <v>368.95</v>
      </c>
      <c r="X151">
        <v>239.75</v>
      </c>
      <c r="Y151">
        <v>130</v>
      </c>
      <c r="Z151">
        <v>240.3</v>
      </c>
      <c r="AA151">
        <v>260</v>
      </c>
      <c r="AB151" s="6">
        <v>46147.586527777778</v>
      </c>
      <c r="AC151" s="6">
        <v>46147.586504629631</v>
      </c>
    </row>
    <row r="152" spans="1:29" x14ac:dyDescent="0.25">
      <c r="A152" t="s">
        <v>7</v>
      </c>
      <c r="B152" s="5">
        <v>46147</v>
      </c>
      <c r="C152" t="s">
        <v>54</v>
      </c>
      <c r="D152" t="s">
        <v>208</v>
      </c>
      <c r="E152">
        <v>18977282</v>
      </c>
      <c r="F152" t="s">
        <v>56</v>
      </c>
      <c r="G152" t="s">
        <v>57</v>
      </c>
      <c r="H152">
        <v>23800</v>
      </c>
      <c r="I152" t="s">
        <v>60</v>
      </c>
      <c r="J152">
        <v>0.45</v>
      </c>
      <c r="K152">
        <v>-96.678966789667911</v>
      </c>
      <c r="L152">
        <v>260</v>
      </c>
      <c r="M152">
        <v>6.36</v>
      </c>
      <c r="N152">
        <v>831553580</v>
      </c>
      <c r="O152">
        <v>71815705</v>
      </c>
      <c r="P152">
        <v>11495835</v>
      </c>
      <c r="Q152">
        <v>11942255</v>
      </c>
      <c r="R152">
        <v>23960430</v>
      </c>
      <c r="S152">
        <v>5883215</v>
      </c>
      <c r="T152">
        <v>9.6</v>
      </c>
      <c r="U152">
        <v>18</v>
      </c>
      <c r="V152">
        <v>0.4</v>
      </c>
      <c r="W152">
        <v>13.55</v>
      </c>
      <c r="X152">
        <v>0.4</v>
      </c>
      <c r="Y152">
        <v>5416450</v>
      </c>
      <c r="Z152">
        <v>0.45</v>
      </c>
      <c r="AA152">
        <v>2085915</v>
      </c>
      <c r="AB152" s="6">
        <v>46147.586527777778</v>
      </c>
      <c r="AC152" s="6">
        <v>46147.586527777778</v>
      </c>
    </row>
    <row r="153" spans="1:29" x14ac:dyDescent="0.25">
      <c r="A153" t="s">
        <v>7</v>
      </c>
      <c r="B153" s="5">
        <v>46147</v>
      </c>
      <c r="C153" t="s">
        <v>54</v>
      </c>
      <c r="D153" t="s">
        <v>209</v>
      </c>
      <c r="E153">
        <v>18977538</v>
      </c>
      <c r="F153" t="s">
        <v>56</v>
      </c>
      <c r="G153" t="s">
        <v>57</v>
      </c>
      <c r="H153">
        <v>23850</v>
      </c>
      <c r="I153" t="s">
        <v>58</v>
      </c>
      <c r="J153">
        <v>189.75</v>
      </c>
      <c r="K153">
        <v>-41.408059286706809</v>
      </c>
      <c r="L153">
        <v>65</v>
      </c>
      <c r="M153">
        <v>119.17</v>
      </c>
      <c r="N153">
        <v>127391875</v>
      </c>
      <c r="O153">
        <v>31233800</v>
      </c>
      <c r="P153">
        <v>117910</v>
      </c>
      <c r="Q153">
        <v>1223625</v>
      </c>
      <c r="R153">
        <v>5557370</v>
      </c>
      <c r="S153">
        <v>353535</v>
      </c>
      <c r="T153">
        <v>223</v>
      </c>
      <c r="U153">
        <v>244.8</v>
      </c>
      <c r="V153">
        <v>59.15</v>
      </c>
      <c r="W153">
        <v>323.85000000000002</v>
      </c>
      <c r="X153">
        <v>189.95</v>
      </c>
      <c r="Y153">
        <v>130</v>
      </c>
      <c r="Z153">
        <v>190.45</v>
      </c>
      <c r="AA153">
        <v>260</v>
      </c>
      <c r="AB153" s="6">
        <v>46147.586527777778</v>
      </c>
      <c r="AC153" s="6">
        <v>46147.586527777778</v>
      </c>
    </row>
    <row r="154" spans="1:29" x14ac:dyDescent="0.25">
      <c r="A154" t="s">
        <v>7</v>
      </c>
      <c r="B154" s="5">
        <v>46147</v>
      </c>
      <c r="C154" t="s">
        <v>54</v>
      </c>
      <c r="D154" t="s">
        <v>210</v>
      </c>
      <c r="E154">
        <v>18977794</v>
      </c>
      <c r="F154" t="s">
        <v>56</v>
      </c>
      <c r="G154" t="s">
        <v>57</v>
      </c>
      <c r="H154">
        <v>23850</v>
      </c>
      <c r="I154" t="s">
        <v>60</v>
      </c>
      <c r="J154">
        <v>0.6</v>
      </c>
      <c r="K154">
        <v>-96.79144385026737</v>
      </c>
      <c r="L154">
        <v>195</v>
      </c>
      <c r="M154">
        <v>11.58</v>
      </c>
      <c r="N154">
        <v>920960885</v>
      </c>
      <c r="O154">
        <v>76282895</v>
      </c>
      <c r="P154">
        <v>7113340</v>
      </c>
      <c r="Q154">
        <v>11521510</v>
      </c>
      <c r="R154">
        <v>21383440</v>
      </c>
      <c r="S154">
        <v>2602795</v>
      </c>
      <c r="T154">
        <v>18.5</v>
      </c>
      <c r="U154">
        <v>33</v>
      </c>
      <c r="V154">
        <v>0.55000000000000004</v>
      </c>
      <c r="W154">
        <v>18.7</v>
      </c>
      <c r="X154">
        <v>0.6</v>
      </c>
      <c r="Y154">
        <v>1894490</v>
      </c>
      <c r="Z154">
        <v>0.65</v>
      </c>
      <c r="AA154">
        <v>2081950</v>
      </c>
      <c r="AB154" s="6">
        <v>46147.586527777778</v>
      </c>
      <c r="AC154" s="6">
        <v>46147.586516203701</v>
      </c>
    </row>
    <row r="155" spans="1:29" x14ac:dyDescent="0.25">
      <c r="A155" t="s">
        <v>7</v>
      </c>
      <c r="B155" s="5">
        <v>46147</v>
      </c>
      <c r="C155" t="s">
        <v>54</v>
      </c>
      <c r="D155" t="s">
        <v>211</v>
      </c>
      <c r="E155">
        <v>18978050</v>
      </c>
      <c r="F155" t="s">
        <v>56</v>
      </c>
      <c r="G155" t="s">
        <v>57</v>
      </c>
      <c r="H155">
        <v>23900</v>
      </c>
      <c r="I155" t="s">
        <v>58</v>
      </c>
      <c r="J155">
        <v>141.15</v>
      </c>
      <c r="K155">
        <v>-50.088401697312584</v>
      </c>
      <c r="L155">
        <v>130</v>
      </c>
      <c r="M155">
        <v>85.08</v>
      </c>
      <c r="N155">
        <v>526115005</v>
      </c>
      <c r="O155">
        <v>47713900</v>
      </c>
      <c r="P155">
        <v>398710</v>
      </c>
      <c r="Q155">
        <v>4150705</v>
      </c>
      <c r="R155">
        <v>21669375</v>
      </c>
      <c r="S155">
        <v>774540</v>
      </c>
      <c r="T155">
        <v>187.6</v>
      </c>
      <c r="U155">
        <v>199</v>
      </c>
      <c r="V155">
        <v>34.35</v>
      </c>
      <c r="W155">
        <v>282.8</v>
      </c>
      <c r="X155">
        <v>141.1</v>
      </c>
      <c r="Y155">
        <v>260</v>
      </c>
      <c r="Z155">
        <v>141.44999999999999</v>
      </c>
      <c r="AA155">
        <v>585</v>
      </c>
      <c r="AB155" s="6">
        <v>46147.586527777778</v>
      </c>
      <c r="AC155" s="6">
        <v>46147.586527777778</v>
      </c>
    </row>
    <row r="156" spans="1:29" x14ac:dyDescent="0.25">
      <c r="A156" t="s">
        <v>7</v>
      </c>
      <c r="B156" s="5">
        <v>46147</v>
      </c>
      <c r="C156" t="s">
        <v>54</v>
      </c>
      <c r="D156" t="s">
        <v>212</v>
      </c>
      <c r="E156">
        <v>18978306</v>
      </c>
      <c r="F156" t="s">
        <v>56</v>
      </c>
      <c r="G156" t="s">
        <v>57</v>
      </c>
      <c r="H156">
        <v>23900</v>
      </c>
      <c r="I156" t="s">
        <v>60</v>
      </c>
      <c r="J156">
        <v>1.45</v>
      </c>
      <c r="K156">
        <v>-94.324853228962809</v>
      </c>
      <c r="L156">
        <v>390</v>
      </c>
      <c r="M156">
        <v>21.43</v>
      </c>
      <c r="N156">
        <v>1514050525</v>
      </c>
      <c r="O156">
        <v>122367245</v>
      </c>
      <c r="P156">
        <v>8077225</v>
      </c>
      <c r="Q156">
        <v>25458030</v>
      </c>
      <c r="R156">
        <v>32688045</v>
      </c>
      <c r="S156">
        <v>5371730</v>
      </c>
      <c r="T156">
        <v>29.9</v>
      </c>
      <c r="U156">
        <v>58.8</v>
      </c>
      <c r="V156">
        <v>1.25</v>
      </c>
      <c r="W156">
        <v>25.55</v>
      </c>
      <c r="X156">
        <v>1.4</v>
      </c>
      <c r="Y156">
        <v>2027935</v>
      </c>
      <c r="Z156">
        <v>1.45</v>
      </c>
      <c r="AA156">
        <v>1437215</v>
      </c>
      <c r="AB156" s="6">
        <v>46147.586527777778</v>
      </c>
      <c r="AC156" s="6">
        <v>46147.586527777778</v>
      </c>
    </row>
    <row r="157" spans="1:29" x14ac:dyDescent="0.25">
      <c r="A157" t="s">
        <v>7</v>
      </c>
      <c r="B157" s="5">
        <v>46147</v>
      </c>
      <c r="C157" t="s">
        <v>54</v>
      </c>
      <c r="D157" t="s">
        <v>213</v>
      </c>
      <c r="E157">
        <v>18978562</v>
      </c>
      <c r="F157" t="s">
        <v>56</v>
      </c>
      <c r="G157" t="s">
        <v>57</v>
      </c>
      <c r="H157">
        <v>23950</v>
      </c>
      <c r="I157" t="s">
        <v>58</v>
      </c>
      <c r="J157">
        <v>94</v>
      </c>
      <c r="K157">
        <v>-61.31687242798354</v>
      </c>
      <c r="L157">
        <v>65</v>
      </c>
      <c r="M157">
        <v>57.55</v>
      </c>
      <c r="N157">
        <v>822424395</v>
      </c>
      <c r="O157">
        <v>53033240</v>
      </c>
      <c r="P157">
        <v>599885</v>
      </c>
      <c r="Q157">
        <v>5116540</v>
      </c>
      <c r="R157">
        <v>28234440</v>
      </c>
      <c r="S157">
        <v>358020</v>
      </c>
      <c r="T157">
        <v>148</v>
      </c>
      <c r="U157">
        <v>153</v>
      </c>
      <c r="V157">
        <v>19.3</v>
      </c>
      <c r="W157">
        <v>243</v>
      </c>
      <c r="X157">
        <v>94.25</v>
      </c>
      <c r="Y157">
        <v>390</v>
      </c>
      <c r="Z157">
        <v>94.45</v>
      </c>
      <c r="AA157">
        <v>260</v>
      </c>
      <c r="AB157" s="6">
        <v>46147.586527777778</v>
      </c>
      <c r="AC157" s="6">
        <v>46147.586527777778</v>
      </c>
    </row>
    <row r="158" spans="1:29" x14ac:dyDescent="0.25">
      <c r="A158" t="s">
        <v>7</v>
      </c>
      <c r="B158" s="5">
        <v>46147</v>
      </c>
      <c r="C158" t="s">
        <v>54</v>
      </c>
      <c r="D158" t="s">
        <v>214</v>
      </c>
      <c r="E158">
        <v>18981378</v>
      </c>
      <c r="F158" t="s">
        <v>56</v>
      </c>
      <c r="G158" t="s">
        <v>57</v>
      </c>
      <c r="H158">
        <v>23950</v>
      </c>
      <c r="I158" t="s">
        <v>60</v>
      </c>
      <c r="J158">
        <v>4.2</v>
      </c>
      <c r="K158">
        <v>-88.185654008438831</v>
      </c>
      <c r="L158">
        <v>1235</v>
      </c>
      <c r="M158">
        <v>32.28</v>
      </c>
      <c r="N158">
        <v>1360012615</v>
      </c>
      <c r="O158">
        <v>77543440</v>
      </c>
      <c r="P158">
        <v>5010265</v>
      </c>
      <c r="Q158">
        <v>31117580</v>
      </c>
      <c r="R158">
        <v>32648980</v>
      </c>
      <c r="S158">
        <v>2707900</v>
      </c>
      <c r="T158">
        <v>45</v>
      </c>
      <c r="U158">
        <v>93.9</v>
      </c>
      <c r="V158">
        <v>3.4</v>
      </c>
      <c r="W158">
        <v>35.549999999999997</v>
      </c>
      <c r="X158">
        <v>4.0999999999999996</v>
      </c>
      <c r="Y158">
        <v>38545</v>
      </c>
      <c r="Z158">
        <v>4.1500000000000004</v>
      </c>
      <c r="AA158">
        <v>134875</v>
      </c>
      <c r="AB158" s="6">
        <v>46147.586527777778</v>
      </c>
      <c r="AC158" s="6">
        <v>46147.586527777778</v>
      </c>
    </row>
    <row r="159" spans="1:29" x14ac:dyDescent="0.25">
      <c r="A159" t="s">
        <v>7</v>
      </c>
      <c r="B159" s="5">
        <v>46147</v>
      </c>
      <c r="C159" t="s">
        <v>54</v>
      </c>
      <c r="D159" t="s">
        <v>215</v>
      </c>
      <c r="E159">
        <v>18981634</v>
      </c>
      <c r="F159" t="s">
        <v>56</v>
      </c>
      <c r="G159" t="s">
        <v>57</v>
      </c>
      <c r="H159">
        <v>24000</v>
      </c>
      <c r="I159" t="s">
        <v>58</v>
      </c>
      <c r="J159">
        <v>53.6</v>
      </c>
      <c r="K159">
        <v>-73.802541544477037</v>
      </c>
      <c r="L159">
        <v>65</v>
      </c>
      <c r="M159">
        <v>44.79</v>
      </c>
      <c r="N159">
        <v>1608993685</v>
      </c>
      <c r="O159">
        <v>109391685</v>
      </c>
      <c r="P159">
        <v>2711670</v>
      </c>
      <c r="Q159">
        <v>19918080</v>
      </c>
      <c r="R159">
        <v>47048885</v>
      </c>
      <c r="S159">
        <v>3557190</v>
      </c>
      <c r="T159">
        <v>100</v>
      </c>
      <c r="U159">
        <v>125</v>
      </c>
      <c r="V159">
        <v>11.2</v>
      </c>
      <c r="W159">
        <v>204.6</v>
      </c>
      <c r="X159">
        <v>53.5</v>
      </c>
      <c r="Y159">
        <v>260</v>
      </c>
      <c r="Z159">
        <v>53.65</v>
      </c>
      <c r="AA159">
        <v>520</v>
      </c>
      <c r="AB159" s="6">
        <v>46147.586527777778</v>
      </c>
      <c r="AC159" s="6">
        <v>46147.586527777778</v>
      </c>
    </row>
    <row r="160" spans="1:29" x14ac:dyDescent="0.25">
      <c r="A160" t="s">
        <v>7</v>
      </c>
      <c r="B160" s="5">
        <v>46147</v>
      </c>
      <c r="C160" t="s">
        <v>54</v>
      </c>
      <c r="D160" t="s">
        <v>216</v>
      </c>
      <c r="E160">
        <v>18983426</v>
      </c>
      <c r="F160" t="s">
        <v>56</v>
      </c>
      <c r="G160" t="s">
        <v>57</v>
      </c>
      <c r="H160">
        <v>24000</v>
      </c>
      <c r="I160" t="s">
        <v>60</v>
      </c>
      <c r="J160">
        <v>13.3</v>
      </c>
      <c r="K160">
        <v>-72.377985462097598</v>
      </c>
      <c r="L160">
        <v>130</v>
      </c>
      <c r="M160">
        <v>47.05</v>
      </c>
      <c r="N160">
        <v>1591346900</v>
      </c>
      <c r="O160">
        <v>114449205</v>
      </c>
      <c r="P160">
        <v>6616285</v>
      </c>
      <c r="Q160">
        <v>46430995</v>
      </c>
      <c r="R160">
        <v>46430995</v>
      </c>
      <c r="S160">
        <v>8007285</v>
      </c>
      <c r="T160">
        <v>60.05</v>
      </c>
      <c r="U160">
        <v>159.94999999999999</v>
      </c>
      <c r="V160">
        <v>9.9499999999999993</v>
      </c>
      <c r="W160">
        <v>48.15</v>
      </c>
      <c r="X160">
        <v>13.25</v>
      </c>
      <c r="Y160">
        <v>14300</v>
      </c>
      <c r="Z160">
        <v>13.35</v>
      </c>
      <c r="AA160">
        <v>15015</v>
      </c>
      <c r="AB160" s="6">
        <v>46147.586527777778</v>
      </c>
      <c r="AC160" s="6">
        <v>46147.586527777778</v>
      </c>
    </row>
    <row r="161" spans="1:29" x14ac:dyDescent="0.25">
      <c r="A161" t="s">
        <v>7</v>
      </c>
      <c r="B161" s="5">
        <v>46147</v>
      </c>
      <c r="C161" t="s">
        <v>54</v>
      </c>
      <c r="D161" t="s">
        <v>217</v>
      </c>
      <c r="E161">
        <v>18983682</v>
      </c>
      <c r="F161" t="s">
        <v>56</v>
      </c>
      <c r="G161" t="s">
        <v>57</v>
      </c>
      <c r="H161">
        <v>24050</v>
      </c>
      <c r="I161" t="s">
        <v>58</v>
      </c>
      <c r="J161">
        <v>23.95</v>
      </c>
      <c r="K161">
        <v>-85.944835680751183</v>
      </c>
      <c r="L161">
        <v>65</v>
      </c>
      <c r="M161">
        <v>30.96</v>
      </c>
      <c r="N161">
        <v>1309383010</v>
      </c>
      <c r="O161">
        <v>75811580</v>
      </c>
      <c r="P161">
        <v>3412955</v>
      </c>
      <c r="Q161">
        <v>26780325</v>
      </c>
      <c r="R161">
        <v>27754025</v>
      </c>
      <c r="S161">
        <v>1149070</v>
      </c>
      <c r="T161">
        <v>97.7</v>
      </c>
      <c r="U161">
        <v>97.7</v>
      </c>
      <c r="V161">
        <v>6.6</v>
      </c>
      <c r="W161">
        <v>170.4</v>
      </c>
      <c r="X161">
        <v>24</v>
      </c>
      <c r="Y161">
        <v>3445</v>
      </c>
      <c r="Z161">
        <v>24.1</v>
      </c>
      <c r="AA161">
        <v>7735</v>
      </c>
      <c r="AB161" s="6">
        <v>46147.586527777778</v>
      </c>
      <c r="AC161" s="6">
        <v>46147.586516203701</v>
      </c>
    </row>
    <row r="162" spans="1:29" x14ac:dyDescent="0.25">
      <c r="A162" t="s">
        <v>7</v>
      </c>
      <c r="B162" s="5">
        <v>46147</v>
      </c>
      <c r="C162" t="s">
        <v>54</v>
      </c>
      <c r="D162" t="s">
        <v>218</v>
      </c>
      <c r="E162">
        <v>18983938</v>
      </c>
      <c r="F162" t="s">
        <v>56</v>
      </c>
      <c r="G162" t="s">
        <v>57</v>
      </c>
      <c r="H162">
        <v>24050</v>
      </c>
      <c r="I162" t="s">
        <v>60</v>
      </c>
      <c r="J162">
        <v>34.799999999999997</v>
      </c>
      <c r="K162">
        <v>-46.910755148741423</v>
      </c>
      <c r="L162">
        <v>130</v>
      </c>
      <c r="M162">
        <v>63.22</v>
      </c>
      <c r="N162">
        <v>699489570</v>
      </c>
      <c r="O162">
        <v>63549525</v>
      </c>
      <c r="P162">
        <v>2165345</v>
      </c>
      <c r="Q162">
        <v>18341505</v>
      </c>
      <c r="R162">
        <v>18646810</v>
      </c>
      <c r="S162">
        <v>2425215</v>
      </c>
      <c r="T162">
        <v>69.95</v>
      </c>
      <c r="U162">
        <v>180.45</v>
      </c>
      <c r="V162">
        <v>22.4</v>
      </c>
      <c r="W162">
        <v>65.55</v>
      </c>
      <c r="X162">
        <v>34.5</v>
      </c>
      <c r="Y162">
        <v>2405</v>
      </c>
      <c r="Z162">
        <v>34.6</v>
      </c>
      <c r="AA162">
        <v>390</v>
      </c>
      <c r="AB162" s="6">
        <v>46147.586527777778</v>
      </c>
      <c r="AC162" s="6">
        <v>46147.586516203701</v>
      </c>
    </row>
    <row r="163" spans="1:29" x14ac:dyDescent="0.25">
      <c r="A163" t="s">
        <v>7</v>
      </c>
      <c r="B163" s="5">
        <v>46147</v>
      </c>
      <c r="C163" t="s">
        <v>54</v>
      </c>
      <c r="D163" t="s">
        <v>219</v>
      </c>
      <c r="E163">
        <v>18984194</v>
      </c>
      <c r="F163" t="s">
        <v>56</v>
      </c>
      <c r="G163" t="s">
        <v>57</v>
      </c>
      <c r="H163">
        <v>24100</v>
      </c>
      <c r="I163" t="s">
        <v>58</v>
      </c>
      <c r="J163">
        <v>9.25</v>
      </c>
      <c r="K163">
        <v>-93.402282453637653</v>
      </c>
      <c r="L163">
        <v>1495</v>
      </c>
      <c r="M163">
        <v>18.45</v>
      </c>
      <c r="N163">
        <v>1510421575</v>
      </c>
      <c r="O163">
        <v>96451810</v>
      </c>
      <c r="P163">
        <v>6548165</v>
      </c>
      <c r="Q163">
        <v>41422615</v>
      </c>
      <c r="R163">
        <v>41422615</v>
      </c>
      <c r="S163">
        <v>5945615</v>
      </c>
      <c r="T163">
        <v>70</v>
      </c>
      <c r="U163">
        <v>77.7</v>
      </c>
      <c r="V163">
        <v>4.0999999999999996</v>
      </c>
      <c r="W163">
        <v>140.19999999999999</v>
      </c>
      <c r="X163">
        <v>9.15</v>
      </c>
      <c r="Y163">
        <v>68185</v>
      </c>
      <c r="Z163">
        <v>9.1999999999999993</v>
      </c>
      <c r="AA163">
        <v>260</v>
      </c>
      <c r="AB163" s="6">
        <v>46147.586527777778</v>
      </c>
      <c r="AC163" s="6">
        <v>46147.586516203701</v>
      </c>
    </row>
    <row r="164" spans="1:29" x14ac:dyDescent="0.25">
      <c r="A164" t="s">
        <v>7</v>
      </c>
      <c r="B164" s="5">
        <v>46147</v>
      </c>
      <c r="C164" t="s">
        <v>54</v>
      </c>
      <c r="D164" t="s">
        <v>220</v>
      </c>
      <c r="E164">
        <v>18985986</v>
      </c>
      <c r="F164" t="s">
        <v>56</v>
      </c>
      <c r="G164" t="s">
        <v>57</v>
      </c>
      <c r="H164">
        <v>24100</v>
      </c>
      <c r="I164" t="s">
        <v>60</v>
      </c>
      <c r="J164">
        <v>69.8</v>
      </c>
      <c r="K164">
        <v>-16.004813477737663</v>
      </c>
      <c r="L164">
        <v>130</v>
      </c>
      <c r="M164">
        <v>102.53</v>
      </c>
      <c r="N164">
        <v>429656695</v>
      </c>
      <c r="O164">
        <v>62256935</v>
      </c>
      <c r="P164">
        <v>1283035</v>
      </c>
      <c r="Q164">
        <v>10270910</v>
      </c>
      <c r="R164">
        <v>11425635</v>
      </c>
      <c r="S164">
        <v>2855385</v>
      </c>
      <c r="T164">
        <v>101.1</v>
      </c>
      <c r="U164">
        <v>227.95</v>
      </c>
      <c r="V164">
        <v>44.4</v>
      </c>
      <c r="W164">
        <v>83.1</v>
      </c>
      <c r="X164">
        <v>69.7</v>
      </c>
      <c r="Y164">
        <v>130</v>
      </c>
      <c r="Z164">
        <v>69.900000000000006</v>
      </c>
      <c r="AA164">
        <v>325</v>
      </c>
      <c r="AB164" s="6">
        <v>46147.586527777778</v>
      </c>
      <c r="AC164" s="6">
        <v>46147.586516203701</v>
      </c>
    </row>
    <row r="165" spans="1:29" x14ac:dyDescent="0.25">
      <c r="A165" t="s">
        <v>7</v>
      </c>
      <c r="B165" s="5">
        <v>46147</v>
      </c>
      <c r="C165" t="s">
        <v>54</v>
      </c>
      <c r="D165" t="s">
        <v>221</v>
      </c>
      <c r="E165">
        <v>18986242</v>
      </c>
      <c r="F165" t="s">
        <v>56</v>
      </c>
      <c r="G165" t="s">
        <v>57</v>
      </c>
      <c r="H165">
        <v>24150</v>
      </c>
      <c r="I165" t="s">
        <v>58</v>
      </c>
      <c r="J165">
        <v>3.25</v>
      </c>
      <c r="K165">
        <v>-97.173913043478265</v>
      </c>
      <c r="L165">
        <v>195</v>
      </c>
      <c r="M165">
        <v>10.39</v>
      </c>
      <c r="N165">
        <v>873264730</v>
      </c>
      <c r="O165">
        <v>94753620</v>
      </c>
      <c r="P165">
        <v>3414710</v>
      </c>
      <c r="Q165">
        <v>21066500</v>
      </c>
      <c r="R165">
        <v>21066500</v>
      </c>
      <c r="S165">
        <v>3569800</v>
      </c>
      <c r="T165">
        <v>47.7</v>
      </c>
      <c r="U165">
        <v>47.7</v>
      </c>
      <c r="V165">
        <v>2.35</v>
      </c>
      <c r="W165">
        <v>115</v>
      </c>
      <c r="X165">
        <v>3.25</v>
      </c>
      <c r="Y165">
        <v>63830</v>
      </c>
      <c r="Z165">
        <v>3.3</v>
      </c>
      <c r="AA165">
        <v>129155</v>
      </c>
      <c r="AB165" s="6">
        <v>46147.586527777778</v>
      </c>
      <c r="AC165" s="6">
        <v>46147.586504629631</v>
      </c>
    </row>
    <row r="166" spans="1:29" x14ac:dyDescent="0.25">
      <c r="A166" t="s">
        <v>7</v>
      </c>
      <c r="B166" s="5">
        <v>46147</v>
      </c>
      <c r="C166" t="s">
        <v>54</v>
      </c>
      <c r="D166" t="s">
        <v>222</v>
      </c>
      <c r="E166">
        <v>18986498</v>
      </c>
      <c r="F166" t="s">
        <v>56</v>
      </c>
      <c r="G166" t="s">
        <v>57</v>
      </c>
      <c r="H166">
        <v>24150</v>
      </c>
      <c r="I166" t="s">
        <v>60</v>
      </c>
      <c r="J166">
        <v>114.35</v>
      </c>
      <c r="K166">
        <v>8.8529271775345055</v>
      </c>
      <c r="L166">
        <v>65</v>
      </c>
      <c r="M166">
        <v>141.68</v>
      </c>
      <c r="N166">
        <v>106209155</v>
      </c>
      <c r="O166">
        <v>42089450</v>
      </c>
      <c r="P166">
        <v>236665</v>
      </c>
      <c r="Q166">
        <v>2483130</v>
      </c>
      <c r="R166">
        <v>2501330</v>
      </c>
      <c r="S166">
        <v>810485</v>
      </c>
      <c r="T166">
        <v>147.35</v>
      </c>
      <c r="U166">
        <v>276.39999999999998</v>
      </c>
      <c r="V166">
        <v>75.400000000000006</v>
      </c>
      <c r="W166">
        <v>105.05</v>
      </c>
      <c r="X166">
        <v>113.95</v>
      </c>
      <c r="Y166">
        <v>325</v>
      </c>
      <c r="Z166">
        <v>114.25</v>
      </c>
      <c r="AA166">
        <v>390</v>
      </c>
      <c r="AB166" s="6">
        <v>46147.586527777778</v>
      </c>
      <c r="AC166" s="6">
        <v>46147.586504629631</v>
      </c>
    </row>
    <row r="167" spans="1:29" x14ac:dyDescent="0.25">
      <c r="A167" t="s">
        <v>7</v>
      </c>
      <c r="B167" s="5">
        <v>46147</v>
      </c>
      <c r="C167" t="s">
        <v>54</v>
      </c>
      <c r="D167" t="s">
        <v>223</v>
      </c>
      <c r="E167">
        <v>18986754</v>
      </c>
      <c r="F167" t="s">
        <v>56</v>
      </c>
      <c r="G167" t="s">
        <v>57</v>
      </c>
      <c r="H167">
        <v>24200</v>
      </c>
      <c r="I167" t="s">
        <v>58</v>
      </c>
      <c r="J167">
        <v>1.35</v>
      </c>
      <c r="K167">
        <v>-98.530212302667394</v>
      </c>
      <c r="L167">
        <v>1040</v>
      </c>
      <c r="M167">
        <v>7.01</v>
      </c>
      <c r="N167">
        <v>896930580</v>
      </c>
      <c r="O167">
        <v>104638040</v>
      </c>
      <c r="P167">
        <v>5254145</v>
      </c>
      <c r="Q167">
        <v>25664210</v>
      </c>
      <c r="R167">
        <v>29928145</v>
      </c>
      <c r="S167">
        <v>10397400</v>
      </c>
      <c r="T167">
        <v>37.700000000000003</v>
      </c>
      <c r="U167">
        <v>37.700000000000003</v>
      </c>
      <c r="V167">
        <v>1.1499999999999999</v>
      </c>
      <c r="W167">
        <v>91.85</v>
      </c>
      <c r="X167">
        <v>1.35</v>
      </c>
      <c r="Y167">
        <v>712855</v>
      </c>
      <c r="Z167">
        <v>1.4</v>
      </c>
      <c r="AA167">
        <v>204360</v>
      </c>
      <c r="AB167" s="6">
        <v>46147.586539351854</v>
      </c>
      <c r="AC167" s="6">
        <v>46147.586527777778</v>
      </c>
    </row>
    <row r="168" spans="1:29" x14ac:dyDescent="0.25">
      <c r="A168" t="s">
        <v>7</v>
      </c>
      <c r="B168" s="5">
        <v>46147</v>
      </c>
      <c r="C168" t="s">
        <v>54</v>
      </c>
      <c r="D168" t="s">
        <v>224</v>
      </c>
      <c r="E168">
        <v>18987010</v>
      </c>
      <c r="F168" t="s">
        <v>56</v>
      </c>
      <c r="G168" t="s">
        <v>57</v>
      </c>
      <c r="H168">
        <v>24200</v>
      </c>
      <c r="I168" t="s">
        <v>60</v>
      </c>
      <c r="J168">
        <v>161.25</v>
      </c>
      <c r="K168">
        <v>22.15909090909091</v>
      </c>
      <c r="L168">
        <v>65</v>
      </c>
      <c r="M168">
        <v>193.48</v>
      </c>
      <c r="N168">
        <v>103713610</v>
      </c>
      <c r="O168">
        <v>43316715</v>
      </c>
      <c r="P168">
        <v>338000</v>
      </c>
      <c r="Q168">
        <v>2744755</v>
      </c>
      <c r="R168">
        <v>4880720</v>
      </c>
      <c r="S168">
        <v>2072525</v>
      </c>
      <c r="T168">
        <v>150</v>
      </c>
      <c r="U168">
        <v>425.15</v>
      </c>
      <c r="V168">
        <v>116</v>
      </c>
      <c r="W168">
        <v>132</v>
      </c>
      <c r="X168">
        <v>161.44999999999999</v>
      </c>
      <c r="Y168">
        <v>65</v>
      </c>
      <c r="Z168">
        <v>161.85</v>
      </c>
      <c r="AA168">
        <v>195</v>
      </c>
      <c r="AB168" s="6">
        <v>46147.586527777778</v>
      </c>
      <c r="AC168" s="6">
        <v>46147.586527777778</v>
      </c>
    </row>
    <row r="169" spans="1:29" x14ac:dyDescent="0.25">
      <c r="A169" t="s">
        <v>7</v>
      </c>
      <c r="B169" s="5">
        <v>46147</v>
      </c>
      <c r="C169" t="s">
        <v>54</v>
      </c>
      <c r="D169" t="s">
        <v>225</v>
      </c>
      <c r="E169">
        <v>18987266</v>
      </c>
      <c r="F169" t="s">
        <v>56</v>
      </c>
      <c r="G169" t="s">
        <v>57</v>
      </c>
      <c r="H169">
        <v>24250</v>
      </c>
      <c r="I169" t="s">
        <v>58</v>
      </c>
      <c r="J169">
        <v>0.75</v>
      </c>
      <c r="K169">
        <v>-98.974008207934332</v>
      </c>
      <c r="L169">
        <v>65</v>
      </c>
      <c r="M169">
        <v>3.92</v>
      </c>
      <c r="N169">
        <v>589075955</v>
      </c>
      <c r="O169">
        <v>82682600</v>
      </c>
      <c r="P169">
        <v>8969350</v>
      </c>
      <c r="Q169">
        <v>14172535</v>
      </c>
      <c r="R169">
        <v>15321410</v>
      </c>
      <c r="S169">
        <v>5794620</v>
      </c>
      <c r="T169">
        <v>28</v>
      </c>
      <c r="U169">
        <v>28</v>
      </c>
      <c r="V169">
        <v>0.7</v>
      </c>
      <c r="W169">
        <v>73.099999999999994</v>
      </c>
      <c r="X169">
        <v>0.7</v>
      </c>
      <c r="Y169">
        <v>1836575</v>
      </c>
      <c r="Z169">
        <v>0.75</v>
      </c>
      <c r="AA169">
        <v>1455155</v>
      </c>
      <c r="AB169" s="6">
        <v>46147.586527777778</v>
      </c>
      <c r="AC169" s="6">
        <v>46147.586527777778</v>
      </c>
    </row>
    <row r="170" spans="1:29" x14ac:dyDescent="0.25">
      <c r="A170" t="s">
        <v>7</v>
      </c>
      <c r="B170" s="5">
        <v>46147</v>
      </c>
      <c r="C170" t="s">
        <v>54</v>
      </c>
      <c r="D170" t="s">
        <v>226</v>
      </c>
      <c r="E170">
        <v>18987522</v>
      </c>
      <c r="F170" t="s">
        <v>56</v>
      </c>
      <c r="G170" t="s">
        <v>57</v>
      </c>
      <c r="H170">
        <v>24250</v>
      </c>
      <c r="I170" t="s">
        <v>60</v>
      </c>
      <c r="J170">
        <v>210.55</v>
      </c>
      <c r="K170">
        <v>27.72217167121627</v>
      </c>
      <c r="L170">
        <v>65</v>
      </c>
      <c r="M170">
        <v>236.48</v>
      </c>
      <c r="N170">
        <v>15750345</v>
      </c>
      <c r="O170">
        <v>29187145</v>
      </c>
      <c r="P170">
        <v>79885</v>
      </c>
      <c r="Q170">
        <v>700050</v>
      </c>
      <c r="R170">
        <v>966290</v>
      </c>
      <c r="S170">
        <v>552955</v>
      </c>
      <c r="T170">
        <v>216.55</v>
      </c>
      <c r="U170">
        <v>376.1</v>
      </c>
      <c r="V170">
        <v>161.1</v>
      </c>
      <c r="W170">
        <v>164.85</v>
      </c>
      <c r="X170">
        <v>210.85</v>
      </c>
      <c r="Y170">
        <v>195</v>
      </c>
      <c r="Z170">
        <v>211.55</v>
      </c>
      <c r="AA170">
        <v>195</v>
      </c>
      <c r="AB170" s="6">
        <v>46147.586527777778</v>
      </c>
      <c r="AC170" s="6">
        <v>46147.586527777778</v>
      </c>
    </row>
    <row r="171" spans="1:29" x14ac:dyDescent="0.25">
      <c r="A171" t="s">
        <v>7</v>
      </c>
      <c r="B171" s="5">
        <v>46147</v>
      </c>
      <c r="C171" t="s">
        <v>54</v>
      </c>
      <c r="D171" t="s">
        <v>227</v>
      </c>
      <c r="E171">
        <v>18987778</v>
      </c>
      <c r="F171" t="s">
        <v>56</v>
      </c>
      <c r="G171" t="s">
        <v>57</v>
      </c>
      <c r="H171">
        <v>24300</v>
      </c>
      <c r="I171" t="s">
        <v>58</v>
      </c>
      <c r="J171">
        <v>0.5</v>
      </c>
      <c r="K171">
        <v>-99.124343257443087</v>
      </c>
      <c r="L171">
        <v>65</v>
      </c>
      <c r="M171">
        <v>3.12</v>
      </c>
      <c r="N171">
        <v>555803755</v>
      </c>
      <c r="O171">
        <v>83307185</v>
      </c>
      <c r="P171">
        <v>10340655</v>
      </c>
      <c r="Q171">
        <v>17777240</v>
      </c>
      <c r="R171">
        <v>23968230</v>
      </c>
      <c r="S171">
        <v>12607595</v>
      </c>
      <c r="T171">
        <v>13.05</v>
      </c>
      <c r="U171">
        <v>14.7</v>
      </c>
      <c r="V171">
        <v>0.5</v>
      </c>
      <c r="W171">
        <v>57.1</v>
      </c>
      <c r="X171">
        <v>0.5</v>
      </c>
      <c r="Y171">
        <v>4802720</v>
      </c>
      <c r="Z171">
        <v>0.55000000000000004</v>
      </c>
      <c r="AA171">
        <v>2324530</v>
      </c>
      <c r="AB171" s="6">
        <v>46147.586527777778</v>
      </c>
      <c r="AC171" s="6">
        <v>46147.586516203701</v>
      </c>
    </row>
    <row r="172" spans="1:29" x14ac:dyDescent="0.25">
      <c r="A172" t="s">
        <v>7</v>
      </c>
      <c r="B172" s="5">
        <v>46147</v>
      </c>
      <c r="C172" t="s">
        <v>54</v>
      </c>
      <c r="D172" t="s">
        <v>228</v>
      </c>
      <c r="E172">
        <v>18988034</v>
      </c>
      <c r="F172" t="s">
        <v>56</v>
      </c>
      <c r="G172" t="s">
        <v>57</v>
      </c>
      <c r="H172">
        <v>24300</v>
      </c>
      <c r="I172" t="s">
        <v>60</v>
      </c>
      <c r="J172">
        <v>260.25</v>
      </c>
      <c r="K172">
        <v>31.905727318803844</v>
      </c>
      <c r="L172">
        <v>65</v>
      </c>
      <c r="M172">
        <v>291.67</v>
      </c>
      <c r="N172">
        <v>18464160</v>
      </c>
      <c r="O172">
        <v>26639275</v>
      </c>
      <c r="P172">
        <v>120835</v>
      </c>
      <c r="Q172">
        <v>1259830</v>
      </c>
      <c r="R172">
        <v>2187055</v>
      </c>
      <c r="S172">
        <v>1213875</v>
      </c>
      <c r="T172">
        <v>276</v>
      </c>
      <c r="U172">
        <v>424</v>
      </c>
      <c r="V172">
        <v>209.3</v>
      </c>
      <c r="W172">
        <v>197.3</v>
      </c>
      <c r="X172">
        <v>260.25</v>
      </c>
      <c r="Y172">
        <v>195</v>
      </c>
      <c r="Z172">
        <v>261.05</v>
      </c>
      <c r="AA172">
        <v>325</v>
      </c>
      <c r="AB172" s="6">
        <v>46147.586527777778</v>
      </c>
      <c r="AC172" s="6">
        <v>46147.586527777778</v>
      </c>
    </row>
    <row r="173" spans="1:29" x14ac:dyDescent="0.25">
      <c r="A173" t="s">
        <v>7</v>
      </c>
      <c r="B173" s="5">
        <v>46147</v>
      </c>
      <c r="C173" t="s">
        <v>54</v>
      </c>
      <c r="D173" t="s">
        <v>229</v>
      </c>
      <c r="E173">
        <v>18988290</v>
      </c>
      <c r="F173" t="s">
        <v>56</v>
      </c>
      <c r="G173" t="s">
        <v>57</v>
      </c>
      <c r="H173">
        <v>24350</v>
      </c>
      <c r="I173" t="s">
        <v>58</v>
      </c>
      <c r="J173">
        <v>0.45</v>
      </c>
      <c r="K173">
        <v>-98.984198645598184</v>
      </c>
      <c r="L173">
        <v>65</v>
      </c>
      <c r="M173">
        <v>2.4900000000000002</v>
      </c>
      <c r="N173">
        <v>239362305</v>
      </c>
      <c r="O173">
        <v>50092380</v>
      </c>
      <c r="P173">
        <v>7228130</v>
      </c>
      <c r="Q173">
        <v>7867990</v>
      </c>
      <c r="R173">
        <v>10484110</v>
      </c>
      <c r="S173">
        <v>5010720</v>
      </c>
      <c r="T173">
        <v>9.1</v>
      </c>
      <c r="U173">
        <v>9.6999999999999993</v>
      </c>
      <c r="V173">
        <v>0.4</v>
      </c>
      <c r="W173">
        <v>44.3</v>
      </c>
      <c r="X173">
        <v>0.4</v>
      </c>
      <c r="Y173">
        <v>3604835</v>
      </c>
      <c r="Z173">
        <v>0.45</v>
      </c>
      <c r="AA173">
        <v>1335425</v>
      </c>
      <c r="AB173" s="6">
        <v>46147.586527777778</v>
      </c>
      <c r="AC173" s="6">
        <v>46147.586527777778</v>
      </c>
    </row>
    <row r="174" spans="1:29" x14ac:dyDescent="0.25">
      <c r="A174" t="s">
        <v>7</v>
      </c>
      <c r="B174" s="5">
        <v>46147</v>
      </c>
      <c r="C174" t="s">
        <v>54</v>
      </c>
      <c r="D174" t="s">
        <v>230</v>
      </c>
      <c r="E174">
        <v>18988546</v>
      </c>
      <c r="F174" t="s">
        <v>56</v>
      </c>
      <c r="G174" t="s">
        <v>57</v>
      </c>
      <c r="H174">
        <v>24350</v>
      </c>
      <c r="I174" t="s">
        <v>60</v>
      </c>
      <c r="J174">
        <v>310.64999999999998</v>
      </c>
      <c r="K174">
        <v>32.360460161908819</v>
      </c>
      <c r="L174">
        <v>130</v>
      </c>
      <c r="M174">
        <v>337.67</v>
      </c>
      <c r="N174">
        <v>2758860</v>
      </c>
      <c r="O174">
        <v>5947045</v>
      </c>
      <c r="P174">
        <v>51675</v>
      </c>
      <c r="Q174">
        <v>228085</v>
      </c>
      <c r="R174">
        <v>404300</v>
      </c>
      <c r="S174">
        <v>227435</v>
      </c>
      <c r="T174">
        <v>342.4</v>
      </c>
      <c r="U174">
        <v>471.4</v>
      </c>
      <c r="V174">
        <v>258.3</v>
      </c>
      <c r="W174">
        <v>234.7</v>
      </c>
      <c r="X174">
        <v>310.2</v>
      </c>
      <c r="Y174">
        <v>65</v>
      </c>
      <c r="Z174">
        <v>311.35000000000002</v>
      </c>
      <c r="AA174">
        <v>65</v>
      </c>
      <c r="AB174" s="6">
        <v>46147.586527777778</v>
      </c>
      <c r="AC174" s="6">
        <v>46147.586493055554</v>
      </c>
    </row>
    <row r="175" spans="1:29" x14ac:dyDescent="0.25">
      <c r="A175" t="s">
        <v>7</v>
      </c>
      <c r="B175" s="5">
        <v>46147</v>
      </c>
      <c r="C175" t="s">
        <v>54</v>
      </c>
      <c r="D175" t="s">
        <v>231</v>
      </c>
      <c r="E175">
        <v>18988802</v>
      </c>
      <c r="F175" t="s">
        <v>56</v>
      </c>
      <c r="G175" t="s">
        <v>57</v>
      </c>
      <c r="H175">
        <v>24400</v>
      </c>
      <c r="I175" t="s">
        <v>58</v>
      </c>
      <c r="J175">
        <v>0.35</v>
      </c>
      <c r="K175">
        <v>-98.959881129271906</v>
      </c>
      <c r="L175">
        <v>325</v>
      </c>
      <c r="M175">
        <v>1.97</v>
      </c>
      <c r="N175">
        <v>250496220</v>
      </c>
      <c r="O175">
        <v>50659830</v>
      </c>
      <c r="P175">
        <v>12736685</v>
      </c>
      <c r="Q175">
        <v>12067055</v>
      </c>
      <c r="R175">
        <v>15802345</v>
      </c>
      <c r="S175">
        <v>7353905</v>
      </c>
      <c r="T175">
        <v>8.4</v>
      </c>
      <c r="U175">
        <v>8.4</v>
      </c>
      <c r="V175">
        <v>0.3</v>
      </c>
      <c r="W175">
        <v>33.65</v>
      </c>
      <c r="X175">
        <v>0.3</v>
      </c>
      <c r="Y175">
        <v>7260565</v>
      </c>
      <c r="Z175">
        <v>0.35</v>
      </c>
      <c r="AA175">
        <v>2531815</v>
      </c>
      <c r="AB175" s="6">
        <v>46147.586527777778</v>
      </c>
      <c r="AC175" s="6">
        <v>46147.586516203701</v>
      </c>
    </row>
    <row r="176" spans="1:29" x14ac:dyDescent="0.25">
      <c r="A176" t="s">
        <v>7</v>
      </c>
      <c r="B176" s="5">
        <v>46147</v>
      </c>
      <c r="C176" t="s">
        <v>54</v>
      </c>
      <c r="D176" t="s">
        <v>232</v>
      </c>
      <c r="E176">
        <v>18989570</v>
      </c>
      <c r="F176" t="s">
        <v>56</v>
      </c>
      <c r="G176" t="s">
        <v>57</v>
      </c>
      <c r="H176">
        <v>24400</v>
      </c>
      <c r="I176" t="s">
        <v>60</v>
      </c>
      <c r="J176">
        <v>360.1</v>
      </c>
      <c r="K176">
        <v>30.636676945401792</v>
      </c>
      <c r="L176">
        <v>260</v>
      </c>
      <c r="M176">
        <v>395.05</v>
      </c>
      <c r="N176">
        <v>3984500</v>
      </c>
      <c r="O176">
        <v>6101095</v>
      </c>
      <c r="P176">
        <v>46475</v>
      </c>
      <c r="Q176">
        <v>372060</v>
      </c>
      <c r="R176">
        <v>677885</v>
      </c>
      <c r="S176">
        <v>370825</v>
      </c>
      <c r="T176">
        <v>335</v>
      </c>
      <c r="U176">
        <v>523.35</v>
      </c>
      <c r="V176">
        <v>307</v>
      </c>
      <c r="W176">
        <v>275.64999999999998</v>
      </c>
      <c r="X176">
        <v>360.6</v>
      </c>
      <c r="Y176">
        <v>260</v>
      </c>
      <c r="Z176">
        <v>361.85</v>
      </c>
      <c r="AA176">
        <v>65</v>
      </c>
      <c r="AB176" s="6">
        <v>46147.586516203701</v>
      </c>
      <c r="AC176" s="6">
        <v>46147.586504629631</v>
      </c>
    </row>
    <row r="177" spans="1:29" x14ac:dyDescent="0.25">
      <c r="A177" t="s">
        <v>7</v>
      </c>
      <c r="B177" s="5">
        <v>46147</v>
      </c>
      <c r="C177" t="s">
        <v>54</v>
      </c>
      <c r="D177" t="s">
        <v>233</v>
      </c>
      <c r="E177">
        <v>18989826</v>
      </c>
      <c r="F177" t="s">
        <v>56</v>
      </c>
      <c r="G177" t="s">
        <v>57</v>
      </c>
      <c r="H177">
        <v>24450</v>
      </c>
      <c r="I177" t="s">
        <v>58</v>
      </c>
      <c r="J177">
        <v>0.3</v>
      </c>
      <c r="K177">
        <v>-98.81656804733727</v>
      </c>
      <c r="L177">
        <v>585</v>
      </c>
      <c r="M177">
        <v>1.64</v>
      </c>
      <c r="N177">
        <v>172198910</v>
      </c>
      <c r="O177">
        <v>33637370</v>
      </c>
      <c r="P177">
        <v>5742035</v>
      </c>
      <c r="Q177">
        <v>6101680</v>
      </c>
      <c r="R177">
        <v>10310430</v>
      </c>
      <c r="S177">
        <v>3717415</v>
      </c>
      <c r="T177">
        <v>4.8</v>
      </c>
      <c r="U177">
        <v>4.8</v>
      </c>
      <c r="V177">
        <v>0.3</v>
      </c>
      <c r="W177">
        <v>25.35</v>
      </c>
      <c r="X177">
        <v>0.3</v>
      </c>
      <c r="Y177">
        <v>2951065</v>
      </c>
      <c r="Z177">
        <v>0.35</v>
      </c>
      <c r="AA177">
        <v>1567020</v>
      </c>
      <c r="AB177" s="6">
        <v>46147.586527777778</v>
      </c>
      <c r="AC177" s="6">
        <v>46147.586516203701</v>
      </c>
    </row>
    <row r="178" spans="1:29" x14ac:dyDescent="0.25">
      <c r="A178" t="s">
        <v>7</v>
      </c>
      <c r="B178" s="5">
        <v>46147</v>
      </c>
      <c r="C178" t="s">
        <v>54</v>
      </c>
      <c r="D178" t="s">
        <v>234</v>
      </c>
      <c r="E178">
        <v>18990082</v>
      </c>
      <c r="F178" t="s">
        <v>56</v>
      </c>
      <c r="G178" t="s">
        <v>57</v>
      </c>
      <c r="H178">
        <v>24450</v>
      </c>
      <c r="I178" t="s">
        <v>60</v>
      </c>
      <c r="J178">
        <v>421.35</v>
      </c>
      <c r="K178">
        <v>34.40191387559809</v>
      </c>
      <c r="L178">
        <v>130</v>
      </c>
      <c r="M178">
        <v>432.69</v>
      </c>
      <c r="N178">
        <v>516750</v>
      </c>
      <c r="O178">
        <v>3172845</v>
      </c>
      <c r="P178">
        <v>31785</v>
      </c>
      <c r="Q178">
        <v>166920</v>
      </c>
      <c r="R178">
        <v>211575</v>
      </c>
      <c r="S178">
        <v>166140</v>
      </c>
      <c r="T178">
        <v>470.85</v>
      </c>
      <c r="U178">
        <v>572</v>
      </c>
      <c r="V178">
        <v>360</v>
      </c>
      <c r="W178">
        <v>313.5</v>
      </c>
      <c r="X178">
        <v>410.4</v>
      </c>
      <c r="Y178">
        <v>455</v>
      </c>
      <c r="Z178">
        <v>412.05</v>
      </c>
      <c r="AA178">
        <v>260</v>
      </c>
      <c r="AB178" s="6">
        <v>46147.586516203701</v>
      </c>
      <c r="AC178" s="6">
        <v>46147.586331018516</v>
      </c>
    </row>
    <row r="179" spans="1:29" x14ac:dyDescent="0.25">
      <c r="A179" t="s">
        <v>7</v>
      </c>
      <c r="B179" s="5">
        <v>46147</v>
      </c>
      <c r="C179" t="s">
        <v>54</v>
      </c>
      <c r="D179" t="s">
        <v>235</v>
      </c>
      <c r="E179">
        <v>18990338</v>
      </c>
      <c r="F179" t="s">
        <v>56</v>
      </c>
      <c r="G179" t="s">
        <v>57</v>
      </c>
      <c r="H179">
        <v>24500</v>
      </c>
      <c r="I179" t="s">
        <v>58</v>
      </c>
      <c r="J179">
        <v>0.3</v>
      </c>
      <c r="K179">
        <v>-98.412698412698404</v>
      </c>
      <c r="L179">
        <v>910</v>
      </c>
      <c r="M179">
        <v>1.24</v>
      </c>
      <c r="N179">
        <v>256553245</v>
      </c>
      <c r="O179">
        <v>44965310</v>
      </c>
      <c r="P179">
        <v>9717435</v>
      </c>
      <c r="Q179">
        <v>16648125</v>
      </c>
      <c r="R179">
        <v>21556730</v>
      </c>
      <c r="S179">
        <v>13540345</v>
      </c>
      <c r="T179">
        <v>2.7</v>
      </c>
      <c r="U179">
        <v>4.4000000000000004</v>
      </c>
      <c r="V179">
        <v>0.25</v>
      </c>
      <c r="W179">
        <v>18.899999999999999</v>
      </c>
      <c r="X179">
        <v>0.25</v>
      </c>
      <c r="Y179">
        <v>6592820</v>
      </c>
      <c r="Z179">
        <v>0.3</v>
      </c>
      <c r="AA179">
        <v>1781780</v>
      </c>
      <c r="AB179" s="6">
        <v>46147.586527777778</v>
      </c>
      <c r="AC179" s="6">
        <v>46147.586516203701</v>
      </c>
    </row>
    <row r="180" spans="1:29" x14ac:dyDescent="0.25">
      <c r="A180" t="s">
        <v>7</v>
      </c>
      <c r="B180" s="5">
        <v>46147</v>
      </c>
      <c r="C180" t="s">
        <v>54</v>
      </c>
      <c r="D180" t="s">
        <v>236</v>
      </c>
      <c r="E180">
        <v>18991106</v>
      </c>
      <c r="F180" t="s">
        <v>56</v>
      </c>
      <c r="G180" t="s">
        <v>57</v>
      </c>
      <c r="H180">
        <v>24500</v>
      </c>
      <c r="I180" t="s">
        <v>60</v>
      </c>
      <c r="J180">
        <v>463.1</v>
      </c>
      <c r="K180">
        <v>28.853644963828614</v>
      </c>
      <c r="L180">
        <v>65</v>
      </c>
      <c r="M180">
        <v>494.32</v>
      </c>
      <c r="N180">
        <v>2943330</v>
      </c>
      <c r="O180">
        <v>2912585</v>
      </c>
      <c r="P180">
        <v>44720</v>
      </c>
      <c r="Q180">
        <v>345930</v>
      </c>
      <c r="R180">
        <v>662415</v>
      </c>
      <c r="S180">
        <v>345215</v>
      </c>
      <c r="T180">
        <v>420</v>
      </c>
      <c r="U180">
        <v>624.15</v>
      </c>
      <c r="V180">
        <v>406</v>
      </c>
      <c r="W180">
        <v>359.4</v>
      </c>
      <c r="X180">
        <v>459.45</v>
      </c>
      <c r="Y180">
        <v>325</v>
      </c>
      <c r="Z180">
        <v>461.4</v>
      </c>
      <c r="AA180">
        <v>585</v>
      </c>
      <c r="AB180" s="6">
        <v>46147.586527777778</v>
      </c>
      <c r="AC180" s="6">
        <v>46147.586435185185</v>
      </c>
    </row>
    <row r="181" spans="1:29" x14ac:dyDescent="0.25">
      <c r="A181" t="s">
        <v>7</v>
      </c>
      <c r="B181" s="5">
        <v>46147</v>
      </c>
      <c r="C181" t="s">
        <v>54</v>
      </c>
      <c r="D181" t="s">
        <v>237</v>
      </c>
      <c r="E181">
        <v>18991362</v>
      </c>
      <c r="F181" t="s">
        <v>56</v>
      </c>
      <c r="G181" t="s">
        <v>57</v>
      </c>
      <c r="H181">
        <v>24550</v>
      </c>
      <c r="I181" t="s">
        <v>58</v>
      </c>
      <c r="J181">
        <v>0.25</v>
      </c>
      <c r="K181">
        <v>-98.194945848375454</v>
      </c>
      <c r="L181">
        <v>520</v>
      </c>
      <c r="M181">
        <v>0.92</v>
      </c>
      <c r="N181">
        <v>105095055</v>
      </c>
      <c r="O181">
        <v>26853905</v>
      </c>
      <c r="P181">
        <v>4995120</v>
      </c>
      <c r="Q181">
        <v>7661030</v>
      </c>
      <c r="R181">
        <v>7792785</v>
      </c>
      <c r="S181">
        <v>4005235</v>
      </c>
      <c r="T181">
        <v>3.4</v>
      </c>
      <c r="U181">
        <v>3.4</v>
      </c>
      <c r="V181">
        <v>0.2</v>
      </c>
      <c r="W181">
        <v>13.85</v>
      </c>
      <c r="X181">
        <v>0.2</v>
      </c>
      <c r="Y181">
        <v>4790110</v>
      </c>
      <c r="Z181">
        <v>0.25</v>
      </c>
      <c r="AA181">
        <v>1252745</v>
      </c>
      <c r="AB181" s="6">
        <v>46147.586527777778</v>
      </c>
      <c r="AC181" s="6">
        <v>46147.586516203701</v>
      </c>
    </row>
    <row r="182" spans="1:29" x14ac:dyDescent="0.25">
      <c r="A182" t="s">
        <v>7</v>
      </c>
      <c r="B182" s="5">
        <v>46147</v>
      </c>
      <c r="C182" t="s">
        <v>54</v>
      </c>
      <c r="D182" t="s">
        <v>238</v>
      </c>
      <c r="E182">
        <v>18994690</v>
      </c>
      <c r="F182" t="s">
        <v>56</v>
      </c>
      <c r="G182" t="s">
        <v>57</v>
      </c>
      <c r="H182">
        <v>24550</v>
      </c>
      <c r="I182" t="s">
        <v>60</v>
      </c>
      <c r="J182">
        <v>512.25</v>
      </c>
      <c r="K182">
        <v>26.590881008278764</v>
      </c>
      <c r="L182">
        <v>65</v>
      </c>
      <c r="M182">
        <v>547.5</v>
      </c>
      <c r="N182">
        <v>209690</v>
      </c>
      <c r="O182">
        <v>1245140</v>
      </c>
      <c r="P182">
        <v>27820</v>
      </c>
      <c r="Q182">
        <v>72280</v>
      </c>
      <c r="R182">
        <v>88660</v>
      </c>
      <c r="S182">
        <v>71890</v>
      </c>
      <c r="T182">
        <v>559.95000000000005</v>
      </c>
      <c r="U182">
        <v>678.3</v>
      </c>
      <c r="V182">
        <v>460.15</v>
      </c>
      <c r="W182">
        <v>404.65</v>
      </c>
      <c r="X182">
        <v>509.7</v>
      </c>
      <c r="Y182">
        <v>130</v>
      </c>
      <c r="Z182">
        <v>512</v>
      </c>
      <c r="AA182">
        <v>260</v>
      </c>
      <c r="AB182" s="6">
        <v>46147.586516203701</v>
      </c>
      <c r="AC182" s="6">
        <v>46147.586446759262</v>
      </c>
    </row>
    <row r="183" spans="1:29" x14ac:dyDescent="0.25">
      <c r="A183" t="s">
        <v>7</v>
      </c>
      <c r="B183" s="5">
        <v>46147</v>
      </c>
      <c r="C183" t="s">
        <v>54</v>
      </c>
      <c r="D183" t="s">
        <v>239</v>
      </c>
      <c r="E183">
        <v>18994946</v>
      </c>
      <c r="F183" t="s">
        <v>56</v>
      </c>
      <c r="G183" t="s">
        <v>57</v>
      </c>
      <c r="H183">
        <v>24600</v>
      </c>
      <c r="I183" t="s">
        <v>58</v>
      </c>
      <c r="J183">
        <v>0.15</v>
      </c>
      <c r="K183">
        <v>-98.529411764705884</v>
      </c>
      <c r="L183">
        <v>195</v>
      </c>
      <c r="M183">
        <v>0.84</v>
      </c>
      <c r="N183">
        <v>149965920</v>
      </c>
      <c r="O183">
        <v>30658810</v>
      </c>
      <c r="P183">
        <v>12846535</v>
      </c>
      <c r="Q183">
        <v>14378585</v>
      </c>
      <c r="R183">
        <v>17352985</v>
      </c>
      <c r="S183">
        <v>8093345</v>
      </c>
      <c r="T183">
        <v>0.65</v>
      </c>
      <c r="U183">
        <v>1.9</v>
      </c>
      <c r="V183">
        <v>0.15</v>
      </c>
      <c r="W183">
        <v>10.199999999999999</v>
      </c>
      <c r="X183">
        <v>0.15</v>
      </c>
      <c r="Y183">
        <v>7271615</v>
      </c>
      <c r="Z183">
        <v>0.2</v>
      </c>
      <c r="AA183">
        <v>2958150</v>
      </c>
      <c r="AB183" s="6">
        <v>46147.586527777778</v>
      </c>
      <c r="AC183" s="6">
        <v>46147.586516203701</v>
      </c>
    </row>
    <row r="184" spans="1:29" x14ac:dyDescent="0.25">
      <c r="A184" t="s">
        <v>7</v>
      </c>
      <c r="B184" s="5">
        <v>46147</v>
      </c>
      <c r="C184" t="s">
        <v>54</v>
      </c>
      <c r="D184" t="s">
        <v>240</v>
      </c>
      <c r="E184">
        <v>18995202</v>
      </c>
      <c r="F184" t="s">
        <v>56</v>
      </c>
      <c r="G184" t="s">
        <v>57</v>
      </c>
      <c r="H184">
        <v>24600</v>
      </c>
      <c r="I184" t="s">
        <v>60</v>
      </c>
      <c r="J184">
        <v>562.4</v>
      </c>
      <c r="K184">
        <v>25.746226942425931</v>
      </c>
      <c r="L184">
        <v>195</v>
      </c>
      <c r="M184">
        <v>584.42999999999995</v>
      </c>
      <c r="N184">
        <v>346840</v>
      </c>
      <c r="O184">
        <v>1744470</v>
      </c>
      <c r="P184">
        <v>30810</v>
      </c>
      <c r="Q184">
        <v>109135</v>
      </c>
      <c r="R184">
        <v>144495</v>
      </c>
      <c r="S184">
        <v>109005</v>
      </c>
      <c r="T184">
        <v>520</v>
      </c>
      <c r="U184">
        <v>725.4</v>
      </c>
      <c r="V184">
        <v>512.20000000000005</v>
      </c>
      <c r="W184">
        <v>447.25</v>
      </c>
      <c r="X184">
        <v>559.35</v>
      </c>
      <c r="Y184">
        <v>585</v>
      </c>
      <c r="Z184">
        <v>561.85</v>
      </c>
      <c r="AA184">
        <v>65</v>
      </c>
      <c r="AB184" s="6">
        <v>46147.586527777778</v>
      </c>
      <c r="AC184" s="6">
        <v>46147.586458333331</v>
      </c>
    </row>
    <row r="185" spans="1:29" x14ac:dyDescent="0.25">
      <c r="A185" t="s">
        <v>7</v>
      </c>
      <c r="B185" s="5">
        <v>46147</v>
      </c>
      <c r="C185" t="s">
        <v>54</v>
      </c>
      <c r="D185" t="s">
        <v>241</v>
      </c>
      <c r="E185">
        <v>18997506</v>
      </c>
      <c r="F185" t="s">
        <v>56</v>
      </c>
      <c r="G185" t="s">
        <v>57</v>
      </c>
      <c r="H185">
        <v>24650</v>
      </c>
      <c r="I185" t="s">
        <v>58</v>
      </c>
      <c r="J185">
        <v>0.2</v>
      </c>
      <c r="K185">
        <v>-97.41935483870968</v>
      </c>
      <c r="L185">
        <v>325</v>
      </c>
      <c r="M185">
        <v>0.78</v>
      </c>
      <c r="N185">
        <v>78494000</v>
      </c>
      <c r="O185">
        <v>17522700</v>
      </c>
      <c r="P185">
        <v>6134830</v>
      </c>
      <c r="Q185">
        <v>6592950</v>
      </c>
      <c r="R185">
        <v>7883720</v>
      </c>
      <c r="S185">
        <v>3677700</v>
      </c>
      <c r="T185">
        <v>1.8</v>
      </c>
      <c r="U185">
        <v>1.8</v>
      </c>
      <c r="V185">
        <v>0.15</v>
      </c>
      <c r="W185">
        <v>7.75</v>
      </c>
      <c r="X185">
        <v>0.15</v>
      </c>
      <c r="Y185">
        <v>3450915</v>
      </c>
      <c r="Z185">
        <v>0.2</v>
      </c>
      <c r="AA185">
        <v>2237495</v>
      </c>
      <c r="AB185" s="6">
        <v>46147.586527777778</v>
      </c>
      <c r="AC185" s="6">
        <v>46147.586527777778</v>
      </c>
    </row>
    <row r="186" spans="1:29" x14ac:dyDescent="0.25">
      <c r="A186" t="s">
        <v>7</v>
      </c>
      <c r="B186" s="5">
        <v>46147</v>
      </c>
      <c r="C186" t="s">
        <v>54</v>
      </c>
      <c r="D186" t="s">
        <v>242</v>
      </c>
      <c r="E186">
        <v>18998274</v>
      </c>
      <c r="F186" t="s">
        <v>56</v>
      </c>
      <c r="G186" t="s">
        <v>57</v>
      </c>
      <c r="H186">
        <v>24650</v>
      </c>
      <c r="I186" t="s">
        <v>60</v>
      </c>
      <c r="J186">
        <v>605.20000000000005</v>
      </c>
      <c r="K186">
        <v>20.798403193612781</v>
      </c>
      <c r="L186">
        <v>65</v>
      </c>
      <c r="M186">
        <v>640.07000000000005</v>
      </c>
      <c r="N186">
        <v>80600</v>
      </c>
      <c r="O186">
        <v>1277120</v>
      </c>
      <c r="P186">
        <v>24115</v>
      </c>
      <c r="Q186">
        <v>65520</v>
      </c>
      <c r="R186">
        <v>68965</v>
      </c>
      <c r="S186">
        <v>60775</v>
      </c>
      <c r="T186">
        <v>670.35</v>
      </c>
      <c r="U186">
        <v>766</v>
      </c>
      <c r="V186">
        <v>565</v>
      </c>
      <c r="W186">
        <v>501</v>
      </c>
      <c r="X186">
        <v>609.1</v>
      </c>
      <c r="Y186">
        <v>65</v>
      </c>
      <c r="Z186">
        <v>614.25</v>
      </c>
      <c r="AA186">
        <v>390</v>
      </c>
      <c r="AB186" s="6">
        <v>46147.586504629631</v>
      </c>
      <c r="AC186" s="6">
        <v>46147.584907407407</v>
      </c>
    </row>
    <row r="187" spans="1:29" x14ac:dyDescent="0.25">
      <c r="A187" t="s">
        <v>7</v>
      </c>
      <c r="B187" s="5">
        <v>46147</v>
      </c>
      <c r="C187" t="s">
        <v>54</v>
      </c>
      <c r="D187" t="s">
        <v>243</v>
      </c>
      <c r="E187">
        <v>18999298</v>
      </c>
      <c r="F187" t="s">
        <v>56</v>
      </c>
      <c r="G187" t="s">
        <v>57</v>
      </c>
      <c r="H187">
        <v>24700</v>
      </c>
      <c r="I187" t="s">
        <v>58</v>
      </c>
      <c r="J187">
        <v>0.2</v>
      </c>
      <c r="K187">
        <v>-96.747967479674784</v>
      </c>
      <c r="L187">
        <v>65</v>
      </c>
      <c r="M187">
        <v>0.68</v>
      </c>
      <c r="N187">
        <v>95958525</v>
      </c>
      <c r="O187">
        <v>24639225</v>
      </c>
      <c r="P187">
        <v>10694450</v>
      </c>
      <c r="Q187">
        <v>10578360</v>
      </c>
      <c r="R187">
        <v>11928800</v>
      </c>
      <c r="S187">
        <v>7325760</v>
      </c>
      <c r="T187">
        <v>1.5</v>
      </c>
      <c r="U187">
        <v>1.5</v>
      </c>
      <c r="V187">
        <v>0.15</v>
      </c>
      <c r="W187">
        <v>6.15</v>
      </c>
      <c r="X187">
        <v>0.15</v>
      </c>
      <c r="Y187">
        <v>5250440</v>
      </c>
      <c r="Z187">
        <v>0.2</v>
      </c>
      <c r="AA187">
        <v>2886520</v>
      </c>
      <c r="AB187" s="6">
        <v>46147.586527777778</v>
      </c>
      <c r="AC187" s="6">
        <v>46147.586527777778</v>
      </c>
    </row>
    <row r="188" spans="1:29" x14ac:dyDescent="0.25">
      <c r="A188" t="s">
        <v>7</v>
      </c>
      <c r="B188" s="5">
        <v>46147</v>
      </c>
      <c r="C188" t="s">
        <v>54</v>
      </c>
      <c r="D188" t="s">
        <v>244</v>
      </c>
      <c r="E188">
        <v>18999554</v>
      </c>
      <c r="F188" t="s">
        <v>56</v>
      </c>
      <c r="G188" t="s">
        <v>57</v>
      </c>
      <c r="H188">
        <v>24700</v>
      </c>
      <c r="I188" t="s">
        <v>60</v>
      </c>
      <c r="J188">
        <v>667.45</v>
      </c>
      <c r="K188">
        <v>22.187643020594972</v>
      </c>
      <c r="L188">
        <v>65</v>
      </c>
      <c r="M188">
        <v>683.28</v>
      </c>
      <c r="N188">
        <v>200590</v>
      </c>
      <c r="O188">
        <v>1263795</v>
      </c>
      <c r="P188">
        <v>29510</v>
      </c>
      <c r="Q188">
        <v>84305</v>
      </c>
      <c r="R188">
        <v>105300</v>
      </c>
      <c r="S188">
        <v>76310</v>
      </c>
      <c r="T188">
        <v>748.3</v>
      </c>
      <c r="U188">
        <v>820</v>
      </c>
      <c r="V188">
        <v>610</v>
      </c>
      <c r="W188">
        <v>546.25</v>
      </c>
      <c r="X188">
        <v>659.5</v>
      </c>
      <c r="Y188">
        <v>130</v>
      </c>
      <c r="Z188">
        <v>661.85</v>
      </c>
      <c r="AA188">
        <v>65</v>
      </c>
      <c r="AB188" s="6">
        <v>46147.586527777778</v>
      </c>
      <c r="AC188" s="6">
        <v>46147.586354166669</v>
      </c>
    </row>
    <row r="189" spans="1:29" x14ac:dyDescent="0.25">
      <c r="A189" t="s">
        <v>7</v>
      </c>
      <c r="B189" s="5">
        <v>46147</v>
      </c>
      <c r="C189" t="s">
        <v>54</v>
      </c>
      <c r="D189" t="s">
        <v>245</v>
      </c>
      <c r="E189">
        <v>18999810</v>
      </c>
      <c r="F189" t="s">
        <v>56</v>
      </c>
      <c r="G189" t="s">
        <v>57</v>
      </c>
      <c r="H189">
        <v>24750</v>
      </c>
      <c r="I189" t="s">
        <v>58</v>
      </c>
      <c r="J189">
        <v>0.2</v>
      </c>
      <c r="K189">
        <v>-95.959595959595958</v>
      </c>
      <c r="L189">
        <v>65</v>
      </c>
      <c r="M189">
        <v>0.6</v>
      </c>
      <c r="N189">
        <v>45438185</v>
      </c>
      <c r="O189">
        <v>13659945</v>
      </c>
      <c r="P189">
        <v>3647410</v>
      </c>
      <c r="Q189">
        <v>3856385</v>
      </c>
      <c r="R189">
        <v>4546360</v>
      </c>
      <c r="S189">
        <v>3262545</v>
      </c>
      <c r="T189">
        <v>1.25</v>
      </c>
      <c r="U189">
        <v>1.7</v>
      </c>
      <c r="V189">
        <v>0.15</v>
      </c>
      <c r="W189">
        <v>4.95</v>
      </c>
      <c r="X189">
        <v>0.15</v>
      </c>
      <c r="Y189">
        <v>1491230</v>
      </c>
      <c r="Z189">
        <v>0.2</v>
      </c>
      <c r="AA189">
        <v>709345</v>
      </c>
      <c r="AB189" s="6">
        <v>46147.586527777778</v>
      </c>
      <c r="AC189" s="6">
        <v>46147.586516203701</v>
      </c>
    </row>
    <row r="190" spans="1:29" x14ac:dyDescent="0.25">
      <c r="A190" t="s">
        <v>7</v>
      </c>
      <c r="B190" s="5">
        <v>46147</v>
      </c>
      <c r="C190" t="s">
        <v>54</v>
      </c>
      <c r="D190" t="s">
        <v>246</v>
      </c>
      <c r="E190">
        <v>19000066</v>
      </c>
      <c r="F190" t="s">
        <v>56</v>
      </c>
      <c r="G190" t="s">
        <v>57</v>
      </c>
      <c r="H190">
        <v>24750</v>
      </c>
      <c r="I190" t="s">
        <v>60</v>
      </c>
      <c r="J190">
        <v>725.2</v>
      </c>
      <c r="K190">
        <v>21.159468716063838</v>
      </c>
      <c r="L190">
        <v>65</v>
      </c>
      <c r="M190">
        <v>755.71</v>
      </c>
      <c r="N190">
        <v>67275</v>
      </c>
      <c r="O190">
        <v>1083485</v>
      </c>
      <c r="P190">
        <v>24635</v>
      </c>
      <c r="Q190">
        <v>30745</v>
      </c>
      <c r="R190">
        <v>34320</v>
      </c>
      <c r="S190">
        <v>30550</v>
      </c>
      <c r="T190">
        <v>798.3</v>
      </c>
      <c r="U190">
        <v>860.8</v>
      </c>
      <c r="V190">
        <v>666.9</v>
      </c>
      <c r="W190">
        <v>598.54999999999995</v>
      </c>
      <c r="X190">
        <v>708.95</v>
      </c>
      <c r="Y190">
        <v>65</v>
      </c>
      <c r="Z190">
        <v>713.05</v>
      </c>
      <c r="AA190">
        <v>260</v>
      </c>
      <c r="AB190" s="6">
        <v>46147.586527777778</v>
      </c>
      <c r="AC190" s="6">
        <v>46147.5862037037</v>
      </c>
    </row>
    <row r="191" spans="1:29" x14ac:dyDescent="0.25">
      <c r="A191" t="s">
        <v>7</v>
      </c>
      <c r="B191" s="5">
        <v>46147</v>
      </c>
      <c r="C191" t="s">
        <v>54</v>
      </c>
      <c r="D191" t="s">
        <v>247</v>
      </c>
      <c r="E191">
        <v>19000322</v>
      </c>
      <c r="F191" t="s">
        <v>56</v>
      </c>
      <c r="G191" t="s">
        <v>57</v>
      </c>
      <c r="H191">
        <v>24800</v>
      </c>
      <c r="I191" t="s">
        <v>58</v>
      </c>
      <c r="J191">
        <v>0.1</v>
      </c>
      <c r="K191">
        <v>-97.619047619047635</v>
      </c>
      <c r="L191">
        <v>65</v>
      </c>
      <c r="M191">
        <v>0.63</v>
      </c>
      <c r="N191">
        <v>68404895</v>
      </c>
      <c r="O191">
        <v>15534155</v>
      </c>
      <c r="P191">
        <v>10949900</v>
      </c>
      <c r="Q191">
        <v>7592520</v>
      </c>
      <c r="R191">
        <v>8693295</v>
      </c>
      <c r="S191">
        <v>6336395</v>
      </c>
      <c r="T191">
        <v>1.2</v>
      </c>
      <c r="U191">
        <v>1.2</v>
      </c>
      <c r="V191">
        <v>0.1</v>
      </c>
      <c r="W191">
        <v>4.2</v>
      </c>
      <c r="X191">
        <v>0.1</v>
      </c>
      <c r="Y191">
        <v>5638945</v>
      </c>
      <c r="Z191">
        <v>0.15</v>
      </c>
      <c r="AA191">
        <v>2521025</v>
      </c>
      <c r="AB191" s="6">
        <v>46147.586527777778</v>
      </c>
      <c r="AC191" s="6">
        <v>46147.586516203701</v>
      </c>
    </row>
    <row r="192" spans="1:29" x14ac:dyDescent="0.25">
      <c r="A192" t="s">
        <v>7</v>
      </c>
      <c r="B192" s="5">
        <v>46147</v>
      </c>
      <c r="C192" t="s">
        <v>54</v>
      </c>
      <c r="D192" t="s">
        <v>248</v>
      </c>
      <c r="E192">
        <v>19000578</v>
      </c>
      <c r="F192" t="s">
        <v>56</v>
      </c>
      <c r="G192" t="s">
        <v>57</v>
      </c>
      <c r="H192">
        <v>24800</v>
      </c>
      <c r="I192" t="s">
        <v>60</v>
      </c>
      <c r="J192">
        <v>767.8</v>
      </c>
      <c r="K192">
        <v>19.325510917709209</v>
      </c>
      <c r="L192">
        <v>65</v>
      </c>
      <c r="M192">
        <v>799.64</v>
      </c>
      <c r="N192">
        <v>136890</v>
      </c>
      <c r="O192">
        <v>1274260</v>
      </c>
      <c r="P192">
        <v>25805</v>
      </c>
      <c r="Q192">
        <v>61295</v>
      </c>
      <c r="R192">
        <v>86515</v>
      </c>
      <c r="S192">
        <v>60905</v>
      </c>
      <c r="T192">
        <v>817.8</v>
      </c>
      <c r="U192">
        <v>921.45</v>
      </c>
      <c r="V192">
        <v>713.2</v>
      </c>
      <c r="W192">
        <v>643.45000000000005</v>
      </c>
      <c r="X192">
        <v>758.7</v>
      </c>
      <c r="Y192">
        <v>65</v>
      </c>
      <c r="Z192">
        <v>761.6</v>
      </c>
      <c r="AA192">
        <v>65</v>
      </c>
      <c r="AB192" s="6">
        <v>46147.586504629631</v>
      </c>
      <c r="AC192" s="6">
        <v>46147.586354166669</v>
      </c>
    </row>
    <row r="193" spans="1:29" x14ac:dyDescent="0.25">
      <c r="A193" t="s">
        <v>7</v>
      </c>
      <c r="B193" s="5">
        <v>46147</v>
      </c>
      <c r="C193" t="s">
        <v>54</v>
      </c>
      <c r="D193" t="s">
        <v>249</v>
      </c>
      <c r="E193">
        <v>19001602</v>
      </c>
      <c r="F193" t="s">
        <v>56</v>
      </c>
      <c r="G193" t="s">
        <v>57</v>
      </c>
      <c r="H193">
        <v>24850</v>
      </c>
      <c r="I193" t="s">
        <v>58</v>
      </c>
      <c r="J193">
        <v>0.1</v>
      </c>
      <c r="K193">
        <v>-97.183098591549296</v>
      </c>
      <c r="L193">
        <v>65</v>
      </c>
      <c r="M193">
        <v>0.51</v>
      </c>
      <c r="N193">
        <v>24392485</v>
      </c>
      <c r="O193">
        <v>8989175</v>
      </c>
      <c r="P193">
        <v>3889990</v>
      </c>
      <c r="Q193">
        <v>2311465</v>
      </c>
      <c r="R193">
        <v>3311685</v>
      </c>
      <c r="S193">
        <v>1940185</v>
      </c>
      <c r="T193">
        <v>1.2</v>
      </c>
      <c r="U193">
        <v>1.2</v>
      </c>
      <c r="V193">
        <v>0.1</v>
      </c>
      <c r="W193">
        <v>3.55</v>
      </c>
      <c r="X193">
        <v>0.1</v>
      </c>
      <c r="Y193">
        <v>1433445</v>
      </c>
      <c r="Z193">
        <v>0.15</v>
      </c>
      <c r="AA193">
        <v>1193855</v>
      </c>
      <c r="AB193" s="6">
        <v>46147.586527777778</v>
      </c>
      <c r="AC193" s="6">
        <v>46147.586516203701</v>
      </c>
    </row>
    <row r="194" spans="1:29" x14ac:dyDescent="0.25">
      <c r="A194" t="s">
        <v>7</v>
      </c>
      <c r="B194" s="5">
        <v>46147</v>
      </c>
      <c r="C194" t="s">
        <v>54</v>
      </c>
      <c r="D194" t="s">
        <v>250</v>
      </c>
      <c r="E194">
        <v>19001858</v>
      </c>
      <c r="F194" t="s">
        <v>56</v>
      </c>
      <c r="G194" t="s">
        <v>57</v>
      </c>
      <c r="H194">
        <v>24850</v>
      </c>
      <c r="I194" t="s">
        <v>60</v>
      </c>
      <c r="J194">
        <v>802</v>
      </c>
      <c r="K194">
        <v>15.988140863402988</v>
      </c>
      <c r="L194">
        <v>65</v>
      </c>
      <c r="M194">
        <v>853.1</v>
      </c>
      <c r="N194">
        <v>37765</v>
      </c>
      <c r="O194">
        <v>23010</v>
      </c>
      <c r="P194">
        <v>23790</v>
      </c>
      <c r="Q194">
        <v>28015</v>
      </c>
      <c r="R194">
        <v>28470</v>
      </c>
      <c r="S194">
        <v>27430</v>
      </c>
      <c r="T194">
        <v>898.4</v>
      </c>
      <c r="U194">
        <v>950.45</v>
      </c>
      <c r="V194">
        <v>778.8</v>
      </c>
      <c r="W194">
        <v>691.45</v>
      </c>
      <c r="X194">
        <v>809.9</v>
      </c>
      <c r="Y194">
        <v>130</v>
      </c>
      <c r="Z194">
        <v>814.1</v>
      </c>
      <c r="AA194">
        <v>65</v>
      </c>
      <c r="AB194" s="6">
        <v>46147.586516203701</v>
      </c>
      <c r="AC194" s="6">
        <v>46147.582916666666</v>
      </c>
    </row>
    <row r="195" spans="1:29" x14ac:dyDescent="0.25">
      <c r="A195" t="s">
        <v>7</v>
      </c>
      <c r="B195" s="5">
        <v>46147</v>
      </c>
      <c r="C195" t="s">
        <v>54</v>
      </c>
      <c r="D195" t="s">
        <v>251</v>
      </c>
      <c r="E195">
        <v>19002370</v>
      </c>
      <c r="F195" t="s">
        <v>56</v>
      </c>
      <c r="G195" t="s">
        <v>57</v>
      </c>
      <c r="H195">
        <v>24900</v>
      </c>
      <c r="I195" t="s">
        <v>58</v>
      </c>
      <c r="J195">
        <v>0.1</v>
      </c>
      <c r="K195">
        <v>-96.551724137931032</v>
      </c>
      <c r="L195">
        <v>65</v>
      </c>
      <c r="M195">
        <v>0.55000000000000004</v>
      </c>
      <c r="N195">
        <v>46028060</v>
      </c>
      <c r="O195">
        <v>13337870</v>
      </c>
      <c r="P195">
        <v>8075730</v>
      </c>
      <c r="Q195">
        <v>6026215</v>
      </c>
      <c r="R195">
        <v>7068490</v>
      </c>
      <c r="S195">
        <v>4638010</v>
      </c>
      <c r="T195">
        <v>0.95</v>
      </c>
      <c r="U195">
        <v>1</v>
      </c>
      <c r="V195">
        <v>0.1</v>
      </c>
      <c r="W195">
        <v>2.9</v>
      </c>
      <c r="X195">
        <v>0.1</v>
      </c>
      <c r="Y195">
        <v>4167800</v>
      </c>
      <c r="Z195">
        <v>0.15</v>
      </c>
      <c r="AA195">
        <v>1867775</v>
      </c>
      <c r="AB195" s="6">
        <v>46147.586539351854</v>
      </c>
      <c r="AC195" s="6">
        <v>46147.586516203701</v>
      </c>
    </row>
    <row r="196" spans="1:29" x14ac:dyDescent="0.25">
      <c r="A196" t="s">
        <v>7</v>
      </c>
      <c r="B196" s="5">
        <v>46147</v>
      </c>
      <c r="C196" t="s">
        <v>54</v>
      </c>
      <c r="D196" t="s">
        <v>252</v>
      </c>
      <c r="E196">
        <v>19002626</v>
      </c>
      <c r="F196" t="s">
        <v>56</v>
      </c>
      <c r="G196" t="s">
        <v>57</v>
      </c>
      <c r="H196">
        <v>24900</v>
      </c>
      <c r="I196" t="s">
        <v>60</v>
      </c>
      <c r="J196">
        <v>865.15</v>
      </c>
      <c r="K196">
        <v>16.119723508489365</v>
      </c>
      <c r="L196">
        <v>65</v>
      </c>
      <c r="M196">
        <v>894.09</v>
      </c>
      <c r="N196">
        <v>193245</v>
      </c>
      <c r="O196">
        <v>28795</v>
      </c>
      <c r="P196">
        <v>27495</v>
      </c>
      <c r="Q196">
        <v>73645</v>
      </c>
      <c r="R196">
        <v>143130</v>
      </c>
      <c r="S196">
        <v>72865</v>
      </c>
      <c r="T196">
        <v>918.3</v>
      </c>
      <c r="U196">
        <v>1031.6500000000001</v>
      </c>
      <c r="V196">
        <v>818</v>
      </c>
      <c r="W196">
        <v>745.05</v>
      </c>
      <c r="X196">
        <v>860</v>
      </c>
      <c r="Y196">
        <v>260</v>
      </c>
      <c r="Z196">
        <v>861.8</v>
      </c>
      <c r="AA196">
        <v>65</v>
      </c>
      <c r="AB196" s="6">
        <v>46147.586516203701</v>
      </c>
      <c r="AC196" s="6">
        <v>46147.586365740739</v>
      </c>
    </row>
    <row r="197" spans="1:29" x14ac:dyDescent="0.25">
      <c r="A197" t="s">
        <v>7</v>
      </c>
      <c r="B197" s="5">
        <v>46147</v>
      </c>
      <c r="C197" t="s">
        <v>54</v>
      </c>
      <c r="D197" t="s">
        <v>253</v>
      </c>
      <c r="E197">
        <v>19002882</v>
      </c>
      <c r="F197" t="s">
        <v>56</v>
      </c>
      <c r="G197" t="s">
        <v>57</v>
      </c>
      <c r="H197">
        <v>24950</v>
      </c>
      <c r="I197" t="s">
        <v>58</v>
      </c>
      <c r="J197">
        <v>0.15</v>
      </c>
      <c r="K197">
        <v>-94.339622641509436</v>
      </c>
      <c r="L197">
        <v>130</v>
      </c>
      <c r="M197">
        <v>0.51</v>
      </c>
      <c r="N197">
        <v>20706985</v>
      </c>
      <c r="O197">
        <v>6708845</v>
      </c>
      <c r="P197">
        <v>3507270</v>
      </c>
      <c r="Q197">
        <v>2566330</v>
      </c>
      <c r="R197">
        <v>3328455</v>
      </c>
      <c r="S197">
        <v>1682915</v>
      </c>
      <c r="T197">
        <v>0.85</v>
      </c>
      <c r="U197">
        <v>0.9</v>
      </c>
      <c r="V197">
        <v>0.1</v>
      </c>
      <c r="W197">
        <v>2.65</v>
      </c>
      <c r="X197">
        <v>0.1</v>
      </c>
      <c r="Y197">
        <v>560495</v>
      </c>
      <c r="Z197">
        <v>0.15</v>
      </c>
      <c r="AA197">
        <v>766155</v>
      </c>
      <c r="AB197" s="6">
        <v>46147.586527777778</v>
      </c>
      <c r="AC197" s="6">
        <v>46147.586516203701</v>
      </c>
    </row>
    <row r="198" spans="1:29" x14ac:dyDescent="0.25">
      <c r="A198" t="s">
        <v>7</v>
      </c>
      <c r="B198" s="5">
        <v>46147</v>
      </c>
      <c r="C198" t="s">
        <v>54</v>
      </c>
      <c r="D198" t="s">
        <v>254</v>
      </c>
      <c r="E198">
        <v>19003138</v>
      </c>
      <c r="F198" t="s">
        <v>56</v>
      </c>
      <c r="G198" t="s">
        <v>57</v>
      </c>
      <c r="H198">
        <v>24950</v>
      </c>
      <c r="I198" t="s">
        <v>60</v>
      </c>
      <c r="J198">
        <v>912.65</v>
      </c>
      <c r="K198">
        <v>14.02423788105947</v>
      </c>
      <c r="L198">
        <v>260</v>
      </c>
      <c r="M198">
        <v>931.3</v>
      </c>
      <c r="N198">
        <v>5850</v>
      </c>
      <c r="O198">
        <v>24375</v>
      </c>
      <c r="P198">
        <v>21840</v>
      </c>
      <c r="Q198">
        <v>11245</v>
      </c>
      <c r="R198">
        <v>12545</v>
      </c>
      <c r="S198">
        <v>11180</v>
      </c>
      <c r="T198">
        <v>972.35</v>
      </c>
      <c r="U198">
        <v>1031.95</v>
      </c>
      <c r="V198">
        <v>866.8</v>
      </c>
      <c r="W198">
        <v>800.4</v>
      </c>
      <c r="X198">
        <v>908.7</v>
      </c>
      <c r="Y198">
        <v>130</v>
      </c>
      <c r="Z198">
        <v>913.25</v>
      </c>
      <c r="AA198">
        <v>65</v>
      </c>
      <c r="AB198" s="6">
        <v>46147.586527777778</v>
      </c>
      <c r="AC198" s="6">
        <v>46147.586400462962</v>
      </c>
    </row>
    <row r="199" spans="1:29" x14ac:dyDescent="0.25">
      <c r="A199" t="s">
        <v>7</v>
      </c>
      <c r="B199" s="5">
        <v>46147</v>
      </c>
      <c r="C199" t="s">
        <v>54</v>
      </c>
      <c r="D199" t="s">
        <v>255</v>
      </c>
      <c r="E199">
        <v>19003394</v>
      </c>
      <c r="F199" t="s">
        <v>56</v>
      </c>
      <c r="G199" t="s">
        <v>57</v>
      </c>
      <c r="H199">
        <v>25000</v>
      </c>
      <c r="I199" t="s">
        <v>58</v>
      </c>
      <c r="J199">
        <v>0.05</v>
      </c>
      <c r="K199">
        <v>-97.826086956521749</v>
      </c>
      <c r="L199">
        <v>130</v>
      </c>
      <c r="M199">
        <v>0.47</v>
      </c>
      <c r="N199">
        <v>97772025</v>
      </c>
      <c r="O199">
        <v>8193315</v>
      </c>
      <c r="P199">
        <v>18937555</v>
      </c>
      <c r="Q199">
        <v>14573975</v>
      </c>
      <c r="R199">
        <v>16429660</v>
      </c>
      <c r="S199">
        <v>13801970</v>
      </c>
      <c r="T199">
        <v>0.85</v>
      </c>
      <c r="U199">
        <v>0.85</v>
      </c>
      <c r="V199">
        <v>0.05</v>
      </c>
      <c r="W199">
        <v>2.2999999999999998</v>
      </c>
      <c r="X199">
        <v>0.05</v>
      </c>
      <c r="Y199">
        <v>8193315</v>
      </c>
      <c r="Z199">
        <v>0.1</v>
      </c>
      <c r="AA199">
        <v>4967885</v>
      </c>
      <c r="AB199" s="6">
        <v>46147.586527777778</v>
      </c>
      <c r="AC199" s="6">
        <v>46147.586516203701</v>
      </c>
    </row>
    <row r="200" spans="1:29" x14ac:dyDescent="0.25">
      <c r="A200" t="s">
        <v>7</v>
      </c>
      <c r="B200" s="5">
        <v>46147</v>
      </c>
      <c r="C200" t="s">
        <v>54</v>
      </c>
      <c r="D200" t="s">
        <v>256</v>
      </c>
      <c r="E200">
        <v>19003650</v>
      </c>
      <c r="F200" t="s">
        <v>56</v>
      </c>
      <c r="G200" t="s">
        <v>57</v>
      </c>
      <c r="H200">
        <v>25000</v>
      </c>
      <c r="I200" t="s">
        <v>60</v>
      </c>
      <c r="J200">
        <v>959.1</v>
      </c>
      <c r="K200">
        <v>13.610518834399429</v>
      </c>
      <c r="L200">
        <v>65</v>
      </c>
      <c r="M200">
        <v>998.05</v>
      </c>
      <c r="N200">
        <v>298220</v>
      </c>
      <c r="O200">
        <v>30615</v>
      </c>
      <c r="P200">
        <v>29120</v>
      </c>
      <c r="Q200">
        <v>238160</v>
      </c>
      <c r="R200">
        <v>288080</v>
      </c>
      <c r="S200">
        <v>238095</v>
      </c>
      <c r="T200">
        <v>1000</v>
      </c>
      <c r="U200">
        <v>1119.95</v>
      </c>
      <c r="V200">
        <v>910</v>
      </c>
      <c r="W200">
        <v>844.2</v>
      </c>
      <c r="X200">
        <v>960.05</v>
      </c>
      <c r="Y200">
        <v>130</v>
      </c>
      <c r="Z200">
        <v>962.75</v>
      </c>
      <c r="AA200">
        <v>65</v>
      </c>
      <c r="AB200" s="6">
        <v>46147.586516203701</v>
      </c>
      <c r="AC200" s="6">
        <v>46147.586458333331</v>
      </c>
    </row>
    <row r="201" spans="1:29" x14ac:dyDescent="0.25">
      <c r="A201" t="s">
        <v>7</v>
      </c>
      <c r="B201" s="5">
        <v>46147</v>
      </c>
      <c r="C201" t="s">
        <v>54</v>
      </c>
      <c r="D201" t="s">
        <v>257</v>
      </c>
      <c r="E201">
        <v>19004162</v>
      </c>
      <c r="F201" t="s">
        <v>56</v>
      </c>
      <c r="G201" t="s">
        <v>57</v>
      </c>
      <c r="H201">
        <v>25050</v>
      </c>
      <c r="I201" t="s">
        <v>58</v>
      </c>
      <c r="J201">
        <v>0.1</v>
      </c>
      <c r="K201">
        <v>-94.73684210526315</v>
      </c>
      <c r="L201">
        <v>325</v>
      </c>
      <c r="M201">
        <v>0.41</v>
      </c>
      <c r="N201">
        <v>11914240</v>
      </c>
      <c r="O201">
        <v>2600000</v>
      </c>
      <c r="P201">
        <v>3204370</v>
      </c>
      <c r="Q201">
        <v>2227485</v>
      </c>
      <c r="R201">
        <v>2492685</v>
      </c>
      <c r="S201">
        <v>1980745</v>
      </c>
      <c r="T201">
        <v>0.8</v>
      </c>
      <c r="U201">
        <v>0.8</v>
      </c>
      <c r="V201">
        <v>0.05</v>
      </c>
      <c r="W201">
        <v>1.9</v>
      </c>
      <c r="X201">
        <v>0.05</v>
      </c>
      <c r="Y201">
        <v>2600000</v>
      </c>
      <c r="Z201">
        <v>0.1</v>
      </c>
      <c r="AA201">
        <v>916565</v>
      </c>
      <c r="AB201" s="6">
        <v>46147.586504629631</v>
      </c>
      <c r="AC201" s="6">
        <v>46147.586504629631</v>
      </c>
    </row>
    <row r="202" spans="1:29" x14ac:dyDescent="0.25">
      <c r="A202" t="s">
        <v>7</v>
      </c>
      <c r="B202" s="5">
        <v>46147</v>
      </c>
      <c r="C202" t="s">
        <v>54</v>
      </c>
      <c r="D202" t="s">
        <v>258</v>
      </c>
      <c r="E202">
        <v>19004418</v>
      </c>
      <c r="F202" t="s">
        <v>56</v>
      </c>
      <c r="G202" t="s">
        <v>57</v>
      </c>
      <c r="H202">
        <v>25050</v>
      </c>
      <c r="I202" t="s">
        <v>60</v>
      </c>
      <c r="J202">
        <v>1016</v>
      </c>
      <c r="K202">
        <v>14.221472737492974</v>
      </c>
      <c r="L202">
        <v>65</v>
      </c>
      <c r="M202">
        <v>1065.06</v>
      </c>
      <c r="N202">
        <v>1820</v>
      </c>
      <c r="O202">
        <v>11310</v>
      </c>
      <c r="P202">
        <v>11245</v>
      </c>
      <c r="Q202">
        <v>4680</v>
      </c>
      <c r="R202">
        <v>4940</v>
      </c>
      <c r="S202">
        <v>4225</v>
      </c>
      <c r="T202">
        <v>996</v>
      </c>
      <c r="U202">
        <v>1149.9000000000001</v>
      </c>
      <c r="V202">
        <v>963.9</v>
      </c>
      <c r="W202">
        <v>889.5</v>
      </c>
      <c r="X202">
        <v>1005</v>
      </c>
      <c r="Y202">
        <v>65</v>
      </c>
      <c r="Z202">
        <v>1015.25</v>
      </c>
      <c r="AA202">
        <v>260</v>
      </c>
      <c r="AB202" s="6">
        <v>46147.586527777778</v>
      </c>
      <c r="AC202" s="6">
        <v>46147.563680555555</v>
      </c>
    </row>
    <row r="203" spans="1:29" x14ac:dyDescent="0.25">
      <c r="A203" t="s">
        <v>7</v>
      </c>
      <c r="B203" s="5">
        <v>46147</v>
      </c>
      <c r="C203" t="s">
        <v>54</v>
      </c>
      <c r="D203" t="s">
        <v>259</v>
      </c>
      <c r="E203">
        <v>19004674</v>
      </c>
      <c r="F203" t="s">
        <v>56</v>
      </c>
      <c r="G203" t="s">
        <v>57</v>
      </c>
      <c r="H203">
        <v>25100</v>
      </c>
      <c r="I203" t="s">
        <v>58</v>
      </c>
      <c r="J203">
        <v>0.05</v>
      </c>
      <c r="K203">
        <v>-97.058823529411768</v>
      </c>
      <c r="L203">
        <v>260</v>
      </c>
      <c r="M203">
        <v>0.43</v>
      </c>
      <c r="N203">
        <v>24284195</v>
      </c>
      <c r="O203">
        <v>4537650</v>
      </c>
      <c r="P203">
        <v>5953285</v>
      </c>
      <c r="Q203">
        <v>3858855</v>
      </c>
      <c r="R203">
        <v>4752540</v>
      </c>
      <c r="S203">
        <v>3570775</v>
      </c>
      <c r="T203">
        <v>0.7</v>
      </c>
      <c r="U203">
        <v>0.8</v>
      </c>
      <c r="V203">
        <v>0.05</v>
      </c>
      <c r="W203">
        <v>1.7</v>
      </c>
      <c r="X203">
        <v>0.05</v>
      </c>
      <c r="Y203">
        <v>4537650</v>
      </c>
      <c r="Z203">
        <v>0.1</v>
      </c>
      <c r="AA203">
        <v>1629030</v>
      </c>
      <c r="AB203" s="6">
        <v>46147.586539351854</v>
      </c>
      <c r="AC203" s="6">
        <v>46147.586469907408</v>
      </c>
    </row>
    <row r="204" spans="1:29" x14ac:dyDescent="0.25">
      <c r="A204" t="s">
        <v>7</v>
      </c>
      <c r="B204" s="5">
        <v>46147</v>
      </c>
      <c r="C204" t="s">
        <v>54</v>
      </c>
      <c r="D204" t="s">
        <v>260</v>
      </c>
      <c r="E204">
        <v>19004930</v>
      </c>
      <c r="F204" t="s">
        <v>56</v>
      </c>
      <c r="G204" t="s">
        <v>57</v>
      </c>
      <c r="H204">
        <v>25100</v>
      </c>
      <c r="I204" t="s">
        <v>60</v>
      </c>
      <c r="J204">
        <v>1067.5</v>
      </c>
      <c r="K204">
        <v>13.497421721333266</v>
      </c>
      <c r="L204">
        <v>65</v>
      </c>
      <c r="M204">
        <v>1132.21</v>
      </c>
      <c r="N204">
        <v>6240</v>
      </c>
      <c r="O204">
        <v>12935</v>
      </c>
      <c r="P204">
        <v>13195</v>
      </c>
      <c r="Q204">
        <v>11765</v>
      </c>
      <c r="R204">
        <v>12675</v>
      </c>
      <c r="S204">
        <v>11765</v>
      </c>
      <c r="T204">
        <v>1131.4000000000001</v>
      </c>
      <c r="U204">
        <v>1203</v>
      </c>
      <c r="V204">
        <v>1013.95</v>
      </c>
      <c r="W204">
        <v>940.55</v>
      </c>
      <c r="X204">
        <v>1058.4000000000001</v>
      </c>
      <c r="Y204">
        <v>65</v>
      </c>
      <c r="Z204">
        <v>1064.05</v>
      </c>
      <c r="AA204">
        <v>65</v>
      </c>
      <c r="AB204" s="6">
        <v>46147.586539351854</v>
      </c>
      <c r="AC204" s="6">
        <v>46147.585474537038</v>
      </c>
    </row>
    <row r="205" spans="1:29" x14ac:dyDescent="0.25">
      <c r="A205" t="s">
        <v>7</v>
      </c>
      <c r="B205" s="5">
        <v>46147</v>
      </c>
      <c r="C205" t="s">
        <v>54</v>
      </c>
      <c r="D205" t="s">
        <v>261</v>
      </c>
      <c r="E205">
        <v>19005186</v>
      </c>
      <c r="F205" t="s">
        <v>56</v>
      </c>
      <c r="G205" t="s">
        <v>57</v>
      </c>
      <c r="H205">
        <v>25150</v>
      </c>
      <c r="I205" t="s">
        <v>58</v>
      </c>
      <c r="J205">
        <v>0.1</v>
      </c>
      <c r="K205">
        <v>-93.333333333333329</v>
      </c>
      <c r="L205">
        <v>390</v>
      </c>
      <c r="M205">
        <v>0.45</v>
      </c>
      <c r="N205">
        <v>5975450</v>
      </c>
      <c r="O205">
        <v>6292000</v>
      </c>
      <c r="P205">
        <v>3061565</v>
      </c>
      <c r="Q205">
        <v>1429545</v>
      </c>
      <c r="R205">
        <v>1555905</v>
      </c>
      <c r="S205">
        <v>1239680</v>
      </c>
      <c r="T205">
        <v>0.7</v>
      </c>
      <c r="U205">
        <v>0.7</v>
      </c>
      <c r="V205">
        <v>0.1</v>
      </c>
      <c r="W205">
        <v>1.5</v>
      </c>
      <c r="X205">
        <v>0.1</v>
      </c>
      <c r="Y205">
        <v>386425</v>
      </c>
      <c r="Z205">
        <v>0.15</v>
      </c>
      <c r="AA205">
        <v>671710</v>
      </c>
      <c r="AB205" s="6">
        <v>46147.586527777778</v>
      </c>
      <c r="AC205" s="6">
        <v>46147.586006944446</v>
      </c>
    </row>
    <row r="206" spans="1:29" x14ac:dyDescent="0.25">
      <c r="A206" t="s">
        <v>7</v>
      </c>
      <c r="B206" s="5">
        <v>46147</v>
      </c>
      <c r="C206" t="s">
        <v>54</v>
      </c>
      <c r="D206" t="s">
        <v>262</v>
      </c>
      <c r="E206">
        <v>19005442</v>
      </c>
      <c r="F206" t="s">
        <v>56</v>
      </c>
      <c r="G206" t="s">
        <v>57</v>
      </c>
      <c r="H206">
        <v>25150</v>
      </c>
      <c r="I206" t="s">
        <v>60</v>
      </c>
      <c r="J206">
        <v>1150.8499999999999</v>
      </c>
      <c r="K206">
        <v>15.692385021362142</v>
      </c>
      <c r="L206">
        <v>130</v>
      </c>
      <c r="M206">
        <v>1195.78</v>
      </c>
      <c r="N206">
        <v>715</v>
      </c>
      <c r="O206">
        <v>9620</v>
      </c>
      <c r="P206">
        <v>9880</v>
      </c>
      <c r="Q206">
        <v>2600</v>
      </c>
      <c r="R206">
        <v>2600</v>
      </c>
      <c r="S206">
        <v>2340</v>
      </c>
      <c r="T206">
        <v>1118.55</v>
      </c>
      <c r="U206">
        <v>1249.7</v>
      </c>
      <c r="V206">
        <v>1118.55</v>
      </c>
      <c r="W206">
        <v>994.75</v>
      </c>
      <c r="X206">
        <v>1106.45</v>
      </c>
      <c r="Y206">
        <v>195</v>
      </c>
      <c r="Z206">
        <v>1115.95</v>
      </c>
      <c r="AA206">
        <v>325</v>
      </c>
      <c r="AB206" s="6">
        <v>46147.586527777778</v>
      </c>
      <c r="AC206" s="6">
        <v>46147.536724537036</v>
      </c>
    </row>
    <row r="207" spans="1:29" x14ac:dyDescent="0.25">
      <c r="A207" t="s">
        <v>7</v>
      </c>
      <c r="B207" s="5">
        <v>46147</v>
      </c>
      <c r="C207" t="s">
        <v>54</v>
      </c>
      <c r="D207" t="s">
        <v>263</v>
      </c>
      <c r="E207">
        <v>19005698</v>
      </c>
      <c r="F207" t="s">
        <v>56</v>
      </c>
      <c r="G207" t="s">
        <v>57</v>
      </c>
      <c r="H207">
        <v>25200</v>
      </c>
      <c r="I207" t="s">
        <v>58</v>
      </c>
      <c r="J207">
        <v>0.1</v>
      </c>
      <c r="K207">
        <v>-91.999999999999986</v>
      </c>
      <c r="L207">
        <v>585</v>
      </c>
      <c r="M207">
        <v>0.4</v>
      </c>
      <c r="N207">
        <v>25664210</v>
      </c>
      <c r="O207">
        <v>5768685</v>
      </c>
      <c r="P207">
        <v>9371180</v>
      </c>
      <c r="Q207">
        <v>5337605</v>
      </c>
      <c r="R207">
        <v>7140250</v>
      </c>
      <c r="S207">
        <v>4798365</v>
      </c>
      <c r="T207">
        <v>0.6</v>
      </c>
      <c r="U207">
        <v>0.65</v>
      </c>
      <c r="V207">
        <v>0.05</v>
      </c>
      <c r="W207">
        <v>1.25</v>
      </c>
      <c r="X207">
        <v>0.05</v>
      </c>
      <c r="Y207">
        <v>5768685</v>
      </c>
      <c r="Z207">
        <v>0.1</v>
      </c>
      <c r="AA207">
        <v>2213120</v>
      </c>
      <c r="AB207" s="6">
        <v>46147.586527777778</v>
      </c>
      <c r="AC207" s="6">
        <v>46147.586493055554</v>
      </c>
    </row>
    <row r="208" spans="1:29" x14ac:dyDescent="0.25">
      <c r="A208" t="s">
        <v>7</v>
      </c>
      <c r="B208" s="5">
        <v>46147</v>
      </c>
      <c r="C208" t="s">
        <v>54</v>
      </c>
      <c r="D208" t="s">
        <v>264</v>
      </c>
      <c r="E208">
        <v>19006210</v>
      </c>
      <c r="F208" t="s">
        <v>56</v>
      </c>
      <c r="G208" t="s">
        <v>57</v>
      </c>
      <c r="H208">
        <v>25200</v>
      </c>
      <c r="I208" t="s">
        <v>60</v>
      </c>
      <c r="J208">
        <v>1162.5999999999999</v>
      </c>
      <c r="K208">
        <v>12.333929175322465</v>
      </c>
      <c r="L208">
        <v>65</v>
      </c>
      <c r="M208">
        <v>1175.5999999999999</v>
      </c>
      <c r="N208">
        <v>49530</v>
      </c>
      <c r="O208">
        <v>16250</v>
      </c>
      <c r="P208">
        <v>14885</v>
      </c>
      <c r="Q208">
        <v>46085</v>
      </c>
      <c r="R208">
        <v>65910</v>
      </c>
      <c r="S208">
        <v>46020</v>
      </c>
      <c r="T208">
        <v>1210.05</v>
      </c>
      <c r="U208">
        <v>1305.05</v>
      </c>
      <c r="V208">
        <v>1119.5999999999999</v>
      </c>
      <c r="W208">
        <v>1034.95</v>
      </c>
      <c r="X208">
        <v>1160.95</v>
      </c>
      <c r="Y208">
        <v>325</v>
      </c>
      <c r="Z208">
        <v>1163.7</v>
      </c>
      <c r="AA208">
        <v>130</v>
      </c>
      <c r="AB208" s="6">
        <v>46147.586516203701</v>
      </c>
      <c r="AC208" s="6">
        <v>46147.583321759259</v>
      </c>
    </row>
    <row r="209" spans="1:29" x14ac:dyDescent="0.25">
      <c r="A209" t="s">
        <v>7</v>
      </c>
      <c r="B209" s="5">
        <v>46147</v>
      </c>
      <c r="C209" t="s">
        <v>54</v>
      </c>
      <c r="D209" t="s">
        <v>265</v>
      </c>
      <c r="E209">
        <v>19006466</v>
      </c>
      <c r="F209" t="s">
        <v>56</v>
      </c>
      <c r="G209" t="s">
        <v>57</v>
      </c>
      <c r="H209">
        <v>25250</v>
      </c>
      <c r="I209" t="s">
        <v>58</v>
      </c>
      <c r="J209">
        <v>0.05</v>
      </c>
      <c r="K209">
        <v>-95.833333333333329</v>
      </c>
      <c r="L209">
        <v>1430</v>
      </c>
      <c r="M209">
        <v>0.39</v>
      </c>
      <c r="N209">
        <v>7805200</v>
      </c>
      <c r="O209">
        <v>2569645</v>
      </c>
      <c r="P209">
        <v>4028115</v>
      </c>
      <c r="Q209">
        <v>2029690</v>
      </c>
      <c r="R209">
        <v>2063750</v>
      </c>
      <c r="S209">
        <v>1439425</v>
      </c>
      <c r="T209">
        <v>0.55000000000000004</v>
      </c>
      <c r="U209">
        <v>0.6</v>
      </c>
      <c r="V209">
        <v>0.05</v>
      </c>
      <c r="W209">
        <v>1.2</v>
      </c>
      <c r="X209">
        <v>0.05</v>
      </c>
      <c r="Y209">
        <v>2569645</v>
      </c>
      <c r="Z209">
        <v>0.1</v>
      </c>
      <c r="AA209">
        <v>1213485</v>
      </c>
      <c r="AB209" s="6">
        <v>46147.586516203701</v>
      </c>
      <c r="AC209" s="6">
        <v>46147.586180555554</v>
      </c>
    </row>
    <row r="210" spans="1:29" x14ac:dyDescent="0.25">
      <c r="A210" t="s">
        <v>7</v>
      </c>
      <c r="B210" s="5">
        <v>46147</v>
      </c>
      <c r="C210" t="s">
        <v>54</v>
      </c>
      <c r="D210" t="s">
        <v>266</v>
      </c>
      <c r="E210">
        <v>19006722</v>
      </c>
      <c r="F210" t="s">
        <v>56</v>
      </c>
      <c r="G210" t="s">
        <v>57</v>
      </c>
      <c r="H210">
        <v>25250</v>
      </c>
      <c r="I210" t="s">
        <v>60</v>
      </c>
      <c r="J210">
        <v>1250.2</v>
      </c>
      <c r="K210">
        <v>15.225806451612907</v>
      </c>
      <c r="L210">
        <v>65</v>
      </c>
      <c r="M210">
        <v>1323.27</v>
      </c>
      <c r="N210">
        <v>910</v>
      </c>
      <c r="O210">
        <v>9555</v>
      </c>
      <c r="P210">
        <v>10595</v>
      </c>
      <c r="Q210">
        <v>2340</v>
      </c>
      <c r="R210">
        <v>2405</v>
      </c>
      <c r="S210">
        <v>2145</v>
      </c>
      <c r="T210">
        <v>1255</v>
      </c>
      <c r="U210">
        <v>1360.55</v>
      </c>
      <c r="V210">
        <v>1250.2</v>
      </c>
      <c r="W210">
        <v>1085</v>
      </c>
      <c r="X210">
        <v>1204.2</v>
      </c>
      <c r="Y210">
        <v>195</v>
      </c>
      <c r="Z210">
        <v>1215.6500000000001</v>
      </c>
      <c r="AA210">
        <v>130</v>
      </c>
      <c r="AB210" s="6">
        <v>46147.586527777778</v>
      </c>
      <c r="AC210" s="6">
        <v>46147.536724537036</v>
      </c>
    </row>
    <row r="211" spans="1:29" x14ac:dyDescent="0.25">
      <c r="A211" t="s">
        <v>7</v>
      </c>
      <c r="B211" s="5">
        <v>46147</v>
      </c>
      <c r="C211" t="s">
        <v>54</v>
      </c>
      <c r="D211" t="s">
        <v>267</v>
      </c>
      <c r="E211">
        <v>19007234</v>
      </c>
      <c r="F211" t="s">
        <v>56</v>
      </c>
      <c r="G211" t="s">
        <v>57</v>
      </c>
      <c r="H211">
        <v>25300</v>
      </c>
      <c r="I211" t="s">
        <v>58</v>
      </c>
      <c r="J211">
        <v>0.05</v>
      </c>
      <c r="K211">
        <v>-95.238095238095241</v>
      </c>
      <c r="L211">
        <v>910</v>
      </c>
      <c r="M211">
        <v>0.38</v>
      </c>
      <c r="N211">
        <v>15262390</v>
      </c>
      <c r="O211">
        <v>4984330</v>
      </c>
      <c r="P211">
        <v>7206745</v>
      </c>
      <c r="Q211">
        <v>2444975</v>
      </c>
      <c r="R211">
        <v>4794595</v>
      </c>
      <c r="S211">
        <v>2444585</v>
      </c>
      <c r="T211">
        <v>0.7</v>
      </c>
      <c r="U211">
        <v>0.7</v>
      </c>
      <c r="V211">
        <v>0.05</v>
      </c>
      <c r="W211">
        <v>1.05</v>
      </c>
      <c r="X211">
        <v>0.05</v>
      </c>
      <c r="Y211">
        <v>4984330</v>
      </c>
      <c r="Z211">
        <v>0.1</v>
      </c>
      <c r="AA211">
        <v>1861080</v>
      </c>
      <c r="AB211" s="6">
        <v>46147.586516203701</v>
      </c>
      <c r="AC211" s="6">
        <v>46147.58630787037</v>
      </c>
    </row>
    <row r="212" spans="1:29" x14ac:dyDescent="0.25">
      <c r="A212" t="s">
        <v>7</v>
      </c>
      <c r="B212" s="5">
        <v>46147</v>
      </c>
      <c r="C212" t="s">
        <v>54</v>
      </c>
      <c r="D212" t="s">
        <v>268</v>
      </c>
      <c r="E212">
        <v>19007746</v>
      </c>
      <c r="F212" t="s">
        <v>56</v>
      </c>
      <c r="G212" t="s">
        <v>57</v>
      </c>
      <c r="H212">
        <v>25300</v>
      </c>
      <c r="I212" t="s">
        <v>60</v>
      </c>
      <c r="J212">
        <v>1256.8499999999999</v>
      </c>
      <c r="K212">
        <v>10.196834860374379</v>
      </c>
      <c r="L212">
        <v>65</v>
      </c>
      <c r="M212">
        <v>1322.85</v>
      </c>
      <c r="N212">
        <v>6240</v>
      </c>
      <c r="O212">
        <v>10140</v>
      </c>
      <c r="P212">
        <v>9555</v>
      </c>
      <c r="Q212">
        <v>3835</v>
      </c>
      <c r="R212">
        <v>5135</v>
      </c>
      <c r="S212">
        <v>3835</v>
      </c>
      <c r="T212">
        <v>1267</v>
      </c>
      <c r="U212">
        <v>1400.7</v>
      </c>
      <c r="V212">
        <v>1229.5</v>
      </c>
      <c r="W212">
        <v>1140.55</v>
      </c>
      <c r="X212">
        <v>1257.6500000000001</v>
      </c>
      <c r="Y212">
        <v>130</v>
      </c>
      <c r="Z212">
        <v>1264.95</v>
      </c>
      <c r="AA212">
        <v>130</v>
      </c>
      <c r="AB212" s="6">
        <v>46147.586527777778</v>
      </c>
      <c r="AC212" s="6">
        <v>46147.578969907408</v>
      </c>
    </row>
    <row r="213" spans="1:29" x14ac:dyDescent="0.25">
      <c r="A213" t="s">
        <v>7</v>
      </c>
      <c r="B213" s="5">
        <v>46147</v>
      </c>
      <c r="C213" t="s">
        <v>54</v>
      </c>
      <c r="D213" t="s">
        <v>269</v>
      </c>
      <c r="E213">
        <v>19008002</v>
      </c>
      <c r="F213" t="s">
        <v>56</v>
      </c>
      <c r="G213" t="s">
        <v>57</v>
      </c>
      <c r="H213">
        <v>25350</v>
      </c>
      <c r="I213" t="s">
        <v>58</v>
      </c>
      <c r="J213">
        <v>0.05</v>
      </c>
      <c r="K213">
        <v>-94.73684210526315</v>
      </c>
      <c r="L213">
        <v>65</v>
      </c>
      <c r="M213">
        <v>0.34</v>
      </c>
      <c r="N213">
        <v>4026815</v>
      </c>
      <c r="O213">
        <v>584805</v>
      </c>
      <c r="P213">
        <v>813085</v>
      </c>
      <c r="Q213">
        <v>652470</v>
      </c>
      <c r="R213">
        <v>1374880</v>
      </c>
      <c r="S213">
        <v>652470</v>
      </c>
      <c r="T213">
        <v>0.7</v>
      </c>
      <c r="U213">
        <v>0.7</v>
      </c>
      <c r="V213">
        <v>0.05</v>
      </c>
      <c r="W213">
        <v>0.95</v>
      </c>
      <c r="X213">
        <v>0.05</v>
      </c>
      <c r="Y213">
        <v>584805</v>
      </c>
      <c r="Z213">
        <v>0.1</v>
      </c>
      <c r="AA213">
        <v>383305</v>
      </c>
      <c r="AB213" s="6">
        <v>46147.586527777778</v>
      </c>
      <c r="AC213" s="6">
        <v>46147.585439814815</v>
      </c>
    </row>
    <row r="214" spans="1:29" x14ac:dyDescent="0.25">
      <c r="A214" t="s">
        <v>7</v>
      </c>
      <c r="B214" s="5">
        <v>46147</v>
      </c>
      <c r="C214" t="s">
        <v>54</v>
      </c>
      <c r="D214" t="s">
        <v>270</v>
      </c>
      <c r="E214">
        <v>19008258</v>
      </c>
      <c r="F214" t="s">
        <v>56</v>
      </c>
      <c r="G214" t="s">
        <v>57</v>
      </c>
      <c r="H214">
        <v>25350</v>
      </c>
      <c r="I214" t="s">
        <v>60</v>
      </c>
      <c r="J214">
        <v>1191.3499999999999</v>
      </c>
      <c r="K214">
        <v>0</v>
      </c>
      <c r="L214">
        <v>130</v>
      </c>
      <c r="M214">
        <v>0</v>
      </c>
      <c r="N214">
        <v>0</v>
      </c>
      <c r="O214">
        <v>8515</v>
      </c>
      <c r="P214">
        <v>8385</v>
      </c>
      <c r="Q214">
        <v>715</v>
      </c>
      <c r="R214">
        <v>715</v>
      </c>
      <c r="S214">
        <v>715</v>
      </c>
      <c r="T214">
        <v>0</v>
      </c>
      <c r="U214">
        <v>0</v>
      </c>
      <c r="V214">
        <v>0</v>
      </c>
      <c r="W214">
        <v>1191.3499999999999</v>
      </c>
      <c r="X214">
        <v>1258.8</v>
      </c>
      <c r="Y214">
        <v>2535</v>
      </c>
      <c r="Z214">
        <v>1355.75</v>
      </c>
      <c r="AA214">
        <v>2535</v>
      </c>
      <c r="AB214" s="6">
        <v>46147.586458333331</v>
      </c>
      <c r="AC214" s="6">
        <v>46146.644259259258</v>
      </c>
    </row>
    <row r="215" spans="1:29" x14ac:dyDescent="0.25">
      <c r="A215" t="s">
        <v>7</v>
      </c>
      <c r="B215" s="5">
        <v>46147</v>
      </c>
      <c r="C215" t="s">
        <v>54</v>
      </c>
      <c r="D215" t="s">
        <v>271</v>
      </c>
      <c r="E215">
        <v>19008514</v>
      </c>
      <c r="F215" t="s">
        <v>56</v>
      </c>
      <c r="G215" t="s">
        <v>57</v>
      </c>
      <c r="H215">
        <v>25400</v>
      </c>
      <c r="I215" t="s">
        <v>58</v>
      </c>
      <c r="J215">
        <v>0.05</v>
      </c>
      <c r="K215">
        <v>-94.117647058823536</v>
      </c>
      <c r="L215">
        <v>390</v>
      </c>
      <c r="M215">
        <v>0.31</v>
      </c>
      <c r="N215">
        <v>10869625</v>
      </c>
      <c r="O215">
        <v>181675</v>
      </c>
      <c r="P215">
        <v>1137630</v>
      </c>
      <c r="Q215">
        <v>1537705</v>
      </c>
      <c r="R215">
        <v>2722460</v>
      </c>
      <c r="S215">
        <v>1537705</v>
      </c>
      <c r="T215">
        <v>0.35</v>
      </c>
      <c r="U215">
        <v>0.7</v>
      </c>
      <c r="V215">
        <v>0.05</v>
      </c>
      <c r="W215">
        <v>0.85</v>
      </c>
      <c r="X215">
        <v>0.05</v>
      </c>
      <c r="Y215">
        <v>181675</v>
      </c>
      <c r="Z215">
        <v>0.1</v>
      </c>
      <c r="AA215">
        <v>654810</v>
      </c>
      <c r="AB215" s="6">
        <v>46147.586504629631</v>
      </c>
      <c r="AC215" s="6">
        <v>46147.586215277777</v>
      </c>
    </row>
    <row r="216" spans="1:29" x14ac:dyDescent="0.25">
      <c r="A216" t="s">
        <v>7</v>
      </c>
      <c r="B216" s="5">
        <v>46147</v>
      </c>
      <c r="C216" t="s">
        <v>54</v>
      </c>
      <c r="D216" t="s">
        <v>272</v>
      </c>
      <c r="E216">
        <v>19008770</v>
      </c>
      <c r="F216" t="s">
        <v>56</v>
      </c>
      <c r="G216" t="s">
        <v>57</v>
      </c>
      <c r="H216">
        <v>25400</v>
      </c>
      <c r="I216" t="s">
        <v>60</v>
      </c>
      <c r="J216">
        <v>1360.65</v>
      </c>
      <c r="K216">
        <v>8.3622028431489657</v>
      </c>
      <c r="L216">
        <v>65</v>
      </c>
      <c r="M216">
        <v>1370.52</v>
      </c>
      <c r="N216">
        <v>1040</v>
      </c>
      <c r="O216">
        <v>8645</v>
      </c>
      <c r="P216">
        <v>8580</v>
      </c>
      <c r="Q216">
        <v>2340</v>
      </c>
      <c r="R216">
        <v>3120</v>
      </c>
      <c r="S216">
        <v>2340</v>
      </c>
      <c r="T216">
        <v>1319.9</v>
      </c>
      <c r="U216">
        <v>1480.7</v>
      </c>
      <c r="V216">
        <v>1319.9</v>
      </c>
      <c r="W216">
        <v>1255.6500000000001</v>
      </c>
      <c r="X216">
        <v>1354.15</v>
      </c>
      <c r="Y216">
        <v>130</v>
      </c>
      <c r="Z216">
        <v>1365.85</v>
      </c>
      <c r="AA216">
        <v>260</v>
      </c>
      <c r="AB216" s="6">
        <v>46147.586527777778</v>
      </c>
      <c r="AC216" s="6">
        <v>46147.577511574076</v>
      </c>
    </row>
    <row r="217" spans="1:29" x14ac:dyDescent="0.25">
      <c r="A217" t="s">
        <v>7</v>
      </c>
      <c r="B217" s="5">
        <v>46147</v>
      </c>
      <c r="C217" t="s">
        <v>54</v>
      </c>
      <c r="D217" t="s">
        <v>273</v>
      </c>
      <c r="E217">
        <v>19009026</v>
      </c>
      <c r="F217" t="s">
        <v>56</v>
      </c>
      <c r="G217" t="s">
        <v>57</v>
      </c>
      <c r="H217">
        <v>25450</v>
      </c>
      <c r="I217" t="s">
        <v>58</v>
      </c>
      <c r="J217">
        <v>0.05</v>
      </c>
      <c r="K217">
        <v>-94.117647058823536</v>
      </c>
      <c r="L217">
        <v>910</v>
      </c>
      <c r="M217">
        <v>0.35</v>
      </c>
      <c r="N217">
        <v>3605940</v>
      </c>
      <c r="O217">
        <v>22685</v>
      </c>
      <c r="P217">
        <v>469820</v>
      </c>
      <c r="Q217">
        <v>618150</v>
      </c>
      <c r="R217">
        <v>792935</v>
      </c>
      <c r="S217">
        <v>535860</v>
      </c>
      <c r="T217">
        <v>0.7</v>
      </c>
      <c r="U217">
        <v>0.7</v>
      </c>
      <c r="V217">
        <v>0.05</v>
      </c>
      <c r="W217">
        <v>0.85</v>
      </c>
      <c r="X217">
        <v>0.05</v>
      </c>
      <c r="Y217">
        <v>22685</v>
      </c>
      <c r="Z217">
        <v>0.1</v>
      </c>
      <c r="AA217">
        <v>336050</v>
      </c>
      <c r="AB217" s="6">
        <v>46147.586481481485</v>
      </c>
      <c r="AC217" s="6">
        <v>46147.585995370369</v>
      </c>
    </row>
    <row r="218" spans="1:29" x14ac:dyDescent="0.25">
      <c r="A218" t="s">
        <v>7</v>
      </c>
      <c r="B218" s="5">
        <v>46147</v>
      </c>
      <c r="C218" t="s">
        <v>54</v>
      </c>
      <c r="D218" t="s">
        <v>274</v>
      </c>
      <c r="E218">
        <v>19009282</v>
      </c>
      <c r="F218" t="s">
        <v>56</v>
      </c>
      <c r="G218" t="s">
        <v>57</v>
      </c>
      <c r="H218">
        <v>25450</v>
      </c>
      <c r="I218" t="s">
        <v>60</v>
      </c>
      <c r="J218">
        <v>1379.05</v>
      </c>
      <c r="K218">
        <v>6.9196774693750971</v>
      </c>
      <c r="L218">
        <v>195</v>
      </c>
      <c r="M218">
        <v>1440.03</v>
      </c>
      <c r="N218">
        <v>975</v>
      </c>
      <c r="O218">
        <v>8060</v>
      </c>
      <c r="P218">
        <v>7930</v>
      </c>
      <c r="Q218">
        <v>715</v>
      </c>
      <c r="R218">
        <v>780</v>
      </c>
      <c r="S218">
        <v>715</v>
      </c>
      <c r="T218">
        <v>1382.65</v>
      </c>
      <c r="U218">
        <v>1510.95</v>
      </c>
      <c r="V218">
        <v>1372</v>
      </c>
      <c r="W218">
        <v>1289.8</v>
      </c>
      <c r="X218">
        <v>1405.75</v>
      </c>
      <c r="Y218">
        <v>130</v>
      </c>
      <c r="Z218">
        <v>1419.95</v>
      </c>
      <c r="AA218">
        <v>65</v>
      </c>
      <c r="AB218" s="6">
        <v>46147.586446759262</v>
      </c>
      <c r="AC218" s="6">
        <v>46147.550787037035</v>
      </c>
    </row>
    <row r="219" spans="1:29" x14ac:dyDescent="0.25">
      <c r="A219" t="s">
        <v>7</v>
      </c>
      <c r="B219" s="5">
        <v>46147</v>
      </c>
      <c r="C219" t="s">
        <v>54</v>
      </c>
      <c r="D219" t="s">
        <v>275</v>
      </c>
      <c r="E219">
        <v>19009538</v>
      </c>
      <c r="F219" t="s">
        <v>56</v>
      </c>
      <c r="G219" t="s">
        <v>57</v>
      </c>
      <c r="H219">
        <v>25500</v>
      </c>
      <c r="I219" t="s">
        <v>58</v>
      </c>
      <c r="J219">
        <v>0.05</v>
      </c>
      <c r="K219">
        <v>-94.117647058823536</v>
      </c>
      <c r="L219">
        <v>65</v>
      </c>
      <c r="M219">
        <v>0.32</v>
      </c>
      <c r="N219">
        <v>33396675</v>
      </c>
      <c r="O219">
        <v>0</v>
      </c>
      <c r="P219">
        <v>1563250</v>
      </c>
      <c r="Q219">
        <v>5233995</v>
      </c>
      <c r="R219">
        <v>8005855</v>
      </c>
      <c r="S219">
        <v>5233995</v>
      </c>
      <c r="T219">
        <v>0.5</v>
      </c>
      <c r="U219">
        <v>0.55000000000000004</v>
      </c>
      <c r="V219">
        <v>0.05</v>
      </c>
      <c r="W219">
        <v>0.85</v>
      </c>
      <c r="X219">
        <v>0</v>
      </c>
      <c r="Y219">
        <v>0</v>
      </c>
      <c r="Z219">
        <v>0.05</v>
      </c>
      <c r="AA219">
        <v>280215</v>
      </c>
      <c r="AB219" s="6">
        <v>46147.586435185185</v>
      </c>
      <c r="AC219" s="6">
        <v>46147.586354166669</v>
      </c>
    </row>
    <row r="220" spans="1:29" x14ac:dyDescent="0.25">
      <c r="A220" t="s">
        <v>7</v>
      </c>
      <c r="B220" s="5">
        <v>46147</v>
      </c>
      <c r="C220" t="s">
        <v>54</v>
      </c>
      <c r="D220" t="s">
        <v>276</v>
      </c>
      <c r="E220">
        <v>19009794</v>
      </c>
      <c r="F220" t="s">
        <v>56</v>
      </c>
      <c r="G220" t="s">
        <v>57</v>
      </c>
      <c r="H220">
        <v>25500</v>
      </c>
      <c r="I220" t="s">
        <v>60</v>
      </c>
      <c r="J220">
        <v>1465.8</v>
      </c>
      <c r="K220">
        <v>9.6130117779024093</v>
      </c>
      <c r="L220">
        <v>65</v>
      </c>
      <c r="M220">
        <v>1511.35</v>
      </c>
      <c r="N220">
        <v>76765</v>
      </c>
      <c r="O220">
        <v>14105</v>
      </c>
      <c r="P220">
        <v>12675</v>
      </c>
      <c r="Q220">
        <v>118040</v>
      </c>
      <c r="R220">
        <v>170820</v>
      </c>
      <c r="S220">
        <v>118040</v>
      </c>
      <c r="T220">
        <v>1566.55</v>
      </c>
      <c r="U220">
        <v>1615.3</v>
      </c>
      <c r="V220">
        <v>1415.5</v>
      </c>
      <c r="W220">
        <v>1337.25</v>
      </c>
      <c r="X220">
        <v>1455.85</v>
      </c>
      <c r="Y220">
        <v>65</v>
      </c>
      <c r="Z220">
        <v>1462</v>
      </c>
      <c r="AA220">
        <v>65</v>
      </c>
      <c r="AB220" s="6">
        <v>46147.586504629631</v>
      </c>
      <c r="AC220" s="6">
        <v>46147.586354166669</v>
      </c>
    </row>
    <row r="221" spans="1:29" x14ac:dyDescent="0.25">
      <c r="A221" t="s">
        <v>7</v>
      </c>
      <c r="B221" s="5">
        <v>46147</v>
      </c>
      <c r="C221" t="s">
        <v>54</v>
      </c>
      <c r="D221" t="s">
        <v>277</v>
      </c>
      <c r="E221">
        <v>19010050</v>
      </c>
      <c r="F221" t="s">
        <v>56</v>
      </c>
      <c r="G221" t="s">
        <v>57</v>
      </c>
      <c r="H221">
        <v>25550</v>
      </c>
      <c r="I221" t="s">
        <v>58</v>
      </c>
      <c r="J221">
        <v>0.05</v>
      </c>
      <c r="K221">
        <v>-93.75</v>
      </c>
      <c r="L221">
        <v>845</v>
      </c>
      <c r="M221">
        <v>0.33</v>
      </c>
      <c r="N221">
        <v>2737865</v>
      </c>
      <c r="O221">
        <v>969735</v>
      </c>
      <c r="P221">
        <v>455975</v>
      </c>
      <c r="Q221">
        <v>372710</v>
      </c>
      <c r="R221">
        <v>837070</v>
      </c>
      <c r="S221">
        <v>372710</v>
      </c>
      <c r="T221">
        <v>0.8</v>
      </c>
      <c r="U221">
        <v>0.8</v>
      </c>
      <c r="V221">
        <v>0.05</v>
      </c>
      <c r="W221">
        <v>0.8</v>
      </c>
      <c r="X221">
        <v>0.05</v>
      </c>
      <c r="Y221">
        <v>969735</v>
      </c>
      <c r="Z221">
        <v>0.1</v>
      </c>
      <c r="AA221">
        <v>152620</v>
      </c>
      <c r="AB221" s="6">
        <v>46147.586504629631</v>
      </c>
      <c r="AC221" s="6">
        <v>46147.586180555554</v>
      </c>
    </row>
    <row r="222" spans="1:29" x14ac:dyDescent="0.25">
      <c r="A222" t="s">
        <v>7</v>
      </c>
      <c r="B222" s="5">
        <v>46147</v>
      </c>
      <c r="C222" t="s">
        <v>54</v>
      </c>
      <c r="D222" t="s">
        <v>278</v>
      </c>
      <c r="E222">
        <v>19010306</v>
      </c>
      <c r="F222" t="s">
        <v>56</v>
      </c>
      <c r="G222" t="s">
        <v>57</v>
      </c>
      <c r="H222">
        <v>25550</v>
      </c>
      <c r="I222" t="s">
        <v>60</v>
      </c>
      <c r="J222">
        <v>1584.7</v>
      </c>
      <c r="K222">
        <v>4.023893921491398</v>
      </c>
      <c r="L222">
        <v>65</v>
      </c>
      <c r="M222">
        <v>1612.52</v>
      </c>
      <c r="N222">
        <v>130</v>
      </c>
      <c r="O222">
        <v>6370</v>
      </c>
      <c r="P222">
        <v>6565</v>
      </c>
      <c r="Q222">
        <v>650</v>
      </c>
      <c r="R222">
        <v>650</v>
      </c>
      <c r="S222">
        <v>585</v>
      </c>
      <c r="T222">
        <v>1640.35</v>
      </c>
      <c r="U222">
        <v>1640.35</v>
      </c>
      <c r="V222">
        <v>1584.7</v>
      </c>
      <c r="W222">
        <v>1523.4</v>
      </c>
      <c r="X222">
        <v>1481.6</v>
      </c>
      <c r="Y222">
        <v>65</v>
      </c>
      <c r="Z222">
        <v>1544.25</v>
      </c>
      <c r="AA222">
        <v>65</v>
      </c>
      <c r="AB222" s="6">
        <v>46147.586516203701</v>
      </c>
      <c r="AC222" s="6">
        <v>46147.513483796298</v>
      </c>
    </row>
    <row r="223" spans="1:29" x14ac:dyDescent="0.25">
      <c r="A223" t="s">
        <v>7</v>
      </c>
      <c r="B223" s="5">
        <v>46147</v>
      </c>
      <c r="C223" t="s">
        <v>54</v>
      </c>
      <c r="D223" t="s">
        <v>279</v>
      </c>
      <c r="E223">
        <v>19010562</v>
      </c>
      <c r="F223" t="s">
        <v>56</v>
      </c>
      <c r="G223" t="s">
        <v>57</v>
      </c>
      <c r="H223">
        <v>25600</v>
      </c>
      <c r="I223" t="s">
        <v>58</v>
      </c>
      <c r="J223">
        <v>0.05</v>
      </c>
      <c r="K223">
        <v>-92.857142857142847</v>
      </c>
      <c r="L223">
        <v>845</v>
      </c>
      <c r="M223">
        <v>0.33</v>
      </c>
      <c r="N223">
        <v>4137055</v>
      </c>
      <c r="O223">
        <v>1020370</v>
      </c>
      <c r="P223">
        <v>767845</v>
      </c>
      <c r="Q223">
        <v>745355</v>
      </c>
      <c r="R223">
        <v>1588600</v>
      </c>
      <c r="S223">
        <v>745355</v>
      </c>
      <c r="T223">
        <v>0.45</v>
      </c>
      <c r="U223">
        <v>0.5</v>
      </c>
      <c r="V223">
        <v>0.05</v>
      </c>
      <c r="W223">
        <v>0.7</v>
      </c>
      <c r="X223">
        <v>0.05</v>
      </c>
      <c r="Y223">
        <v>1020370</v>
      </c>
      <c r="Z223">
        <v>0.1</v>
      </c>
      <c r="AA223">
        <v>307450</v>
      </c>
      <c r="AB223" s="6">
        <v>46147.586539351854</v>
      </c>
      <c r="AC223" s="6">
        <v>46147.586354166669</v>
      </c>
    </row>
    <row r="224" spans="1:29" x14ac:dyDescent="0.25">
      <c r="A224" t="s">
        <v>7</v>
      </c>
      <c r="B224" s="5">
        <v>46147</v>
      </c>
      <c r="C224" t="s">
        <v>54</v>
      </c>
      <c r="D224" t="s">
        <v>280</v>
      </c>
      <c r="E224">
        <v>19010818</v>
      </c>
      <c r="F224" t="s">
        <v>56</v>
      </c>
      <c r="G224" t="s">
        <v>57</v>
      </c>
      <c r="H224">
        <v>25600</v>
      </c>
      <c r="I224" t="s">
        <v>60</v>
      </c>
      <c r="J224">
        <v>1520</v>
      </c>
      <c r="K224">
        <v>6.3383237722121102</v>
      </c>
      <c r="L224">
        <v>130</v>
      </c>
      <c r="M224">
        <v>1653.88</v>
      </c>
      <c r="N224">
        <v>1950</v>
      </c>
      <c r="O224">
        <v>7605</v>
      </c>
      <c r="P224">
        <v>8320</v>
      </c>
      <c r="Q224">
        <v>975</v>
      </c>
      <c r="R224">
        <v>2535</v>
      </c>
      <c r="S224">
        <v>975</v>
      </c>
      <c r="T224">
        <v>1650</v>
      </c>
      <c r="U224">
        <v>1695</v>
      </c>
      <c r="V224">
        <v>1520</v>
      </c>
      <c r="W224">
        <v>1429.4</v>
      </c>
      <c r="X224">
        <v>1546.45</v>
      </c>
      <c r="Y224">
        <v>130</v>
      </c>
      <c r="Z224">
        <v>1595.3</v>
      </c>
      <c r="AA224">
        <v>780</v>
      </c>
      <c r="AB224" s="6">
        <v>46147.586504629631</v>
      </c>
      <c r="AC224" s="6">
        <v>46147.547766203701</v>
      </c>
    </row>
    <row r="225" spans="1:29" x14ac:dyDescent="0.25">
      <c r="A225" t="s">
        <v>7</v>
      </c>
      <c r="B225" s="5">
        <v>46147</v>
      </c>
      <c r="C225" t="s">
        <v>54</v>
      </c>
      <c r="D225" t="s">
        <v>281</v>
      </c>
      <c r="E225">
        <v>19011074</v>
      </c>
      <c r="F225" t="s">
        <v>56</v>
      </c>
      <c r="G225" t="s">
        <v>57</v>
      </c>
      <c r="H225">
        <v>25650</v>
      </c>
      <c r="I225" t="s">
        <v>58</v>
      </c>
      <c r="J225">
        <v>0.1</v>
      </c>
      <c r="K225">
        <v>-86.666666666666671</v>
      </c>
      <c r="L225">
        <v>130</v>
      </c>
      <c r="M225">
        <v>0.32</v>
      </c>
      <c r="N225">
        <v>1298505</v>
      </c>
      <c r="O225">
        <v>198965</v>
      </c>
      <c r="P225">
        <v>291785</v>
      </c>
      <c r="Q225">
        <v>221845</v>
      </c>
      <c r="R225">
        <v>389155</v>
      </c>
      <c r="S225">
        <v>197210</v>
      </c>
      <c r="T225">
        <v>0.55000000000000004</v>
      </c>
      <c r="U225">
        <v>0.6</v>
      </c>
      <c r="V225">
        <v>0.05</v>
      </c>
      <c r="W225">
        <v>0.75</v>
      </c>
      <c r="X225">
        <v>0.05</v>
      </c>
      <c r="Y225">
        <v>198965</v>
      </c>
      <c r="Z225">
        <v>0.1</v>
      </c>
      <c r="AA225">
        <v>79820</v>
      </c>
      <c r="AB225" s="6">
        <v>46147.586446759262</v>
      </c>
      <c r="AC225" s="6">
        <v>46147.58489583333</v>
      </c>
    </row>
    <row r="226" spans="1:29" x14ac:dyDescent="0.25">
      <c r="A226" t="s">
        <v>7</v>
      </c>
      <c r="B226" s="5">
        <v>46147</v>
      </c>
      <c r="C226" t="s">
        <v>54</v>
      </c>
      <c r="D226" t="s">
        <v>282</v>
      </c>
      <c r="E226">
        <v>19011842</v>
      </c>
      <c r="F226" t="s">
        <v>56</v>
      </c>
      <c r="G226" t="s">
        <v>57</v>
      </c>
      <c r="H226">
        <v>25650</v>
      </c>
      <c r="I226" t="s">
        <v>60</v>
      </c>
      <c r="J226">
        <v>1400</v>
      </c>
      <c r="K226">
        <v>0</v>
      </c>
      <c r="L226">
        <v>520</v>
      </c>
      <c r="M226">
        <v>0</v>
      </c>
      <c r="N226">
        <v>0</v>
      </c>
      <c r="O226">
        <v>5980</v>
      </c>
      <c r="P226">
        <v>6240</v>
      </c>
      <c r="Q226">
        <v>1625</v>
      </c>
      <c r="R226">
        <v>1625</v>
      </c>
      <c r="S226">
        <v>1625</v>
      </c>
      <c r="T226">
        <v>0</v>
      </c>
      <c r="U226">
        <v>0</v>
      </c>
      <c r="V226">
        <v>0</v>
      </c>
      <c r="W226">
        <v>1400</v>
      </c>
      <c r="X226">
        <v>1438.45</v>
      </c>
      <c r="Y226">
        <v>780</v>
      </c>
      <c r="Z226">
        <v>1659.9</v>
      </c>
      <c r="AA226">
        <v>1040</v>
      </c>
      <c r="AB226" s="6">
        <v>46147.586446759262</v>
      </c>
      <c r="AC226" s="6">
        <v>46146.437685185185</v>
      </c>
    </row>
    <row r="227" spans="1:29" x14ac:dyDescent="0.25">
      <c r="A227" t="s">
        <v>7</v>
      </c>
      <c r="B227" s="5">
        <v>46147</v>
      </c>
      <c r="C227" t="s">
        <v>54</v>
      </c>
      <c r="D227" t="s">
        <v>283</v>
      </c>
      <c r="E227">
        <v>19012866</v>
      </c>
      <c r="F227" t="s">
        <v>56</v>
      </c>
      <c r="G227" t="s">
        <v>57</v>
      </c>
      <c r="H227">
        <v>25700</v>
      </c>
      <c r="I227" t="s">
        <v>58</v>
      </c>
      <c r="J227">
        <v>0.05</v>
      </c>
      <c r="K227">
        <v>-92.307692307692307</v>
      </c>
      <c r="L227">
        <v>65</v>
      </c>
      <c r="M227">
        <v>0.26</v>
      </c>
      <c r="N227">
        <v>5002855</v>
      </c>
      <c r="O227">
        <v>265720</v>
      </c>
      <c r="P227">
        <v>760500</v>
      </c>
      <c r="Q227">
        <v>681720</v>
      </c>
      <c r="R227">
        <v>1416480</v>
      </c>
      <c r="S227">
        <v>623870</v>
      </c>
      <c r="T227">
        <v>0.8</v>
      </c>
      <c r="U227">
        <v>0.8</v>
      </c>
      <c r="V227">
        <v>0.05</v>
      </c>
      <c r="W227">
        <v>0.65</v>
      </c>
      <c r="X227">
        <v>0.05</v>
      </c>
      <c r="Y227">
        <v>265720</v>
      </c>
      <c r="Z227">
        <v>0.1</v>
      </c>
      <c r="AA227">
        <v>225615</v>
      </c>
      <c r="AB227" s="6">
        <v>46147.586527777778</v>
      </c>
      <c r="AC227" s="6">
        <v>46147.58489583333</v>
      </c>
    </row>
    <row r="228" spans="1:29" x14ac:dyDescent="0.25">
      <c r="A228" t="s">
        <v>7</v>
      </c>
      <c r="B228" s="5">
        <v>46147</v>
      </c>
      <c r="C228" t="s">
        <v>54</v>
      </c>
      <c r="D228" t="s">
        <v>284</v>
      </c>
      <c r="E228">
        <v>19013122</v>
      </c>
      <c r="F228" t="s">
        <v>56</v>
      </c>
      <c r="G228" t="s">
        <v>57</v>
      </c>
      <c r="H228">
        <v>25700</v>
      </c>
      <c r="I228" t="s">
        <v>60</v>
      </c>
      <c r="J228">
        <v>1725</v>
      </c>
      <c r="K228">
        <v>20.921103361256179</v>
      </c>
      <c r="L228">
        <v>65</v>
      </c>
      <c r="M228">
        <v>1783.65</v>
      </c>
      <c r="N228">
        <v>1430</v>
      </c>
      <c r="O228">
        <v>6305</v>
      </c>
      <c r="P228">
        <v>6045</v>
      </c>
      <c r="Q228">
        <v>1105</v>
      </c>
      <c r="R228">
        <v>1820</v>
      </c>
      <c r="S228">
        <v>1105</v>
      </c>
      <c r="T228">
        <v>1810</v>
      </c>
      <c r="U228">
        <v>1810</v>
      </c>
      <c r="V228">
        <v>1725</v>
      </c>
      <c r="W228">
        <v>1426.55</v>
      </c>
      <c r="X228">
        <v>1647.8</v>
      </c>
      <c r="Y228">
        <v>65</v>
      </c>
      <c r="Z228">
        <v>1679.5</v>
      </c>
      <c r="AA228">
        <v>260</v>
      </c>
      <c r="AB228" s="6">
        <v>46147.586527777778</v>
      </c>
      <c r="AC228" s="6">
        <v>46147.516967592594</v>
      </c>
    </row>
    <row r="229" spans="1:29" x14ac:dyDescent="0.25">
      <c r="A229" t="s">
        <v>7</v>
      </c>
      <c r="B229" s="5">
        <v>46147</v>
      </c>
      <c r="C229" t="s">
        <v>54</v>
      </c>
      <c r="D229" t="s">
        <v>285</v>
      </c>
      <c r="E229">
        <v>19013634</v>
      </c>
      <c r="F229" t="s">
        <v>56</v>
      </c>
      <c r="G229" t="s">
        <v>57</v>
      </c>
      <c r="H229">
        <v>25750</v>
      </c>
      <c r="I229" t="s">
        <v>58</v>
      </c>
      <c r="J229">
        <v>0.05</v>
      </c>
      <c r="K229">
        <v>-92.307692307692307</v>
      </c>
      <c r="L229">
        <v>520</v>
      </c>
      <c r="M229">
        <v>0.22</v>
      </c>
      <c r="N229">
        <v>1572220</v>
      </c>
      <c r="O229">
        <v>174590</v>
      </c>
      <c r="P229">
        <v>294255</v>
      </c>
      <c r="Q229">
        <v>319345</v>
      </c>
      <c r="R229">
        <v>480675</v>
      </c>
      <c r="S229">
        <v>319345</v>
      </c>
      <c r="T229">
        <v>0.5</v>
      </c>
      <c r="U229">
        <v>0.5</v>
      </c>
      <c r="V229">
        <v>0.05</v>
      </c>
      <c r="W229">
        <v>0.65</v>
      </c>
      <c r="X229">
        <v>0.05</v>
      </c>
      <c r="Y229">
        <v>174590</v>
      </c>
      <c r="Z229">
        <v>0.1</v>
      </c>
      <c r="AA229">
        <v>69160</v>
      </c>
      <c r="AB229" s="6">
        <v>46147.586527777778</v>
      </c>
      <c r="AC229" s="6">
        <v>46147.585925925923</v>
      </c>
    </row>
    <row r="230" spans="1:29" x14ac:dyDescent="0.25">
      <c r="A230" t="s">
        <v>7</v>
      </c>
      <c r="B230" s="5">
        <v>46147</v>
      </c>
      <c r="C230" t="s">
        <v>54</v>
      </c>
      <c r="D230" t="s">
        <v>286</v>
      </c>
      <c r="E230">
        <v>19015426</v>
      </c>
      <c r="F230" t="s">
        <v>56</v>
      </c>
      <c r="G230" t="s">
        <v>57</v>
      </c>
      <c r="H230">
        <v>25750</v>
      </c>
      <c r="I230" t="s">
        <v>60</v>
      </c>
      <c r="J230">
        <v>1732.2</v>
      </c>
      <c r="K230">
        <v>-34.336618650492795</v>
      </c>
      <c r="L230">
        <v>65</v>
      </c>
      <c r="M230">
        <v>1747</v>
      </c>
      <c r="N230">
        <v>130</v>
      </c>
      <c r="O230">
        <v>5525</v>
      </c>
      <c r="P230">
        <v>5850</v>
      </c>
      <c r="Q230">
        <v>65</v>
      </c>
      <c r="R230">
        <v>65</v>
      </c>
      <c r="S230">
        <v>65</v>
      </c>
      <c r="T230">
        <v>1761.8</v>
      </c>
      <c r="U230">
        <v>1761.8</v>
      </c>
      <c r="V230">
        <v>1732.2</v>
      </c>
      <c r="W230">
        <v>2638</v>
      </c>
      <c r="X230">
        <v>1703.65</v>
      </c>
      <c r="Y230">
        <v>65</v>
      </c>
      <c r="Z230">
        <v>1729.1</v>
      </c>
      <c r="AA230">
        <v>65</v>
      </c>
      <c r="AB230" s="6">
        <v>46147.586516203701</v>
      </c>
      <c r="AC230" s="6">
        <v>46147.403564814813</v>
      </c>
    </row>
    <row r="231" spans="1:29" x14ac:dyDescent="0.25">
      <c r="A231" t="s">
        <v>7</v>
      </c>
      <c r="B231" s="5">
        <v>46147</v>
      </c>
      <c r="C231" t="s">
        <v>54</v>
      </c>
      <c r="D231" t="s">
        <v>287</v>
      </c>
      <c r="E231">
        <v>19015682</v>
      </c>
      <c r="F231" t="s">
        <v>56</v>
      </c>
      <c r="G231" t="s">
        <v>57</v>
      </c>
      <c r="H231">
        <v>25800</v>
      </c>
      <c r="I231" t="s">
        <v>58</v>
      </c>
      <c r="J231">
        <v>0.1</v>
      </c>
      <c r="K231">
        <v>-85.714285714285722</v>
      </c>
      <c r="L231">
        <v>325</v>
      </c>
      <c r="M231">
        <v>0.23</v>
      </c>
      <c r="N231">
        <v>9415120</v>
      </c>
      <c r="O231">
        <v>1794390</v>
      </c>
      <c r="P231">
        <v>803075</v>
      </c>
      <c r="Q231">
        <v>1272765</v>
      </c>
      <c r="R231">
        <v>3470415</v>
      </c>
      <c r="S231">
        <v>1272765</v>
      </c>
      <c r="T231">
        <v>0.5</v>
      </c>
      <c r="U231">
        <v>0.5</v>
      </c>
      <c r="V231">
        <v>0.05</v>
      </c>
      <c r="W231">
        <v>0.7</v>
      </c>
      <c r="X231">
        <v>0.05</v>
      </c>
      <c r="Y231">
        <v>1794390</v>
      </c>
      <c r="Z231">
        <v>0.1</v>
      </c>
      <c r="AA231">
        <v>255645</v>
      </c>
      <c r="AB231" s="6">
        <v>46147.586446759262</v>
      </c>
      <c r="AC231" s="6">
        <v>46147.585474537038</v>
      </c>
    </row>
    <row r="232" spans="1:29" x14ac:dyDescent="0.25">
      <c r="A232" t="s">
        <v>7</v>
      </c>
      <c r="B232" s="5">
        <v>46147</v>
      </c>
      <c r="C232" t="s">
        <v>54</v>
      </c>
      <c r="D232" t="s">
        <v>288</v>
      </c>
      <c r="E232">
        <v>19017730</v>
      </c>
      <c r="F232" t="s">
        <v>56</v>
      </c>
      <c r="G232" t="s">
        <v>57</v>
      </c>
      <c r="H232">
        <v>25800</v>
      </c>
      <c r="I232" t="s">
        <v>60</v>
      </c>
      <c r="J232">
        <v>1750</v>
      </c>
      <c r="K232">
        <v>-0.68104426787741201</v>
      </c>
      <c r="L232">
        <v>65</v>
      </c>
      <c r="M232">
        <v>1851.08</v>
      </c>
      <c r="N232">
        <v>715</v>
      </c>
      <c r="O232">
        <v>5980</v>
      </c>
      <c r="P232">
        <v>7020</v>
      </c>
      <c r="Q232">
        <v>585</v>
      </c>
      <c r="R232">
        <v>1105</v>
      </c>
      <c r="S232">
        <v>585</v>
      </c>
      <c r="T232">
        <v>1808.55</v>
      </c>
      <c r="U232">
        <v>1897.4</v>
      </c>
      <c r="V232">
        <v>1750</v>
      </c>
      <c r="W232">
        <v>1762</v>
      </c>
      <c r="X232">
        <v>1749.2</v>
      </c>
      <c r="Y232">
        <v>195</v>
      </c>
      <c r="Z232">
        <v>1787.85</v>
      </c>
      <c r="AA232">
        <v>780</v>
      </c>
      <c r="AB232" s="6">
        <v>46147.586527777778</v>
      </c>
      <c r="AC232" s="6">
        <v>46147.578356481485</v>
      </c>
    </row>
    <row r="233" spans="1:29" x14ac:dyDescent="0.25">
      <c r="A233" t="s">
        <v>7</v>
      </c>
      <c r="B233" s="5">
        <v>46147</v>
      </c>
      <c r="C233" t="s">
        <v>54</v>
      </c>
      <c r="D233" t="s">
        <v>289</v>
      </c>
      <c r="E233">
        <v>19017986</v>
      </c>
      <c r="F233" t="s">
        <v>56</v>
      </c>
      <c r="G233" t="s">
        <v>57</v>
      </c>
      <c r="H233">
        <v>25850</v>
      </c>
      <c r="I233" t="s">
        <v>58</v>
      </c>
      <c r="J233">
        <v>0.05</v>
      </c>
      <c r="K233">
        <v>-90</v>
      </c>
      <c r="L233">
        <v>975</v>
      </c>
      <c r="M233">
        <v>0.22</v>
      </c>
      <c r="N233">
        <v>1092585</v>
      </c>
      <c r="O233">
        <v>0</v>
      </c>
      <c r="P233">
        <v>239200</v>
      </c>
      <c r="Q233">
        <v>358605</v>
      </c>
      <c r="R233">
        <v>402805</v>
      </c>
      <c r="S233">
        <v>358085</v>
      </c>
      <c r="T233">
        <v>0.4</v>
      </c>
      <c r="U233">
        <v>0.5</v>
      </c>
      <c r="V233">
        <v>0.05</v>
      </c>
      <c r="W233">
        <v>0.5</v>
      </c>
      <c r="X233">
        <v>0</v>
      </c>
      <c r="Y233">
        <v>0</v>
      </c>
      <c r="Z233">
        <v>0.05</v>
      </c>
      <c r="AA233">
        <v>59865</v>
      </c>
      <c r="AB233" s="6">
        <v>46147.584560185183</v>
      </c>
      <c r="AC233" s="6">
        <v>46147.584479166668</v>
      </c>
    </row>
    <row r="234" spans="1:29" x14ac:dyDescent="0.25">
      <c r="A234" t="s">
        <v>7</v>
      </c>
      <c r="B234" s="5">
        <v>46147</v>
      </c>
      <c r="C234" t="s">
        <v>54</v>
      </c>
      <c r="D234" t="s">
        <v>290</v>
      </c>
      <c r="E234">
        <v>19038466</v>
      </c>
      <c r="F234" t="s">
        <v>56</v>
      </c>
      <c r="G234" t="s">
        <v>57</v>
      </c>
      <c r="H234">
        <v>25850</v>
      </c>
      <c r="I234" t="s">
        <v>60</v>
      </c>
      <c r="J234">
        <v>1857.85</v>
      </c>
      <c r="K234">
        <v>10.494230997977864</v>
      </c>
      <c r="L234">
        <v>65</v>
      </c>
      <c r="M234">
        <v>1868.88</v>
      </c>
      <c r="N234">
        <v>260</v>
      </c>
      <c r="O234">
        <v>6435</v>
      </c>
      <c r="P234">
        <v>5655</v>
      </c>
      <c r="Q234">
        <v>130</v>
      </c>
      <c r="R234">
        <v>195</v>
      </c>
      <c r="S234">
        <v>130</v>
      </c>
      <c r="T234">
        <v>1871</v>
      </c>
      <c r="U234">
        <v>1910</v>
      </c>
      <c r="V234">
        <v>1836.7</v>
      </c>
      <c r="W234">
        <v>1681.4</v>
      </c>
      <c r="X234">
        <v>1762.75</v>
      </c>
      <c r="Y234">
        <v>780</v>
      </c>
      <c r="Z234">
        <v>1829.8</v>
      </c>
      <c r="AA234">
        <v>65</v>
      </c>
      <c r="AB234" s="6">
        <v>46147.586504629631</v>
      </c>
      <c r="AC234" s="6">
        <v>46147.536562499998</v>
      </c>
    </row>
    <row r="235" spans="1:29" x14ac:dyDescent="0.25">
      <c r="A235" t="s">
        <v>7</v>
      </c>
      <c r="B235" s="5">
        <v>46147</v>
      </c>
      <c r="C235" t="s">
        <v>54</v>
      </c>
      <c r="D235" t="s">
        <v>291</v>
      </c>
      <c r="E235">
        <v>19038722</v>
      </c>
      <c r="F235" t="s">
        <v>56</v>
      </c>
      <c r="G235" t="s">
        <v>57</v>
      </c>
      <c r="H235">
        <v>25900</v>
      </c>
      <c r="I235" t="s">
        <v>58</v>
      </c>
      <c r="J235">
        <v>0.05</v>
      </c>
      <c r="K235">
        <v>-91.666666666666657</v>
      </c>
      <c r="L235">
        <v>65</v>
      </c>
      <c r="M235">
        <v>0.24</v>
      </c>
      <c r="N235">
        <v>973050</v>
      </c>
      <c r="O235">
        <v>145145</v>
      </c>
      <c r="P235">
        <v>233740</v>
      </c>
      <c r="Q235">
        <v>304655</v>
      </c>
      <c r="R235">
        <v>440245</v>
      </c>
      <c r="S235">
        <v>304655</v>
      </c>
      <c r="T235">
        <v>0.45</v>
      </c>
      <c r="U235">
        <v>0.45</v>
      </c>
      <c r="V235">
        <v>0.05</v>
      </c>
      <c r="W235">
        <v>0.6</v>
      </c>
      <c r="X235">
        <v>0.05</v>
      </c>
      <c r="Y235">
        <v>145145</v>
      </c>
      <c r="Z235">
        <v>0.1</v>
      </c>
      <c r="AA235">
        <v>84045</v>
      </c>
      <c r="AB235" s="6">
        <v>46147.586354166669</v>
      </c>
      <c r="AC235" s="6">
        <v>46147.585995370369</v>
      </c>
    </row>
    <row r="236" spans="1:29" x14ac:dyDescent="0.25">
      <c r="A236" t="s">
        <v>7</v>
      </c>
      <c r="B236" s="5">
        <v>46147</v>
      </c>
      <c r="C236" t="s">
        <v>54</v>
      </c>
      <c r="D236" t="s">
        <v>292</v>
      </c>
      <c r="E236">
        <v>19040002</v>
      </c>
      <c r="F236" t="s">
        <v>56</v>
      </c>
      <c r="G236" t="s">
        <v>57</v>
      </c>
      <c r="H236">
        <v>25900</v>
      </c>
      <c r="I236" t="s">
        <v>60</v>
      </c>
      <c r="J236">
        <v>1930</v>
      </c>
      <c r="K236">
        <v>11.560693641618498</v>
      </c>
      <c r="L236">
        <v>65</v>
      </c>
      <c r="M236">
        <v>1950.77</v>
      </c>
      <c r="N236">
        <v>390</v>
      </c>
      <c r="O236">
        <v>6110</v>
      </c>
      <c r="P236">
        <v>6175</v>
      </c>
      <c r="Q236">
        <v>130</v>
      </c>
      <c r="R236">
        <v>455</v>
      </c>
      <c r="S236">
        <v>130</v>
      </c>
      <c r="T236">
        <v>1880</v>
      </c>
      <c r="U236">
        <v>2004.85</v>
      </c>
      <c r="V236">
        <v>1880</v>
      </c>
      <c r="W236">
        <v>1730</v>
      </c>
      <c r="X236">
        <v>1844.1</v>
      </c>
      <c r="Y236">
        <v>65</v>
      </c>
      <c r="Z236">
        <v>1879.55</v>
      </c>
      <c r="AA236">
        <v>195</v>
      </c>
      <c r="AB236" s="6">
        <v>46147.586504629631</v>
      </c>
      <c r="AC236" s="6">
        <v>46147.527719907404</v>
      </c>
    </row>
    <row r="237" spans="1:29" x14ac:dyDescent="0.25">
      <c r="A237" t="s">
        <v>7</v>
      </c>
      <c r="B237" s="5">
        <v>46147</v>
      </c>
      <c r="C237" t="s">
        <v>54</v>
      </c>
      <c r="D237" t="s">
        <v>293</v>
      </c>
      <c r="E237">
        <v>19040258</v>
      </c>
      <c r="F237" t="s">
        <v>56</v>
      </c>
      <c r="G237" t="s">
        <v>57</v>
      </c>
      <c r="H237">
        <v>25950</v>
      </c>
      <c r="I237" t="s">
        <v>58</v>
      </c>
      <c r="J237">
        <v>0.1</v>
      </c>
      <c r="K237">
        <v>-83.333333333333343</v>
      </c>
      <c r="L237">
        <v>65</v>
      </c>
      <c r="M237">
        <v>0.28999999999999998</v>
      </c>
      <c r="N237">
        <v>487760</v>
      </c>
      <c r="O237">
        <v>127075</v>
      </c>
      <c r="P237">
        <v>166465</v>
      </c>
      <c r="Q237">
        <v>125905</v>
      </c>
      <c r="R237">
        <v>145015</v>
      </c>
      <c r="S237">
        <v>114075</v>
      </c>
      <c r="T237">
        <v>0.45</v>
      </c>
      <c r="U237">
        <v>0.45</v>
      </c>
      <c r="V237">
        <v>0.05</v>
      </c>
      <c r="W237">
        <v>0.6</v>
      </c>
      <c r="X237">
        <v>0.05</v>
      </c>
      <c r="Y237">
        <v>127075</v>
      </c>
      <c r="Z237">
        <v>0.1</v>
      </c>
      <c r="AA237">
        <v>33280</v>
      </c>
      <c r="AB237" s="6">
        <v>46147.586539351854</v>
      </c>
      <c r="AC237" s="6">
        <v>46147.58489583333</v>
      </c>
    </row>
    <row r="238" spans="1:29" x14ac:dyDescent="0.25">
      <c r="A238" t="s">
        <v>7</v>
      </c>
      <c r="B238" s="5">
        <v>46147</v>
      </c>
      <c r="C238" t="s">
        <v>54</v>
      </c>
      <c r="D238" t="s">
        <v>294</v>
      </c>
      <c r="E238">
        <v>19040514</v>
      </c>
      <c r="F238" t="s">
        <v>56</v>
      </c>
      <c r="G238" t="s">
        <v>57</v>
      </c>
      <c r="H238">
        <v>25950</v>
      </c>
      <c r="I238" t="s">
        <v>60</v>
      </c>
      <c r="J238">
        <v>2832.5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5850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2832.5</v>
      </c>
      <c r="X238">
        <v>0</v>
      </c>
      <c r="Y238">
        <v>0</v>
      </c>
      <c r="Z238">
        <v>1964.55</v>
      </c>
      <c r="AA238">
        <v>780</v>
      </c>
      <c r="AB238" s="6">
        <v>46147.586388888885</v>
      </c>
      <c r="AC238" s="6">
        <v>25569.229166666668</v>
      </c>
    </row>
    <row r="239" spans="1:29" x14ac:dyDescent="0.25">
      <c r="A239" t="s">
        <v>7</v>
      </c>
      <c r="B239" s="5">
        <v>46147</v>
      </c>
      <c r="C239" t="s">
        <v>54</v>
      </c>
      <c r="D239" t="s">
        <v>295</v>
      </c>
      <c r="E239">
        <v>19040770</v>
      </c>
      <c r="F239" t="s">
        <v>56</v>
      </c>
      <c r="G239" t="s">
        <v>57</v>
      </c>
      <c r="H239">
        <v>26000</v>
      </c>
      <c r="I239" t="s">
        <v>58</v>
      </c>
      <c r="J239">
        <v>0.1</v>
      </c>
      <c r="K239">
        <v>-80</v>
      </c>
      <c r="L239">
        <v>65</v>
      </c>
      <c r="M239">
        <v>0.24</v>
      </c>
      <c r="N239">
        <v>6720350</v>
      </c>
      <c r="O239">
        <v>2001740</v>
      </c>
      <c r="P239">
        <v>1008605</v>
      </c>
      <c r="Q239">
        <v>1904890</v>
      </c>
      <c r="R239">
        <v>2944695</v>
      </c>
      <c r="S239">
        <v>1841450</v>
      </c>
      <c r="T239">
        <v>0.35</v>
      </c>
      <c r="U239">
        <v>0.45</v>
      </c>
      <c r="V239">
        <v>0.05</v>
      </c>
      <c r="W239">
        <v>0.5</v>
      </c>
      <c r="X239">
        <v>0.05</v>
      </c>
      <c r="Y239">
        <v>2001740</v>
      </c>
      <c r="Z239">
        <v>0.1</v>
      </c>
      <c r="AA239">
        <v>220805</v>
      </c>
      <c r="AB239" s="6">
        <v>46147.586481481485</v>
      </c>
      <c r="AC239" s="6">
        <v>46147.586354166669</v>
      </c>
    </row>
    <row r="240" spans="1:29" x14ac:dyDescent="0.25">
      <c r="A240" t="s">
        <v>7</v>
      </c>
      <c r="B240" s="5">
        <v>46147</v>
      </c>
      <c r="C240" t="s">
        <v>54</v>
      </c>
      <c r="D240" t="s">
        <v>296</v>
      </c>
      <c r="E240">
        <v>19041026</v>
      </c>
      <c r="F240" t="s">
        <v>56</v>
      </c>
      <c r="G240" t="s">
        <v>57</v>
      </c>
      <c r="H240">
        <v>26000</v>
      </c>
      <c r="I240" t="s">
        <v>60</v>
      </c>
      <c r="J240">
        <v>1959.75</v>
      </c>
      <c r="K240">
        <v>6.4185061497108435</v>
      </c>
      <c r="L240">
        <v>65</v>
      </c>
      <c r="M240">
        <v>2001.47</v>
      </c>
      <c r="N240">
        <v>58175</v>
      </c>
      <c r="O240">
        <v>10530</v>
      </c>
      <c r="P240">
        <v>9230</v>
      </c>
      <c r="Q240">
        <v>69940</v>
      </c>
      <c r="R240">
        <v>103675</v>
      </c>
      <c r="S240">
        <v>69940</v>
      </c>
      <c r="T240">
        <v>1950</v>
      </c>
      <c r="U240">
        <v>2119.5</v>
      </c>
      <c r="V240">
        <v>1910.1</v>
      </c>
      <c r="W240">
        <v>1841.55</v>
      </c>
      <c r="X240">
        <v>1958.6</v>
      </c>
      <c r="Y240">
        <v>130</v>
      </c>
      <c r="Z240">
        <v>1961.45</v>
      </c>
      <c r="AA240">
        <v>130</v>
      </c>
      <c r="AB240" s="6">
        <v>46147.586504629631</v>
      </c>
      <c r="AC240" s="6">
        <v>46147.586481481485</v>
      </c>
    </row>
    <row r="241" spans="1:29" x14ac:dyDescent="0.25">
      <c r="A241" t="s">
        <v>7</v>
      </c>
      <c r="B241" s="5">
        <v>46147</v>
      </c>
      <c r="C241" t="s">
        <v>54</v>
      </c>
      <c r="D241" t="s">
        <v>297</v>
      </c>
      <c r="E241">
        <v>19041282</v>
      </c>
      <c r="F241" t="s">
        <v>56</v>
      </c>
      <c r="G241" t="s">
        <v>57</v>
      </c>
      <c r="H241">
        <v>26050</v>
      </c>
      <c r="I241" t="s">
        <v>58</v>
      </c>
      <c r="J241">
        <v>0.1</v>
      </c>
      <c r="K241">
        <v>-80</v>
      </c>
      <c r="L241">
        <v>130</v>
      </c>
      <c r="M241">
        <v>0.27</v>
      </c>
      <c r="N241">
        <v>477685</v>
      </c>
      <c r="O241">
        <v>79560</v>
      </c>
      <c r="P241">
        <v>185965</v>
      </c>
      <c r="Q241">
        <v>225355</v>
      </c>
      <c r="R241">
        <v>252980</v>
      </c>
      <c r="S241">
        <v>205075</v>
      </c>
      <c r="T241">
        <v>0.6</v>
      </c>
      <c r="U241">
        <v>0.65</v>
      </c>
      <c r="V241">
        <v>0.05</v>
      </c>
      <c r="W241">
        <v>0.5</v>
      </c>
      <c r="X241">
        <v>0.05</v>
      </c>
      <c r="Y241">
        <v>79560</v>
      </c>
      <c r="Z241">
        <v>0.1</v>
      </c>
      <c r="AA241">
        <v>18655</v>
      </c>
      <c r="AB241" s="6">
        <v>46147.586458333331</v>
      </c>
      <c r="AC241" s="6">
        <v>46147.58489583333</v>
      </c>
    </row>
    <row r="242" spans="1:29" x14ac:dyDescent="0.25">
      <c r="A242" t="s">
        <v>7</v>
      </c>
      <c r="B242" s="5">
        <v>46147</v>
      </c>
      <c r="C242" t="s">
        <v>54</v>
      </c>
      <c r="D242" t="s">
        <v>298</v>
      </c>
      <c r="E242">
        <v>19043586</v>
      </c>
      <c r="F242" t="s">
        <v>56</v>
      </c>
      <c r="G242" t="s">
        <v>57</v>
      </c>
      <c r="H242">
        <v>26050</v>
      </c>
      <c r="I242" t="s">
        <v>60</v>
      </c>
      <c r="J242">
        <v>2930.2</v>
      </c>
      <c r="K242">
        <v>0</v>
      </c>
      <c r="L242">
        <v>0</v>
      </c>
      <c r="M242">
        <v>0</v>
      </c>
      <c r="N242">
        <v>0</v>
      </c>
      <c r="O242">
        <v>3835</v>
      </c>
      <c r="P242">
        <v>6630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2930.2</v>
      </c>
      <c r="X242">
        <v>1965.25</v>
      </c>
      <c r="Y242">
        <v>780</v>
      </c>
      <c r="Z242">
        <v>2066.3000000000002</v>
      </c>
      <c r="AA242">
        <v>780</v>
      </c>
      <c r="AB242" s="6">
        <v>46147.586458333331</v>
      </c>
      <c r="AC242" s="6">
        <v>25569.229166666668</v>
      </c>
    </row>
    <row r="243" spans="1:29" x14ac:dyDescent="0.25">
      <c r="A243" t="s">
        <v>7</v>
      </c>
      <c r="B243" s="5">
        <v>46147</v>
      </c>
      <c r="C243" t="s">
        <v>54</v>
      </c>
      <c r="D243" t="s">
        <v>299</v>
      </c>
      <c r="E243">
        <v>19044354</v>
      </c>
      <c r="F243" t="s">
        <v>56</v>
      </c>
      <c r="G243" t="s">
        <v>57</v>
      </c>
      <c r="H243">
        <v>26100</v>
      </c>
      <c r="I243" t="s">
        <v>58</v>
      </c>
      <c r="J243">
        <v>0.05</v>
      </c>
      <c r="K243">
        <v>-88.888888888888886</v>
      </c>
      <c r="L243">
        <v>65</v>
      </c>
      <c r="M243">
        <v>0.25</v>
      </c>
      <c r="N243">
        <v>1215955</v>
      </c>
      <c r="O243">
        <v>25350</v>
      </c>
      <c r="P243">
        <v>209820</v>
      </c>
      <c r="Q243">
        <v>258310</v>
      </c>
      <c r="R243">
        <v>452530</v>
      </c>
      <c r="S243">
        <v>253825</v>
      </c>
      <c r="T243">
        <v>0.6</v>
      </c>
      <c r="U243">
        <v>0.6</v>
      </c>
      <c r="V243">
        <v>0.05</v>
      </c>
      <c r="W243">
        <v>0.45</v>
      </c>
      <c r="X243">
        <v>0.05</v>
      </c>
      <c r="Y243">
        <v>25350</v>
      </c>
      <c r="Z243">
        <v>0.1</v>
      </c>
      <c r="AA243">
        <v>65390</v>
      </c>
      <c r="AB243" s="6">
        <v>46147.586527777778</v>
      </c>
      <c r="AC243" s="6">
        <v>46147.586342592593</v>
      </c>
    </row>
    <row r="244" spans="1:29" x14ac:dyDescent="0.25">
      <c r="A244" t="s">
        <v>7</v>
      </c>
      <c r="B244" s="5">
        <v>46147</v>
      </c>
      <c r="C244" t="s">
        <v>54</v>
      </c>
      <c r="D244" t="s">
        <v>300</v>
      </c>
      <c r="E244">
        <v>19044610</v>
      </c>
      <c r="F244" t="s">
        <v>56</v>
      </c>
      <c r="G244" t="s">
        <v>57</v>
      </c>
      <c r="H244">
        <v>26100</v>
      </c>
      <c r="I244" t="s">
        <v>60</v>
      </c>
      <c r="J244">
        <v>2059</v>
      </c>
      <c r="K244">
        <v>6.9916079918937859</v>
      </c>
      <c r="L244">
        <v>65</v>
      </c>
      <c r="M244">
        <v>2059</v>
      </c>
      <c r="N244">
        <v>130</v>
      </c>
      <c r="O244">
        <v>6240</v>
      </c>
      <c r="P244">
        <v>5720</v>
      </c>
      <c r="Q244">
        <v>715</v>
      </c>
      <c r="R244">
        <v>715</v>
      </c>
      <c r="S244">
        <v>715</v>
      </c>
      <c r="T244">
        <v>2059</v>
      </c>
      <c r="U244">
        <v>2059</v>
      </c>
      <c r="V244">
        <v>2059</v>
      </c>
      <c r="W244">
        <v>1924.45</v>
      </c>
      <c r="X244">
        <v>2052.4</v>
      </c>
      <c r="Y244">
        <v>260</v>
      </c>
      <c r="Z244">
        <v>2082.0500000000002</v>
      </c>
      <c r="AA244">
        <v>65</v>
      </c>
      <c r="AB244" s="6">
        <v>46147.586527777778</v>
      </c>
      <c r="AC244" s="6">
        <v>46147.411435185182</v>
      </c>
    </row>
    <row r="245" spans="1:29" x14ac:dyDescent="0.25">
      <c r="A245" t="s">
        <v>7</v>
      </c>
      <c r="B245" s="5">
        <v>46147</v>
      </c>
      <c r="C245" t="s">
        <v>54</v>
      </c>
      <c r="D245" t="s">
        <v>301</v>
      </c>
      <c r="E245">
        <v>19045890</v>
      </c>
      <c r="F245" t="s">
        <v>56</v>
      </c>
      <c r="G245" t="s">
        <v>57</v>
      </c>
      <c r="H245">
        <v>26150</v>
      </c>
      <c r="I245" t="s">
        <v>58</v>
      </c>
      <c r="J245">
        <v>0.1</v>
      </c>
      <c r="K245">
        <v>-75</v>
      </c>
      <c r="L245">
        <v>845</v>
      </c>
      <c r="M245">
        <v>0.24</v>
      </c>
      <c r="N245">
        <v>300300</v>
      </c>
      <c r="O245">
        <v>7215</v>
      </c>
      <c r="P245">
        <v>100555</v>
      </c>
      <c r="Q245">
        <v>111020</v>
      </c>
      <c r="R245">
        <v>174785</v>
      </c>
      <c r="S245">
        <v>109655</v>
      </c>
      <c r="T245">
        <v>0.45</v>
      </c>
      <c r="U245">
        <v>0.45</v>
      </c>
      <c r="V245">
        <v>0.05</v>
      </c>
      <c r="W245">
        <v>0.4</v>
      </c>
      <c r="X245">
        <v>0.05</v>
      </c>
      <c r="Y245">
        <v>7215</v>
      </c>
      <c r="Z245">
        <v>0.1</v>
      </c>
      <c r="AA245">
        <v>22165</v>
      </c>
      <c r="AB245" s="6">
        <v>46147.586458333331</v>
      </c>
      <c r="AC245" s="6">
        <v>46147.586435185185</v>
      </c>
    </row>
    <row r="246" spans="1:29" x14ac:dyDescent="0.25">
      <c r="A246" t="s">
        <v>7</v>
      </c>
      <c r="B246" s="5">
        <v>46147</v>
      </c>
      <c r="C246" t="s">
        <v>54</v>
      </c>
      <c r="D246" t="s">
        <v>302</v>
      </c>
      <c r="E246">
        <v>19046146</v>
      </c>
      <c r="F246" t="s">
        <v>56</v>
      </c>
      <c r="G246" t="s">
        <v>57</v>
      </c>
      <c r="H246">
        <v>26150</v>
      </c>
      <c r="I246" t="s">
        <v>60</v>
      </c>
      <c r="J246">
        <v>3028.15</v>
      </c>
      <c r="K246">
        <v>0</v>
      </c>
      <c r="L246">
        <v>0</v>
      </c>
      <c r="M246">
        <v>0</v>
      </c>
      <c r="N246">
        <v>0</v>
      </c>
      <c r="O246">
        <v>1690</v>
      </c>
      <c r="P246">
        <v>6630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3028.15</v>
      </c>
      <c r="X246">
        <v>1366.65</v>
      </c>
      <c r="Y246">
        <v>780</v>
      </c>
      <c r="Z246">
        <v>2164.3000000000002</v>
      </c>
      <c r="AA246">
        <v>780</v>
      </c>
      <c r="AB246" s="6">
        <v>46147.586446759262</v>
      </c>
      <c r="AC246" s="6">
        <v>25569.229166666668</v>
      </c>
    </row>
    <row r="247" spans="1:29" x14ac:dyDescent="0.25">
      <c r="A247" t="s">
        <v>7</v>
      </c>
      <c r="B247" s="5">
        <v>46147</v>
      </c>
      <c r="C247" t="s">
        <v>54</v>
      </c>
      <c r="D247" t="s">
        <v>303</v>
      </c>
      <c r="E247">
        <v>19046402</v>
      </c>
      <c r="F247" t="s">
        <v>56</v>
      </c>
      <c r="G247" t="s">
        <v>57</v>
      </c>
      <c r="H247">
        <v>26200</v>
      </c>
      <c r="I247" t="s">
        <v>58</v>
      </c>
      <c r="J247">
        <v>0.1</v>
      </c>
      <c r="K247">
        <v>-80</v>
      </c>
      <c r="L247">
        <v>130</v>
      </c>
      <c r="M247">
        <v>0.23</v>
      </c>
      <c r="N247">
        <v>1305590</v>
      </c>
      <c r="O247">
        <v>4550</v>
      </c>
      <c r="P247">
        <v>280475</v>
      </c>
      <c r="Q247">
        <v>306020</v>
      </c>
      <c r="R247">
        <v>496730</v>
      </c>
      <c r="S247">
        <v>306020</v>
      </c>
      <c r="T247">
        <v>0.4</v>
      </c>
      <c r="U247">
        <v>0.45</v>
      </c>
      <c r="V247">
        <v>0.05</v>
      </c>
      <c r="W247">
        <v>0.5</v>
      </c>
      <c r="X247">
        <v>0.05</v>
      </c>
      <c r="Y247">
        <v>4550</v>
      </c>
      <c r="Z247">
        <v>0.1</v>
      </c>
      <c r="AA247">
        <v>90220</v>
      </c>
      <c r="AB247" s="6">
        <v>46147.586435185185</v>
      </c>
      <c r="AC247" s="6">
        <v>46147.58489583333</v>
      </c>
    </row>
    <row r="248" spans="1:29" x14ac:dyDescent="0.25">
      <c r="A248" t="s">
        <v>7</v>
      </c>
      <c r="B248" s="5">
        <v>46147</v>
      </c>
      <c r="C248" t="s">
        <v>54</v>
      </c>
      <c r="D248" t="s">
        <v>304</v>
      </c>
      <c r="E248">
        <v>19046658</v>
      </c>
      <c r="F248" t="s">
        <v>56</v>
      </c>
      <c r="G248" t="s">
        <v>57</v>
      </c>
      <c r="H248">
        <v>26200</v>
      </c>
      <c r="I248" t="s">
        <v>60</v>
      </c>
      <c r="J248">
        <v>2250</v>
      </c>
      <c r="K248">
        <v>12.331502745881178</v>
      </c>
      <c r="L248">
        <v>195</v>
      </c>
      <c r="M248">
        <v>2240.7800000000002</v>
      </c>
      <c r="N248">
        <v>1625</v>
      </c>
      <c r="O248">
        <v>6565</v>
      </c>
      <c r="P248">
        <v>6305</v>
      </c>
      <c r="Q248">
        <v>260</v>
      </c>
      <c r="R248">
        <v>325</v>
      </c>
      <c r="S248">
        <v>260</v>
      </c>
      <c r="T248">
        <v>2235.35</v>
      </c>
      <c r="U248">
        <v>2250</v>
      </c>
      <c r="V248">
        <v>2206.6999999999998</v>
      </c>
      <c r="W248">
        <v>2003</v>
      </c>
      <c r="X248">
        <v>2124.1</v>
      </c>
      <c r="Y248">
        <v>780</v>
      </c>
      <c r="Z248">
        <v>2168.5500000000002</v>
      </c>
      <c r="AA248">
        <v>260</v>
      </c>
      <c r="AB248" s="6">
        <v>46147.586527777778</v>
      </c>
      <c r="AC248" s="6">
        <v>46147.47148148148</v>
      </c>
    </row>
    <row r="249" spans="1:29" x14ac:dyDescent="0.25">
      <c r="A249" t="s">
        <v>7</v>
      </c>
      <c r="B249" s="5">
        <v>46147</v>
      </c>
      <c r="C249" t="s">
        <v>54</v>
      </c>
      <c r="D249" t="s">
        <v>305</v>
      </c>
      <c r="E249">
        <v>19046914</v>
      </c>
      <c r="F249" t="s">
        <v>56</v>
      </c>
      <c r="G249" t="s">
        <v>57</v>
      </c>
      <c r="H249">
        <v>26250</v>
      </c>
      <c r="I249" t="s">
        <v>58</v>
      </c>
      <c r="J249">
        <v>0.05</v>
      </c>
      <c r="K249">
        <v>-88.888888888888886</v>
      </c>
      <c r="L249">
        <v>65</v>
      </c>
      <c r="M249">
        <v>0.22</v>
      </c>
      <c r="N249">
        <v>304720</v>
      </c>
      <c r="O249">
        <v>32110</v>
      </c>
      <c r="P249">
        <v>124735</v>
      </c>
      <c r="Q249">
        <v>131430</v>
      </c>
      <c r="R249">
        <v>141505</v>
      </c>
      <c r="S249">
        <v>120705</v>
      </c>
      <c r="T249">
        <v>0.6</v>
      </c>
      <c r="U249">
        <v>0.7</v>
      </c>
      <c r="V249">
        <v>0.05</v>
      </c>
      <c r="W249">
        <v>0.45</v>
      </c>
      <c r="X249">
        <v>0.05</v>
      </c>
      <c r="Y249">
        <v>32110</v>
      </c>
      <c r="Z249">
        <v>0.1</v>
      </c>
      <c r="AA249">
        <v>19370</v>
      </c>
      <c r="AB249" s="6">
        <v>46147.586504629631</v>
      </c>
      <c r="AC249" s="6">
        <v>46147.58489583333</v>
      </c>
    </row>
    <row r="250" spans="1:29" x14ac:dyDescent="0.25">
      <c r="A250" t="s">
        <v>7</v>
      </c>
      <c r="B250" s="5">
        <v>46147</v>
      </c>
      <c r="C250" t="s">
        <v>54</v>
      </c>
      <c r="D250" t="s">
        <v>306</v>
      </c>
      <c r="E250">
        <v>19047170</v>
      </c>
      <c r="F250" t="s">
        <v>56</v>
      </c>
      <c r="G250" t="s">
        <v>57</v>
      </c>
      <c r="H250">
        <v>26250</v>
      </c>
      <c r="I250" t="s">
        <v>60</v>
      </c>
      <c r="J250">
        <v>3126.3</v>
      </c>
      <c r="K250">
        <v>0</v>
      </c>
      <c r="L250">
        <v>0</v>
      </c>
      <c r="M250">
        <v>0</v>
      </c>
      <c r="N250">
        <v>0</v>
      </c>
      <c r="O250">
        <v>3510</v>
      </c>
      <c r="P250">
        <v>5980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3126.3</v>
      </c>
      <c r="X250">
        <v>2036.85</v>
      </c>
      <c r="Y250">
        <v>780</v>
      </c>
      <c r="Z250">
        <v>2298.6999999999998</v>
      </c>
      <c r="AA250">
        <v>780</v>
      </c>
      <c r="AB250" s="6">
        <v>46147.586504629631</v>
      </c>
      <c r="AC250" s="6">
        <v>25569.229166666668</v>
      </c>
    </row>
    <row r="251" spans="1:29" x14ac:dyDescent="0.25">
      <c r="A251" t="s">
        <v>7</v>
      </c>
      <c r="B251" s="5">
        <v>46147</v>
      </c>
      <c r="C251" t="s">
        <v>54</v>
      </c>
      <c r="D251" t="s">
        <v>307</v>
      </c>
      <c r="E251">
        <v>19047426</v>
      </c>
      <c r="F251" t="s">
        <v>56</v>
      </c>
      <c r="G251" t="s">
        <v>57</v>
      </c>
      <c r="H251">
        <v>26300</v>
      </c>
      <c r="I251" t="s">
        <v>58</v>
      </c>
      <c r="J251">
        <v>0.05</v>
      </c>
      <c r="K251">
        <v>-87.5</v>
      </c>
      <c r="L251">
        <v>130</v>
      </c>
      <c r="M251">
        <v>0.22</v>
      </c>
      <c r="N251">
        <v>871455</v>
      </c>
      <c r="O251">
        <v>44460</v>
      </c>
      <c r="P251">
        <v>52780</v>
      </c>
      <c r="Q251">
        <v>202280</v>
      </c>
      <c r="R251">
        <v>307385</v>
      </c>
      <c r="S251">
        <v>193895</v>
      </c>
      <c r="T251">
        <v>0.35</v>
      </c>
      <c r="U251">
        <v>0.35</v>
      </c>
      <c r="V251">
        <v>0.05</v>
      </c>
      <c r="W251">
        <v>0.4</v>
      </c>
      <c r="X251">
        <v>0.05</v>
      </c>
      <c r="Y251">
        <v>44460</v>
      </c>
      <c r="Z251">
        <v>0.15</v>
      </c>
      <c r="AA251">
        <v>4615</v>
      </c>
      <c r="AB251" s="6">
        <v>46147.586388888885</v>
      </c>
      <c r="AC251" s="6">
        <v>46147.583240740743</v>
      </c>
    </row>
    <row r="252" spans="1:29" x14ac:dyDescent="0.25">
      <c r="A252" t="s">
        <v>7</v>
      </c>
      <c r="B252" s="5">
        <v>46147</v>
      </c>
      <c r="C252" t="s">
        <v>54</v>
      </c>
      <c r="D252" t="s">
        <v>308</v>
      </c>
      <c r="E252">
        <v>19047682</v>
      </c>
      <c r="F252" t="s">
        <v>56</v>
      </c>
      <c r="G252" t="s">
        <v>57</v>
      </c>
      <c r="H252">
        <v>26300</v>
      </c>
      <c r="I252" t="s">
        <v>60</v>
      </c>
      <c r="J252">
        <v>2130.0500000000002</v>
      </c>
      <c r="K252">
        <v>0</v>
      </c>
      <c r="L252">
        <v>65</v>
      </c>
      <c r="M252">
        <v>0</v>
      </c>
      <c r="N252">
        <v>0</v>
      </c>
      <c r="O252">
        <v>5980</v>
      </c>
      <c r="P252">
        <v>5980</v>
      </c>
      <c r="Q252">
        <v>65</v>
      </c>
      <c r="R252">
        <v>65</v>
      </c>
      <c r="S252">
        <v>65</v>
      </c>
      <c r="T252">
        <v>0</v>
      </c>
      <c r="U252">
        <v>0</v>
      </c>
      <c r="V252">
        <v>0</v>
      </c>
      <c r="W252">
        <v>2130.0500000000002</v>
      </c>
      <c r="X252">
        <v>2045.45</v>
      </c>
      <c r="Y252">
        <v>780</v>
      </c>
      <c r="Z252">
        <v>2320.65</v>
      </c>
      <c r="AA252">
        <v>780</v>
      </c>
      <c r="AB252" s="6">
        <v>46147.586388888885</v>
      </c>
      <c r="AC252" s="6">
        <v>46146.641342592593</v>
      </c>
    </row>
    <row r="253" spans="1:29" x14ac:dyDescent="0.25">
      <c r="A253" t="s">
        <v>7</v>
      </c>
      <c r="B253" s="5">
        <v>46147</v>
      </c>
      <c r="C253" t="s">
        <v>54</v>
      </c>
      <c r="D253" t="s">
        <v>309</v>
      </c>
      <c r="E253">
        <v>19048450</v>
      </c>
      <c r="F253" t="s">
        <v>56</v>
      </c>
      <c r="G253" t="s">
        <v>57</v>
      </c>
      <c r="H253">
        <v>26350</v>
      </c>
      <c r="I253" t="s">
        <v>58</v>
      </c>
      <c r="J253">
        <v>0.05</v>
      </c>
      <c r="K253">
        <v>-85.714285714285722</v>
      </c>
      <c r="L253">
        <v>65</v>
      </c>
      <c r="M253">
        <v>0.18</v>
      </c>
      <c r="N253">
        <v>280280</v>
      </c>
      <c r="O253">
        <v>9620</v>
      </c>
      <c r="P253">
        <v>108875</v>
      </c>
      <c r="Q253">
        <v>107900</v>
      </c>
      <c r="R253">
        <v>135265</v>
      </c>
      <c r="S253">
        <v>90805</v>
      </c>
      <c r="T253">
        <v>0.35</v>
      </c>
      <c r="U253">
        <v>0.35</v>
      </c>
      <c r="V253">
        <v>0.05</v>
      </c>
      <c r="W253">
        <v>0.35</v>
      </c>
      <c r="X253">
        <v>0.05</v>
      </c>
      <c r="Y253">
        <v>9620</v>
      </c>
      <c r="Z253">
        <v>0.1</v>
      </c>
      <c r="AA253">
        <v>19630</v>
      </c>
      <c r="AB253" s="6">
        <v>46147.586446759262</v>
      </c>
      <c r="AC253" s="6">
        <v>46147.584849537037</v>
      </c>
    </row>
    <row r="254" spans="1:29" x14ac:dyDescent="0.25">
      <c r="A254" t="s">
        <v>7</v>
      </c>
      <c r="B254" s="5">
        <v>46147</v>
      </c>
      <c r="C254" t="s">
        <v>54</v>
      </c>
      <c r="D254" t="s">
        <v>310</v>
      </c>
      <c r="E254">
        <v>19048706</v>
      </c>
      <c r="F254" t="s">
        <v>56</v>
      </c>
      <c r="G254" t="s">
        <v>57</v>
      </c>
      <c r="H254">
        <v>26350</v>
      </c>
      <c r="I254" t="s">
        <v>60</v>
      </c>
      <c r="J254">
        <v>2329.15</v>
      </c>
      <c r="K254">
        <v>0</v>
      </c>
      <c r="L254">
        <v>260</v>
      </c>
      <c r="M254">
        <v>0</v>
      </c>
      <c r="N254">
        <v>0</v>
      </c>
      <c r="O254">
        <v>5460</v>
      </c>
      <c r="P254">
        <v>6240</v>
      </c>
      <c r="Q254">
        <v>520</v>
      </c>
      <c r="R254">
        <v>520</v>
      </c>
      <c r="S254">
        <v>520</v>
      </c>
      <c r="T254">
        <v>0</v>
      </c>
      <c r="U254">
        <v>0</v>
      </c>
      <c r="V254">
        <v>0</v>
      </c>
      <c r="W254">
        <v>2329.15</v>
      </c>
      <c r="X254">
        <v>2082.1999999999998</v>
      </c>
      <c r="Y254">
        <v>1690</v>
      </c>
      <c r="Z254">
        <v>2336.75</v>
      </c>
      <c r="AA254">
        <v>780</v>
      </c>
      <c r="AB254" s="6">
        <v>46147.586446759262</v>
      </c>
      <c r="AC254" s="6">
        <v>46140.634629629632</v>
      </c>
    </row>
    <row r="255" spans="1:29" x14ac:dyDescent="0.25">
      <c r="A255" t="s">
        <v>7</v>
      </c>
      <c r="B255" s="5">
        <v>46147</v>
      </c>
      <c r="C255" t="s">
        <v>54</v>
      </c>
      <c r="D255" t="s">
        <v>311</v>
      </c>
      <c r="E255">
        <v>19048962</v>
      </c>
      <c r="F255" t="s">
        <v>56</v>
      </c>
      <c r="G255" t="s">
        <v>57</v>
      </c>
      <c r="H255">
        <v>26400</v>
      </c>
      <c r="I255" t="s">
        <v>58</v>
      </c>
      <c r="J255">
        <v>0.05</v>
      </c>
      <c r="K255">
        <v>-85.714285714285722</v>
      </c>
      <c r="L255">
        <v>65</v>
      </c>
      <c r="M255">
        <v>0.21</v>
      </c>
      <c r="N255">
        <v>766805</v>
      </c>
      <c r="O255">
        <v>134030</v>
      </c>
      <c r="P255">
        <v>238290</v>
      </c>
      <c r="Q255">
        <v>224380</v>
      </c>
      <c r="R255">
        <v>249535</v>
      </c>
      <c r="S255">
        <v>194935</v>
      </c>
      <c r="T255">
        <v>0.35</v>
      </c>
      <c r="U255">
        <v>0.4</v>
      </c>
      <c r="V255">
        <v>0.05</v>
      </c>
      <c r="W255">
        <v>0.35</v>
      </c>
      <c r="X255">
        <v>0.05</v>
      </c>
      <c r="Y255">
        <v>134030</v>
      </c>
      <c r="Z255">
        <v>0.1</v>
      </c>
      <c r="AA255">
        <v>103805</v>
      </c>
      <c r="AB255" s="6">
        <v>46147.586458333331</v>
      </c>
      <c r="AC255" s="6">
        <v>46147.58489583333</v>
      </c>
    </row>
    <row r="256" spans="1:29" x14ac:dyDescent="0.25">
      <c r="A256" t="s">
        <v>7</v>
      </c>
      <c r="B256" s="5">
        <v>46147</v>
      </c>
      <c r="C256" t="s">
        <v>54</v>
      </c>
      <c r="D256" t="s">
        <v>312</v>
      </c>
      <c r="E256">
        <v>19049218</v>
      </c>
      <c r="F256" t="s">
        <v>56</v>
      </c>
      <c r="G256" t="s">
        <v>57</v>
      </c>
      <c r="H256">
        <v>26400</v>
      </c>
      <c r="I256" t="s">
        <v>60</v>
      </c>
      <c r="J256">
        <v>2356.65</v>
      </c>
      <c r="K256">
        <v>0</v>
      </c>
      <c r="L256">
        <v>65</v>
      </c>
      <c r="M256">
        <v>0</v>
      </c>
      <c r="N256">
        <v>0</v>
      </c>
      <c r="O256">
        <v>6825</v>
      </c>
      <c r="P256">
        <v>6825</v>
      </c>
      <c r="Q256">
        <v>65</v>
      </c>
      <c r="R256">
        <v>65</v>
      </c>
      <c r="S256">
        <v>65</v>
      </c>
      <c r="T256">
        <v>0</v>
      </c>
      <c r="U256">
        <v>0</v>
      </c>
      <c r="V256">
        <v>0</v>
      </c>
      <c r="W256">
        <v>2356.65</v>
      </c>
      <c r="X256">
        <v>2143</v>
      </c>
      <c r="Y256">
        <v>780</v>
      </c>
      <c r="Z256">
        <v>2393.25</v>
      </c>
      <c r="AA256">
        <v>65</v>
      </c>
      <c r="AB256" s="6">
        <v>46147.586504629631</v>
      </c>
      <c r="AC256" s="6">
        <v>46140.642916666664</v>
      </c>
    </row>
    <row r="257" spans="1:29" x14ac:dyDescent="0.25">
      <c r="A257" t="s">
        <v>7</v>
      </c>
      <c r="B257" s="5">
        <v>46147</v>
      </c>
      <c r="C257" t="s">
        <v>54</v>
      </c>
      <c r="D257" t="s">
        <v>313</v>
      </c>
      <c r="E257">
        <v>19049474</v>
      </c>
      <c r="F257" t="s">
        <v>56</v>
      </c>
      <c r="G257" t="s">
        <v>57</v>
      </c>
      <c r="H257">
        <v>26450</v>
      </c>
      <c r="I257" t="s">
        <v>58</v>
      </c>
      <c r="J257">
        <v>0.1</v>
      </c>
      <c r="K257">
        <v>-71.428571428571416</v>
      </c>
      <c r="L257">
        <v>65</v>
      </c>
      <c r="M257">
        <v>0.19</v>
      </c>
      <c r="N257">
        <v>430950</v>
      </c>
      <c r="O257">
        <v>55445</v>
      </c>
      <c r="P257">
        <v>113035</v>
      </c>
      <c r="Q257">
        <v>112255</v>
      </c>
      <c r="R257">
        <v>137345</v>
      </c>
      <c r="S257">
        <v>92300</v>
      </c>
      <c r="T257">
        <v>0.35</v>
      </c>
      <c r="U257">
        <v>0.35</v>
      </c>
      <c r="V257">
        <v>0.05</v>
      </c>
      <c r="W257">
        <v>0.35</v>
      </c>
      <c r="X257">
        <v>0.05</v>
      </c>
      <c r="Y257">
        <v>55445</v>
      </c>
      <c r="Z257">
        <v>0.1</v>
      </c>
      <c r="AA257">
        <v>16770</v>
      </c>
      <c r="AB257" s="6">
        <v>46147.586527777778</v>
      </c>
      <c r="AC257" s="6">
        <v>46147.579293981478</v>
      </c>
    </row>
    <row r="258" spans="1:29" x14ac:dyDescent="0.25">
      <c r="A258" t="s">
        <v>7</v>
      </c>
      <c r="B258" s="5">
        <v>46147</v>
      </c>
      <c r="C258" t="s">
        <v>54</v>
      </c>
      <c r="D258" t="s">
        <v>314</v>
      </c>
      <c r="E258">
        <v>19049730</v>
      </c>
      <c r="F258" t="s">
        <v>56</v>
      </c>
      <c r="G258" t="s">
        <v>57</v>
      </c>
      <c r="H258">
        <v>26450</v>
      </c>
      <c r="I258" t="s">
        <v>60</v>
      </c>
      <c r="J258">
        <v>3323.05</v>
      </c>
      <c r="K258">
        <v>0</v>
      </c>
      <c r="L258">
        <v>0</v>
      </c>
      <c r="M258">
        <v>0</v>
      </c>
      <c r="N258">
        <v>0</v>
      </c>
      <c r="O258">
        <v>2860</v>
      </c>
      <c r="P258">
        <v>6630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3323.05</v>
      </c>
      <c r="X258">
        <v>2261.5500000000002</v>
      </c>
      <c r="Y258">
        <v>780</v>
      </c>
      <c r="Z258">
        <v>2466</v>
      </c>
      <c r="AA258">
        <v>780</v>
      </c>
      <c r="AB258" s="6">
        <v>46147.586527777778</v>
      </c>
      <c r="AC258" s="6">
        <v>25569.229166666668</v>
      </c>
    </row>
    <row r="259" spans="1:29" x14ac:dyDescent="0.25">
      <c r="A259" t="s">
        <v>7</v>
      </c>
      <c r="B259" s="5">
        <v>46147</v>
      </c>
      <c r="C259" t="s">
        <v>54</v>
      </c>
      <c r="D259" t="s">
        <v>315</v>
      </c>
      <c r="E259">
        <v>19063298</v>
      </c>
      <c r="F259" t="s">
        <v>56</v>
      </c>
      <c r="G259" t="s">
        <v>57</v>
      </c>
      <c r="H259">
        <v>26500</v>
      </c>
      <c r="I259" t="s">
        <v>58</v>
      </c>
      <c r="J259">
        <v>0.1</v>
      </c>
      <c r="K259">
        <v>-66.666666666666671</v>
      </c>
      <c r="L259">
        <v>260</v>
      </c>
      <c r="M259">
        <v>0.17</v>
      </c>
      <c r="N259">
        <v>2234635</v>
      </c>
      <c r="O259">
        <v>76310</v>
      </c>
      <c r="P259">
        <v>601445</v>
      </c>
      <c r="Q259">
        <v>671190</v>
      </c>
      <c r="R259">
        <v>978835</v>
      </c>
      <c r="S259">
        <v>664105</v>
      </c>
      <c r="T259">
        <v>0.25</v>
      </c>
      <c r="U259">
        <v>0.3</v>
      </c>
      <c r="V259">
        <v>0.05</v>
      </c>
      <c r="W259">
        <v>0.3</v>
      </c>
      <c r="X259">
        <v>0.05</v>
      </c>
      <c r="Y259">
        <v>76310</v>
      </c>
      <c r="Z259">
        <v>0.1</v>
      </c>
      <c r="AA259">
        <v>215280</v>
      </c>
      <c r="AB259" s="6">
        <v>46147.586446759262</v>
      </c>
      <c r="AC259" s="6">
        <v>46147.586435185185</v>
      </c>
    </row>
    <row r="260" spans="1:29" x14ac:dyDescent="0.25">
      <c r="A260" t="s">
        <v>7</v>
      </c>
      <c r="B260" s="5">
        <v>46147</v>
      </c>
      <c r="C260" t="s">
        <v>54</v>
      </c>
      <c r="D260" t="s">
        <v>316</v>
      </c>
      <c r="E260">
        <v>19063554</v>
      </c>
      <c r="F260" t="s">
        <v>56</v>
      </c>
      <c r="G260" t="s">
        <v>57</v>
      </c>
      <c r="H260">
        <v>26500</v>
      </c>
      <c r="I260" t="s">
        <v>60</v>
      </c>
      <c r="J260">
        <v>2475</v>
      </c>
      <c r="K260">
        <v>6.2231759656652361</v>
      </c>
      <c r="L260">
        <v>65</v>
      </c>
      <c r="M260">
        <v>2540.09</v>
      </c>
      <c r="N260">
        <v>10465</v>
      </c>
      <c r="O260">
        <v>6045</v>
      </c>
      <c r="P260">
        <v>7020</v>
      </c>
      <c r="Q260">
        <v>7020</v>
      </c>
      <c r="R260">
        <v>11375</v>
      </c>
      <c r="S260">
        <v>7020</v>
      </c>
      <c r="T260">
        <v>2490</v>
      </c>
      <c r="U260">
        <v>2595</v>
      </c>
      <c r="V260">
        <v>2437.1999999999998</v>
      </c>
      <c r="W260">
        <v>2330</v>
      </c>
      <c r="X260">
        <v>2451</v>
      </c>
      <c r="Y260">
        <v>130</v>
      </c>
      <c r="Z260">
        <v>2466</v>
      </c>
      <c r="AA260">
        <v>65</v>
      </c>
      <c r="AB260" s="6">
        <v>46147.586527777778</v>
      </c>
      <c r="AC260" s="6">
        <v>46147.579699074071</v>
      </c>
    </row>
    <row r="261" spans="1:29" x14ac:dyDescent="0.25">
      <c r="A261" t="s">
        <v>7</v>
      </c>
      <c r="B261" s="5">
        <v>46147</v>
      </c>
      <c r="C261" t="s">
        <v>54</v>
      </c>
      <c r="D261" t="s">
        <v>317</v>
      </c>
      <c r="E261">
        <v>19094018</v>
      </c>
      <c r="F261" t="s">
        <v>56</v>
      </c>
      <c r="G261" t="s">
        <v>57</v>
      </c>
      <c r="H261">
        <v>26550</v>
      </c>
      <c r="I261" t="s">
        <v>58</v>
      </c>
      <c r="J261">
        <v>0.05</v>
      </c>
      <c r="K261">
        <v>-85.714285714285722</v>
      </c>
      <c r="L261">
        <v>390</v>
      </c>
      <c r="M261">
        <v>0.17</v>
      </c>
      <c r="N261">
        <v>1146340</v>
      </c>
      <c r="O261">
        <v>11050</v>
      </c>
      <c r="P261">
        <v>348530</v>
      </c>
      <c r="Q261">
        <v>362505</v>
      </c>
      <c r="R261">
        <v>380770</v>
      </c>
      <c r="S261">
        <v>280865</v>
      </c>
      <c r="T261">
        <v>0.4</v>
      </c>
      <c r="U261">
        <v>0.4</v>
      </c>
      <c r="V261">
        <v>0.05</v>
      </c>
      <c r="W261">
        <v>0.35</v>
      </c>
      <c r="X261">
        <v>0.05</v>
      </c>
      <c r="Y261">
        <v>11050</v>
      </c>
      <c r="Z261">
        <v>0.1</v>
      </c>
      <c r="AA261">
        <v>75530</v>
      </c>
      <c r="AB261" s="6">
        <v>46147.586435185185</v>
      </c>
      <c r="AC261" s="6">
        <v>46147.583680555559</v>
      </c>
    </row>
    <row r="262" spans="1:29" x14ac:dyDescent="0.25">
      <c r="A262" t="s">
        <v>7</v>
      </c>
      <c r="B262" s="5">
        <v>46147</v>
      </c>
      <c r="C262" t="s">
        <v>54</v>
      </c>
      <c r="D262" t="s">
        <v>318</v>
      </c>
      <c r="E262">
        <v>19094274</v>
      </c>
      <c r="F262" t="s">
        <v>56</v>
      </c>
      <c r="G262" t="s">
        <v>57</v>
      </c>
      <c r="H262">
        <v>26550</v>
      </c>
      <c r="I262" t="s">
        <v>60</v>
      </c>
      <c r="J262">
        <v>3421.65</v>
      </c>
      <c r="K262">
        <v>0</v>
      </c>
      <c r="L262">
        <v>0</v>
      </c>
      <c r="M262">
        <v>0</v>
      </c>
      <c r="N262">
        <v>0</v>
      </c>
      <c r="O262">
        <v>1300</v>
      </c>
      <c r="P262">
        <v>5980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3421.65</v>
      </c>
      <c r="X262">
        <v>2276.4</v>
      </c>
      <c r="Y262">
        <v>780</v>
      </c>
      <c r="Z262">
        <v>2572.1999999999998</v>
      </c>
      <c r="AA262">
        <v>780</v>
      </c>
      <c r="AB262" s="6">
        <v>46147.586435185185</v>
      </c>
      <c r="AC262" s="6">
        <v>25569.229166666668</v>
      </c>
    </row>
    <row r="263" spans="1:29" x14ac:dyDescent="0.25">
      <c r="A263" t="s">
        <v>8</v>
      </c>
      <c r="B263" s="5">
        <v>46168</v>
      </c>
      <c r="C263" t="s">
        <v>50</v>
      </c>
      <c r="D263" t="s">
        <v>319</v>
      </c>
      <c r="E263">
        <v>260105</v>
      </c>
      <c r="F263" t="s">
        <v>52</v>
      </c>
      <c r="G263" t="s">
        <v>53</v>
      </c>
      <c r="J263">
        <v>54740.6</v>
      </c>
      <c r="K263">
        <v>-0.25128237834489181</v>
      </c>
      <c r="T263">
        <v>54691.3</v>
      </c>
      <c r="U263">
        <v>54888.55</v>
      </c>
      <c r="V263">
        <v>54221.65</v>
      </c>
      <c r="W263">
        <v>54878.5</v>
      </c>
      <c r="AB263" s="6"/>
    </row>
    <row r="264" spans="1:29" x14ac:dyDescent="0.25">
      <c r="A264" t="s">
        <v>8</v>
      </c>
      <c r="B264" s="5">
        <v>46168</v>
      </c>
      <c r="C264" t="s">
        <v>54</v>
      </c>
      <c r="D264" t="s">
        <v>320</v>
      </c>
      <c r="E264">
        <v>17013250</v>
      </c>
      <c r="F264" t="s">
        <v>56</v>
      </c>
      <c r="G264" t="s">
        <v>57</v>
      </c>
      <c r="H264">
        <v>43000</v>
      </c>
      <c r="I264" t="s">
        <v>58</v>
      </c>
      <c r="J264">
        <v>8000</v>
      </c>
      <c r="K264">
        <v>0</v>
      </c>
      <c r="L264">
        <v>30</v>
      </c>
      <c r="M264">
        <v>0</v>
      </c>
      <c r="N264">
        <v>0</v>
      </c>
      <c r="O264">
        <v>4830</v>
      </c>
      <c r="P264">
        <v>4830</v>
      </c>
      <c r="Q264">
        <v>30</v>
      </c>
      <c r="R264">
        <v>30</v>
      </c>
      <c r="S264">
        <v>30</v>
      </c>
      <c r="T264">
        <v>0</v>
      </c>
      <c r="U264">
        <v>0</v>
      </c>
      <c r="V264">
        <v>0</v>
      </c>
      <c r="W264">
        <v>8000</v>
      </c>
      <c r="X264">
        <v>11214.8</v>
      </c>
      <c r="Y264">
        <v>300</v>
      </c>
      <c r="Z264">
        <v>12430.6</v>
      </c>
      <c r="AA264">
        <v>300</v>
      </c>
      <c r="AB264" s="6">
        <v>46147.586053240739</v>
      </c>
      <c r="AC264" s="6">
        <v>46114.39775462963</v>
      </c>
    </row>
    <row r="265" spans="1:29" x14ac:dyDescent="0.25">
      <c r="A265" t="s">
        <v>8</v>
      </c>
      <c r="B265" s="5">
        <v>46168</v>
      </c>
      <c r="C265" t="s">
        <v>54</v>
      </c>
      <c r="D265" t="s">
        <v>321</v>
      </c>
      <c r="E265">
        <v>17013506</v>
      </c>
      <c r="F265" t="s">
        <v>56</v>
      </c>
      <c r="G265" t="s">
        <v>57</v>
      </c>
      <c r="H265">
        <v>43000</v>
      </c>
      <c r="I265" t="s">
        <v>60</v>
      </c>
      <c r="J265">
        <v>7.05</v>
      </c>
      <c r="K265">
        <v>0</v>
      </c>
      <c r="L265">
        <v>120</v>
      </c>
      <c r="M265">
        <v>7.53</v>
      </c>
      <c r="N265">
        <v>53820</v>
      </c>
      <c r="O265">
        <v>151710</v>
      </c>
      <c r="P265">
        <v>31680</v>
      </c>
      <c r="Q265">
        <v>89490</v>
      </c>
      <c r="R265">
        <v>97470</v>
      </c>
      <c r="S265">
        <v>86970</v>
      </c>
      <c r="T265">
        <v>6.55</v>
      </c>
      <c r="U265">
        <v>8.8000000000000007</v>
      </c>
      <c r="V265">
        <v>6.25</v>
      </c>
      <c r="W265">
        <v>7.05</v>
      </c>
      <c r="X265">
        <v>7.05</v>
      </c>
      <c r="Y265">
        <v>90</v>
      </c>
      <c r="Z265">
        <v>7.25</v>
      </c>
      <c r="AA265">
        <v>150</v>
      </c>
      <c r="AB265" s="6">
        <v>46147.586053240739</v>
      </c>
      <c r="AC265" s="6">
        <v>46147.577650462961</v>
      </c>
    </row>
    <row r="266" spans="1:29" x14ac:dyDescent="0.25">
      <c r="A266" t="s">
        <v>8</v>
      </c>
      <c r="B266" s="5">
        <v>46168</v>
      </c>
      <c r="C266" t="s">
        <v>54</v>
      </c>
      <c r="D266" t="s">
        <v>322</v>
      </c>
      <c r="E266">
        <v>17013762</v>
      </c>
      <c r="F266" t="s">
        <v>56</v>
      </c>
      <c r="G266" t="s">
        <v>57</v>
      </c>
      <c r="H266">
        <v>43500</v>
      </c>
      <c r="I266" t="s">
        <v>58</v>
      </c>
      <c r="J266">
        <v>18263.650000000001</v>
      </c>
      <c r="K266">
        <v>0</v>
      </c>
      <c r="L266">
        <v>0</v>
      </c>
      <c r="M266">
        <v>0</v>
      </c>
      <c r="N266">
        <v>0</v>
      </c>
      <c r="O266">
        <v>4410</v>
      </c>
      <c r="P266">
        <v>4410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18263.650000000001</v>
      </c>
      <c r="X266">
        <v>10266.799999999999</v>
      </c>
      <c r="Y266">
        <v>300</v>
      </c>
      <c r="Z266">
        <v>12175.55</v>
      </c>
      <c r="AA266">
        <v>300</v>
      </c>
      <c r="AB266" s="6">
        <v>46147.586157407408</v>
      </c>
      <c r="AC266" s="6">
        <v>25569.229166666668</v>
      </c>
    </row>
    <row r="267" spans="1:29" x14ac:dyDescent="0.25">
      <c r="A267" t="s">
        <v>8</v>
      </c>
      <c r="B267" s="5">
        <v>46168</v>
      </c>
      <c r="C267" t="s">
        <v>54</v>
      </c>
      <c r="D267" t="s">
        <v>323</v>
      </c>
      <c r="E267">
        <v>17014018</v>
      </c>
      <c r="F267" t="s">
        <v>56</v>
      </c>
      <c r="G267" t="s">
        <v>57</v>
      </c>
      <c r="H267">
        <v>43500</v>
      </c>
      <c r="I267" t="s">
        <v>60</v>
      </c>
      <c r="J267">
        <v>6.8</v>
      </c>
      <c r="K267">
        <v>-7.4829931972789101</v>
      </c>
      <c r="L267">
        <v>30</v>
      </c>
      <c r="M267">
        <v>7.14</v>
      </c>
      <c r="N267">
        <v>15990</v>
      </c>
      <c r="O267">
        <v>119700</v>
      </c>
      <c r="P267">
        <v>17880</v>
      </c>
      <c r="Q267">
        <v>20340</v>
      </c>
      <c r="R267">
        <v>20580</v>
      </c>
      <c r="S267">
        <v>20190</v>
      </c>
      <c r="T267">
        <v>7.1</v>
      </c>
      <c r="U267">
        <v>8.6</v>
      </c>
      <c r="V267">
        <v>5.85</v>
      </c>
      <c r="W267">
        <v>7.35</v>
      </c>
      <c r="X267">
        <v>6.8</v>
      </c>
      <c r="Y267">
        <v>30</v>
      </c>
      <c r="Z267">
        <v>6.95</v>
      </c>
      <c r="AA267">
        <v>30</v>
      </c>
      <c r="AB267" s="6">
        <v>46147.586157407408</v>
      </c>
      <c r="AC267" s="6">
        <v>46147.583831018521</v>
      </c>
    </row>
    <row r="268" spans="1:29" x14ac:dyDescent="0.25">
      <c r="A268" t="s">
        <v>8</v>
      </c>
      <c r="B268" s="5">
        <v>46168</v>
      </c>
      <c r="C268" t="s">
        <v>54</v>
      </c>
      <c r="D268" t="s">
        <v>324</v>
      </c>
      <c r="E268">
        <v>17014274</v>
      </c>
      <c r="F268" t="s">
        <v>56</v>
      </c>
      <c r="G268" t="s">
        <v>57</v>
      </c>
      <c r="H268">
        <v>44000</v>
      </c>
      <c r="I268" t="s">
        <v>58</v>
      </c>
      <c r="J268">
        <v>12162</v>
      </c>
      <c r="K268">
        <v>0</v>
      </c>
      <c r="L268">
        <v>30</v>
      </c>
      <c r="M268">
        <v>0</v>
      </c>
      <c r="N268">
        <v>0</v>
      </c>
      <c r="O268">
        <v>4830</v>
      </c>
      <c r="P268">
        <v>4470</v>
      </c>
      <c r="Q268">
        <v>1290</v>
      </c>
      <c r="R268">
        <v>1290</v>
      </c>
      <c r="S268">
        <v>1290</v>
      </c>
      <c r="T268">
        <v>0</v>
      </c>
      <c r="U268">
        <v>0</v>
      </c>
      <c r="V268">
        <v>0</v>
      </c>
      <c r="W268">
        <v>12162</v>
      </c>
      <c r="X268">
        <v>10148.450000000001</v>
      </c>
      <c r="Y268">
        <v>300</v>
      </c>
      <c r="Z268">
        <v>11417.3</v>
      </c>
      <c r="AA268">
        <v>300</v>
      </c>
      <c r="AB268" s="6">
        <v>46147.586053240739</v>
      </c>
      <c r="AC268" s="6">
        <v>46141.436493055553</v>
      </c>
    </row>
    <row r="269" spans="1:29" x14ac:dyDescent="0.25">
      <c r="A269" t="s">
        <v>8</v>
      </c>
      <c r="B269" s="5">
        <v>46168</v>
      </c>
      <c r="C269" t="s">
        <v>54</v>
      </c>
      <c r="D269" t="s">
        <v>325</v>
      </c>
      <c r="E269">
        <v>17014530</v>
      </c>
      <c r="F269" t="s">
        <v>56</v>
      </c>
      <c r="G269" t="s">
        <v>57</v>
      </c>
      <c r="H269">
        <v>44000</v>
      </c>
      <c r="I269" t="s">
        <v>60</v>
      </c>
      <c r="J269">
        <v>7.65</v>
      </c>
      <c r="K269">
        <v>-4.968944099378886</v>
      </c>
      <c r="L269">
        <v>90</v>
      </c>
      <c r="M269">
        <v>8.3800000000000008</v>
      </c>
      <c r="N269">
        <v>20700</v>
      </c>
      <c r="O269">
        <v>118560</v>
      </c>
      <c r="P269">
        <v>19770</v>
      </c>
      <c r="Q269">
        <v>89910</v>
      </c>
      <c r="R269">
        <v>89940</v>
      </c>
      <c r="S269">
        <v>86520</v>
      </c>
      <c r="T269">
        <v>7.25</v>
      </c>
      <c r="U269">
        <v>10.25</v>
      </c>
      <c r="V269">
        <v>7.1</v>
      </c>
      <c r="W269">
        <v>8.0500000000000007</v>
      </c>
      <c r="X269">
        <v>7.65</v>
      </c>
      <c r="Y269">
        <v>150</v>
      </c>
      <c r="Z269">
        <v>8.15</v>
      </c>
      <c r="AA269">
        <v>90</v>
      </c>
      <c r="AB269" s="6">
        <v>46147.586053240739</v>
      </c>
      <c r="AC269" s="6">
        <v>46147.582268518519</v>
      </c>
    </row>
    <row r="270" spans="1:29" x14ac:dyDescent="0.25">
      <c r="A270" t="s">
        <v>8</v>
      </c>
      <c r="B270" s="5">
        <v>46168</v>
      </c>
      <c r="C270" t="s">
        <v>54</v>
      </c>
      <c r="D270" t="s">
        <v>326</v>
      </c>
      <c r="E270">
        <v>17014786</v>
      </c>
      <c r="F270" t="s">
        <v>56</v>
      </c>
      <c r="G270" t="s">
        <v>57</v>
      </c>
      <c r="H270">
        <v>44500</v>
      </c>
      <c r="I270" t="s">
        <v>58</v>
      </c>
      <c r="J270">
        <v>17280.099999999999</v>
      </c>
      <c r="K270">
        <v>0</v>
      </c>
      <c r="L270">
        <v>0</v>
      </c>
      <c r="M270">
        <v>0</v>
      </c>
      <c r="N270">
        <v>0</v>
      </c>
      <c r="O270">
        <v>3510</v>
      </c>
      <c r="P270">
        <v>3210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17280.099999999999</v>
      </c>
      <c r="X270">
        <v>9357.2999999999993</v>
      </c>
      <c r="Y270">
        <v>300</v>
      </c>
      <c r="Z270">
        <v>11023.8</v>
      </c>
      <c r="AA270">
        <v>870</v>
      </c>
      <c r="AB270" s="6">
        <v>46147.586168981485</v>
      </c>
      <c r="AC270" s="6">
        <v>25569.229166666668</v>
      </c>
    </row>
    <row r="271" spans="1:29" x14ac:dyDescent="0.25">
      <c r="A271" t="s">
        <v>8</v>
      </c>
      <c r="B271" s="5">
        <v>46168</v>
      </c>
      <c r="C271" t="s">
        <v>54</v>
      </c>
      <c r="D271" t="s">
        <v>327</v>
      </c>
      <c r="E271">
        <v>17015042</v>
      </c>
      <c r="F271" t="s">
        <v>56</v>
      </c>
      <c r="G271" t="s">
        <v>57</v>
      </c>
      <c r="H271">
        <v>44500</v>
      </c>
      <c r="I271" t="s">
        <v>60</v>
      </c>
      <c r="J271">
        <v>8.3000000000000007</v>
      </c>
      <c r="K271">
        <v>-2.9239766081871341</v>
      </c>
      <c r="L271">
        <v>90</v>
      </c>
      <c r="M271">
        <v>8.7200000000000006</v>
      </c>
      <c r="N271">
        <v>2370</v>
      </c>
      <c r="O271">
        <v>104610</v>
      </c>
      <c r="P271">
        <v>18360</v>
      </c>
      <c r="Q271">
        <v>6750</v>
      </c>
      <c r="R271">
        <v>6810</v>
      </c>
      <c r="S271">
        <v>6630</v>
      </c>
      <c r="T271">
        <v>8</v>
      </c>
      <c r="U271">
        <v>9.5</v>
      </c>
      <c r="V271">
        <v>8</v>
      </c>
      <c r="W271">
        <v>8.5500000000000007</v>
      </c>
      <c r="X271">
        <v>7.85</v>
      </c>
      <c r="Y271">
        <v>120</v>
      </c>
      <c r="Z271">
        <v>8.3000000000000007</v>
      </c>
      <c r="AA271">
        <v>60</v>
      </c>
      <c r="AB271" s="6">
        <v>46147.585949074077</v>
      </c>
      <c r="AC271" s="6">
        <v>46147.583831018521</v>
      </c>
    </row>
    <row r="272" spans="1:29" x14ac:dyDescent="0.25">
      <c r="A272" t="s">
        <v>8</v>
      </c>
      <c r="B272" s="5">
        <v>46168</v>
      </c>
      <c r="C272" t="s">
        <v>54</v>
      </c>
      <c r="D272" t="s">
        <v>328</v>
      </c>
      <c r="E272">
        <v>17015298</v>
      </c>
      <c r="F272" t="s">
        <v>56</v>
      </c>
      <c r="G272" t="s">
        <v>57</v>
      </c>
      <c r="H272">
        <v>45000</v>
      </c>
      <c r="I272" t="s">
        <v>58</v>
      </c>
      <c r="J272">
        <v>16788.349999999999</v>
      </c>
      <c r="K272">
        <v>0</v>
      </c>
      <c r="L272">
        <v>0</v>
      </c>
      <c r="M272">
        <v>0</v>
      </c>
      <c r="N272">
        <v>0</v>
      </c>
      <c r="O272">
        <v>4410</v>
      </c>
      <c r="P272">
        <v>4410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16788.349999999999</v>
      </c>
      <c r="X272">
        <v>8902.5499999999993</v>
      </c>
      <c r="Y272">
        <v>1170</v>
      </c>
      <c r="Z272">
        <v>10279.700000000001</v>
      </c>
      <c r="AA272">
        <v>300</v>
      </c>
      <c r="AB272" s="6">
        <v>46147.586053240739</v>
      </c>
      <c r="AC272" s="6">
        <v>25569.229166666668</v>
      </c>
    </row>
    <row r="273" spans="1:29" x14ac:dyDescent="0.25">
      <c r="A273" t="s">
        <v>8</v>
      </c>
      <c r="B273" s="5">
        <v>46168</v>
      </c>
      <c r="C273" t="s">
        <v>54</v>
      </c>
      <c r="D273" t="s">
        <v>329</v>
      </c>
      <c r="E273">
        <v>17015554</v>
      </c>
      <c r="F273" t="s">
        <v>56</v>
      </c>
      <c r="G273" t="s">
        <v>57</v>
      </c>
      <c r="H273">
        <v>45000</v>
      </c>
      <c r="I273" t="s">
        <v>60</v>
      </c>
      <c r="J273">
        <v>8.75</v>
      </c>
      <c r="K273">
        <v>-1.6853932584269702</v>
      </c>
      <c r="L273">
        <v>30</v>
      </c>
      <c r="M273">
        <v>9.11</v>
      </c>
      <c r="N273">
        <v>44220</v>
      </c>
      <c r="O273">
        <v>111120</v>
      </c>
      <c r="P273">
        <v>19170</v>
      </c>
      <c r="Q273">
        <v>105630</v>
      </c>
      <c r="R273">
        <v>105660</v>
      </c>
      <c r="S273">
        <v>103830</v>
      </c>
      <c r="T273">
        <v>9.0500000000000007</v>
      </c>
      <c r="U273">
        <v>11</v>
      </c>
      <c r="V273">
        <v>8.1</v>
      </c>
      <c r="W273">
        <v>8.9</v>
      </c>
      <c r="X273">
        <v>8.6999999999999993</v>
      </c>
      <c r="Y273">
        <v>30</v>
      </c>
      <c r="Z273">
        <v>8.75</v>
      </c>
      <c r="AA273">
        <v>60</v>
      </c>
      <c r="AB273" s="6">
        <v>46147.586053240739</v>
      </c>
      <c r="AC273" s="6">
        <v>46147.585115740738</v>
      </c>
    </row>
    <row r="274" spans="1:29" x14ac:dyDescent="0.25">
      <c r="A274" t="s">
        <v>8</v>
      </c>
      <c r="B274" s="5">
        <v>46168</v>
      </c>
      <c r="C274" t="s">
        <v>54</v>
      </c>
      <c r="D274" t="s">
        <v>330</v>
      </c>
      <c r="E274">
        <v>10340866</v>
      </c>
      <c r="F274" t="s">
        <v>56</v>
      </c>
      <c r="G274" t="s">
        <v>57</v>
      </c>
      <c r="H274">
        <v>45300</v>
      </c>
      <c r="I274" t="s">
        <v>58</v>
      </c>
      <c r="J274">
        <v>15239</v>
      </c>
      <c r="K274">
        <v>0</v>
      </c>
      <c r="L274">
        <v>0</v>
      </c>
      <c r="M274">
        <v>0</v>
      </c>
      <c r="N274">
        <v>0</v>
      </c>
      <c r="O274">
        <v>2970</v>
      </c>
      <c r="P274">
        <v>2970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15239</v>
      </c>
      <c r="X274">
        <v>8643.9</v>
      </c>
      <c r="Y274">
        <v>300</v>
      </c>
      <c r="Z274">
        <v>10342.200000000001</v>
      </c>
      <c r="AA274">
        <v>300</v>
      </c>
      <c r="AB274" s="6">
        <v>46147.586030092592</v>
      </c>
      <c r="AC274" s="6">
        <v>25569.229166666668</v>
      </c>
    </row>
    <row r="275" spans="1:29" x14ac:dyDescent="0.25">
      <c r="A275" t="s">
        <v>8</v>
      </c>
      <c r="B275" s="5">
        <v>46168</v>
      </c>
      <c r="C275" t="s">
        <v>54</v>
      </c>
      <c r="D275" t="s">
        <v>331</v>
      </c>
      <c r="E275">
        <v>10341122</v>
      </c>
      <c r="F275" t="s">
        <v>56</v>
      </c>
      <c r="G275" t="s">
        <v>57</v>
      </c>
      <c r="H275">
        <v>45300</v>
      </c>
      <c r="I275" t="s">
        <v>60</v>
      </c>
      <c r="J275">
        <v>11.05</v>
      </c>
      <c r="K275">
        <v>16.931216931216948</v>
      </c>
      <c r="L275">
        <v>30</v>
      </c>
      <c r="M275">
        <v>10.58</v>
      </c>
      <c r="N275">
        <v>3900</v>
      </c>
      <c r="O275">
        <v>28740</v>
      </c>
      <c r="P275">
        <v>4950</v>
      </c>
      <c r="Q275">
        <v>2880</v>
      </c>
      <c r="R275">
        <v>2910</v>
      </c>
      <c r="S275">
        <v>870</v>
      </c>
      <c r="T275">
        <v>9</v>
      </c>
      <c r="U275">
        <v>12.5</v>
      </c>
      <c r="V275">
        <v>7.7</v>
      </c>
      <c r="W275">
        <v>9.4499999999999993</v>
      </c>
      <c r="X275">
        <v>9.5500000000000007</v>
      </c>
      <c r="Y275">
        <v>210</v>
      </c>
      <c r="Z275">
        <v>11.85</v>
      </c>
      <c r="AA275">
        <v>30</v>
      </c>
      <c r="AB275" s="6">
        <v>46147.585057870368</v>
      </c>
      <c r="AC275" s="6">
        <v>46147.573101851849</v>
      </c>
    </row>
    <row r="276" spans="1:29" x14ac:dyDescent="0.25">
      <c r="A276" t="s">
        <v>8</v>
      </c>
      <c r="B276" s="5">
        <v>46168</v>
      </c>
      <c r="C276" t="s">
        <v>54</v>
      </c>
      <c r="D276" t="s">
        <v>332</v>
      </c>
      <c r="E276">
        <v>10341378</v>
      </c>
      <c r="F276" t="s">
        <v>56</v>
      </c>
      <c r="G276" t="s">
        <v>57</v>
      </c>
      <c r="H276">
        <v>45400</v>
      </c>
      <c r="I276" t="s">
        <v>58</v>
      </c>
      <c r="J276">
        <v>15140.55</v>
      </c>
      <c r="K276">
        <v>0</v>
      </c>
      <c r="L276">
        <v>0</v>
      </c>
      <c r="M276">
        <v>0</v>
      </c>
      <c r="N276">
        <v>0</v>
      </c>
      <c r="O276">
        <v>2970</v>
      </c>
      <c r="P276">
        <v>2970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15140.55</v>
      </c>
      <c r="X276">
        <v>8551.5</v>
      </c>
      <c r="Y276">
        <v>300</v>
      </c>
      <c r="Z276">
        <v>10087.4</v>
      </c>
      <c r="AA276">
        <v>300</v>
      </c>
      <c r="AB276" s="6">
        <v>46147.586469907408</v>
      </c>
      <c r="AC276" s="6">
        <v>25569.229166666668</v>
      </c>
    </row>
    <row r="277" spans="1:29" x14ac:dyDescent="0.25">
      <c r="A277" t="s">
        <v>8</v>
      </c>
      <c r="B277" s="5">
        <v>46168</v>
      </c>
      <c r="C277" t="s">
        <v>54</v>
      </c>
      <c r="D277" t="s">
        <v>333</v>
      </c>
      <c r="E277">
        <v>10341634</v>
      </c>
      <c r="F277" t="s">
        <v>56</v>
      </c>
      <c r="G277" t="s">
        <v>57</v>
      </c>
      <c r="H277">
        <v>45400</v>
      </c>
      <c r="I277" t="s">
        <v>60</v>
      </c>
      <c r="J277">
        <v>12.75</v>
      </c>
      <c r="K277">
        <v>12.334801762114541</v>
      </c>
      <c r="L277">
        <v>30</v>
      </c>
      <c r="M277">
        <v>12.68</v>
      </c>
      <c r="N277">
        <v>2460</v>
      </c>
      <c r="O277">
        <v>22320</v>
      </c>
      <c r="P277">
        <v>1860</v>
      </c>
      <c r="Q277">
        <v>4800</v>
      </c>
      <c r="R277">
        <v>5040</v>
      </c>
      <c r="S277">
        <v>4800</v>
      </c>
      <c r="T277">
        <v>13.8</v>
      </c>
      <c r="U277">
        <v>13.8</v>
      </c>
      <c r="V277">
        <v>8.6</v>
      </c>
      <c r="W277">
        <v>11.35</v>
      </c>
      <c r="X277">
        <v>10.75</v>
      </c>
      <c r="Y277">
        <v>90</v>
      </c>
      <c r="Z277">
        <v>12.55</v>
      </c>
      <c r="AA277">
        <v>60</v>
      </c>
      <c r="AB277" s="6">
        <v>46147.586481481485</v>
      </c>
      <c r="AC277" s="6">
        <v>46147.576678240737</v>
      </c>
    </row>
    <row r="278" spans="1:29" x14ac:dyDescent="0.25">
      <c r="A278" t="s">
        <v>8</v>
      </c>
      <c r="B278" s="5">
        <v>46168</v>
      </c>
      <c r="C278" t="s">
        <v>54</v>
      </c>
      <c r="D278" t="s">
        <v>334</v>
      </c>
      <c r="E278">
        <v>17015810</v>
      </c>
      <c r="F278" t="s">
        <v>56</v>
      </c>
      <c r="G278" t="s">
        <v>57</v>
      </c>
      <c r="H278">
        <v>45500</v>
      </c>
      <c r="I278" t="s">
        <v>58</v>
      </c>
      <c r="J278">
        <v>16296.6</v>
      </c>
      <c r="K278">
        <v>0</v>
      </c>
      <c r="L278">
        <v>0</v>
      </c>
      <c r="M278">
        <v>0</v>
      </c>
      <c r="N278">
        <v>0</v>
      </c>
      <c r="O278">
        <v>4470</v>
      </c>
      <c r="P278">
        <v>4470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16296.6</v>
      </c>
      <c r="X278">
        <v>8450.15</v>
      </c>
      <c r="Y278">
        <v>360</v>
      </c>
      <c r="Z278">
        <v>9968.4</v>
      </c>
      <c r="AA278">
        <v>300</v>
      </c>
      <c r="AB278" s="6">
        <v>46147.586168981485</v>
      </c>
      <c r="AC278" s="6">
        <v>25569.229166666668</v>
      </c>
    </row>
    <row r="279" spans="1:29" x14ac:dyDescent="0.25">
      <c r="A279" t="s">
        <v>8</v>
      </c>
      <c r="B279" s="5">
        <v>46168</v>
      </c>
      <c r="C279" t="s">
        <v>54</v>
      </c>
      <c r="D279" t="s">
        <v>335</v>
      </c>
      <c r="E279">
        <v>17016834</v>
      </c>
      <c r="F279" t="s">
        <v>56</v>
      </c>
      <c r="G279" t="s">
        <v>57</v>
      </c>
      <c r="H279">
        <v>45500</v>
      </c>
      <c r="I279" t="s">
        <v>60</v>
      </c>
      <c r="J279">
        <v>11.3</v>
      </c>
      <c r="K279">
        <v>2.2624434389140271</v>
      </c>
      <c r="L279">
        <v>30</v>
      </c>
      <c r="M279">
        <v>11.16</v>
      </c>
      <c r="N279">
        <v>3570</v>
      </c>
      <c r="O279">
        <v>83850</v>
      </c>
      <c r="P279">
        <v>5130</v>
      </c>
      <c r="Q279">
        <v>4470</v>
      </c>
      <c r="R279">
        <v>4470</v>
      </c>
      <c r="S279">
        <v>3180</v>
      </c>
      <c r="T279">
        <v>9.5</v>
      </c>
      <c r="U279">
        <v>13.75</v>
      </c>
      <c r="V279">
        <v>9.5</v>
      </c>
      <c r="W279">
        <v>11.05</v>
      </c>
      <c r="X279">
        <v>10.75</v>
      </c>
      <c r="Y279">
        <v>60</v>
      </c>
      <c r="Z279">
        <v>11.45</v>
      </c>
      <c r="AA279">
        <v>30</v>
      </c>
      <c r="AB279" s="6">
        <v>46147.586168981485</v>
      </c>
      <c r="AC279" s="6">
        <v>46147.584490740737</v>
      </c>
    </row>
    <row r="280" spans="1:29" x14ac:dyDescent="0.25">
      <c r="A280" t="s">
        <v>8</v>
      </c>
      <c r="B280" s="5">
        <v>46168</v>
      </c>
      <c r="C280" t="s">
        <v>54</v>
      </c>
      <c r="D280" t="s">
        <v>336</v>
      </c>
      <c r="E280">
        <v>9807106</v>
      </c>
      <c r="F280" t="s">
        <v>56</v>
      </c>
      <c r="G280" t="s">
        <v>57</v>
      </c>
      <c r="H280">
        <v>45600</v>
      </c>
      <c r="I280" t="s">
        <v>58</v>
      </c>
      <c r="J280">
        <v>15647.5</v>
      </c>
      <c r="K280">
        <v>0</v>
      </c>
      <c r="L280">
        <v>0</v>
      </c>
      <c r="M280">
        <v>0</v>
      </c>
      <c r="N280">
        <v>0</v>
      </c>
      <c r="O280">
        <v>2970</v>
      </c>
      <c r="P280">
        <v>2970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15647.5</v>
      </c>
      <c r="X280">
        <v>8364.5499999999993</v>
      </c>
      <c r="Y280">
        <v>300</v>
      </c>
      <c r="Z280">
        <v>10128.5</v>
      </c>
      <c r="AA280">
        <v>300</v>
      </c>
      <c r="AB280" s="6">
        <v>46147.586469907408</v>
      </c>
      <c r="AC280" s="6">
        <v>25569.229166666668</v>
      </c>
    </row>
    <row r="281" spans="1:29" x14ac:dyDescent="0.25">
      <c r="A281" t="s">
        <v>8</v>
      </c>
      <c r="B281" s="5">
        <v>46168</v>
      </c>
      <c r="C281" t="s">
        <v>54</v>
      </c>
      <c r="D281" t="s">
        <v>337</v>
      </c>
      <c r="E281">
        <v>9807874</v>
      </c>
      <c r="F281" t="s">
        <v>56</v>
      </c>
      <c r="G281" t="s">
        <v>57</v>
      </c>
      <c r="H281">
        <v>45600</v>
      </c>
      <c r="I281" t="s">
        <v>60</v>
      </c>
      <c r="J281">
        <v>13.2</v>
      </c>
      <c r="K281">
        <v>9.9999999999999947</v>
      </c>
      <c r="L281">
        <v>30</v>
      </c>
      <c r="M281">
        <v>12.24</v>
      </c>
      <c r="N281">
        <v>150</v>
      </c>
      <c r="O281">
        <v>25050</v>
      </c>
      <c r="P281">
        <v>3060</v>
      </c>
      <c r="Q281">
        <v>810</v>
      </c>
      <c r="R281">
        <v>810</v>
      </c>
      <c r="S281">
        <v>750</v>
      </c>
      <c r="T281">
        <v>12</v>
      </c>
      <c r="U281">
        <v>13.2</v>
      </c>
      <c r="V281">
        <v>12</v>
      </c>
      <c r="W281">
        <v>12</v>
      </c>
      <c r="X281">
        <v>10.35</v>
      </c>
      <c r="Y281">
        <v>300</v>
      </c>
      <c r="Z281">
        <v>14</v>
      </c>
      <c r="AA281">
        <v>30</v>
      </c>
      <c r="AB281" s="6">
        <v>46147.584386574075</v>
      </c>
      <c r="AC281" s="6">
        <v>46147.539398148147</v>
      </c>
    </row>
    <row r="282" spans="1:29" x14ac:dyDescent="0.25">
      <c r="A282" t="s">
        <v>8</v>
      </c>
      <c r="B282" s="5">
        <v>46168</v>
      </c>
      <c r="C282" t="s">
        <v>54</v>
      </c>
      <c r="D282" t="s">
        <v>338</v>
      </c>
      <c r="E282">
        <v>9808130</v>
      </c>
      <c r="F282" t="s">
        <v>56</v>
      </c>
      <c r="G282" t="s">
        <v>57</v>
      </c>
      <c r="H282">
        <v>45700</v>
      </c>
      <c r="I282" t="s">
        <v>58</v>
      </c>
      <c r="J282">
        <v>15549.05</v>
      </c>
      <c r="K282">
        <v>0</v>
      </c>
      <c r="L282">
        <v>0</v>
      </c>
      <c r="M282">
        <v>0</v>
      </c>
      <c r="N282">
        <v>0</v>
      </c>
      <c r="O282">
        <v>2970</v>
      </c>
      <c r="P282">
        <v>2970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15549.05</v>
      </c>
      <c r="X282">
        <v>8274.5</v>
      </c>
      <c r="Y282">
        <v>300</v>
      </c>
      <c r="Z282">
        <v>9910.65</v>
      </c>
      <c r="AA282">
        <v>300</v>
      </c>
      <c r="AB282" s="6">
        <v>46147.586030092592</v>
      </c>
      <c r="AC282" s="6">
        <v>25569.229166666668</v>
      </c>
    </row>
    <row r="283" spans="1:29" x14ac:dyDescent="0.25">
      <c r="A283" t="s">
        <v>8</v>
      </c>
      <c r="B283" s="5">
        <v>46168</v>
      </c>
      <c r="C283" t="s">
        <v>54</v>
      </c>
      <c r="D283" t="s">
        <v>339</v>
      </c>
      <c r="E283">
        <v>9808386</v>
      </c>
      <c r="F283" t="s">
        <v>56</v>
      </c>
      <c r="G283" t="s">
        <v>57</v>
      </c>
      <c r="H283">
        <v>45700</v>
      </c>
      <c r="I283" t="s">
        <v>60</v>
      </c>
      <c r="J283">
        <v>10.5</v>
      </c>
      <c r="K283">
        <v>-9.8712446351931344</v>
      </c>
      <c r="L283">
        <v>60</v>
      </c>
      <c r="M283">
        <v>12.81</v>
      </c>
      <c r="N283">
        <v>330</v>
      </c>
      <c r="O283">
        <v>20040</v>
      </c>
      <c r="P283">
        <v>3870</v>
      </c>
      <c r="Q283">
        <v>570</v>
      </c>
      <c r="R283">
        <v>570</v>
      </c>
      <c r="S283">
        <v>420</v>
      </c>
      <c r="T283">
        <v>8</v>
      </c>
      <c r="U283">
        <v>16.95</v>
      </c>
      <c r="V283">
        <v>8</v>
      </c>
      <c r="W283">
        <v>11.65</v>
      </c>
      <c r="X283">
        <v>10.55</v>
      </c>
      <c r="Y283">
        <v>300</v>
      </c>
      <c r="Z283">
        <v>15.95</v>
      </c>
      <c r="AA283">
        <v>90</v>
      </c>
      <c r="AB283" s="6">
        <v>46147.585057870368</v>
      </c>
      <c r="AC283" s="6">
        <v>46147.499212962961</v>
      </c>
    </row>
    <row r="284" spans="1:29" x14ac:dyDescent="0.25">
      <c r="A284" t="s">
        <v>8</v>
      </c>
      <c r="B284" s="5">
        <v>46168</v>
      </c>
      <c r="C284" t="s">
        <v>54</v>
      </c>
      <c r="D284" t="s">
        <v>340</v>
      </c>
      <c r="E284">
        <v>9808898</v>
      </c>
      <c r="F284" t="s">
        <v>56</v>
      </c>
      <c r="G284" t="s">
        <v>57</v>
      </c>
      <c r="H284">
        <v>45800</v>
      </c>
      <c r="I284" t="s">
        <v>58</v>
      </c>
      <c r="J284">
        <v>15450.65</v>
      </c>
      <c r="K284">
        <v>0</v>
      </c>
      <c r="L284">
        <v>0</v>
      </c>
      <c r="M284">
        <v>0</v>
      </c>
      <c r="N284">
        <v>0</v>
      </c>
      <c r="O284">
        <v>2970</v>
      </c>
      <c r="P284">
        <v>2970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15450.65</v>
      </c>
      <c r="X284">
        <v>8185.4</v>
      </c>
      <c r="Y284">
        <v>360</v>
      </c>
      <c r="Z284">
        <v>9779.65</v>
      </c>
      <c r="AA284">
        <v>300</v>
      </c>
      <c r="AB284" s="6">
        <v>46147.586469907408</v>
      </c>
      <c r="AC284" s="6">
        <v>25569.229166666668</v>
      </c>
    </row>
    <row r="285" spans="1:29" x14ac:dyDescent="0.25">
      <c r="A285" t="s">
        <v>8</v>
      </c>
      <c r="B285" s="5">
        <v>46168</v>
      </c>
      <c r="C285" t="s">
        <v>54</v>
      </c>
      <c r="D285" t="s">
        <v>341</v>
      </c>
      <c r="E285">
        <v>9809154</v>
      </c>
      <c r="F285" t="s">
        <v>56</v>
      </c>
      <c r="G285" t="s">
        <v>57</v>
      </c>
      <c r="H285">
        <v>45800</v>
      </c>
      <c r="I285" t="s">
        <v>60</v>
      </c>
      <c r="J285">
        <v>11.15</v>
      </c>
      <c r="K285">
        <v>-11.857707509881422</v>
      </c>
      <c r="L285">
        <v>30</v>
      </c>
      <c r="M285">
        <v>12.65</v>
      </c>
      <c r="N285">
        <v>1080</v>
      </c>
      <c r="O285">
        <v>22140</v>
      </c>
      <c r="P285">
        <v>4830</v>
      </c>
      <c r="Q285">
        <v>2070</v>
      </c>
      <c r="R285">
        <v>2100</v>
      </c>
      <c r="S285">
        <v>1800</v>
      </c>
      <c r="T285">
        <v>13.4</v>
      </c>
      <c r="U285">
        <v>16.600000000000001</v>
      </c>
      <c r="V285">
        <v>10.3</v>
      </c>
      <c r="W285">
        <v>12.65</v>
      </c>
      <c r="X285">
        <v>10.199999999999999</v>
      </c>
      <c r="Y285">
        <v>300</v>
      </c>
      <c r="Z285">
        <v>15.15</v>
      </c>
      <c r="AA285">
        <v>420</v>
      </c>
      <c r="AB285" s="6">
        <v>46147.586469907408</v>
      </c>
      <c r="AC285" s="6">
        <v>46147.459050925929</v>
      </c>
    </row>
    <row r="286" spans="1:29" x14ac:dyDescent="0.25">
      <c r="A286" t="s">
        <v>8</v>
      </c>
      <c r="B286" s="5">
        <v>46168</v>
      </c>
      <c r="C286" t="s">
        <v>54</v>
      </c>
      <c r="D286" t="s">
        <v>342</v>
      </c>
      <c r="E286">
        <v>9809666</v>
      </c>
      <c r="F286" t="s">
        <v>56</v>
      </c>
      <c r="G286" t="s">
        <v>57</v>
      </c>
      <c r="H286">
        <v>45900</v>
      </c>
      <c r="I286" t="s">
        <v>58</v>
      </c>
      <c r="J286">
        <v>15352.25</v>
      </c>
      <c r="K286">
        <v>0</v>
      </c>
      <c r="L286">
        <v>0</v>
      </c>
      <c r="M286">
        <v>0</v>
      </c>
      <c r="N286">
        <v>0</v>
      </c>
      <c r="O286">
        <v>2970</v>
      </c>
      <c r="P286">
        <v>2970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15352.25</v>
      </c>
      <c r="X286">
        <v>8089.45</v>
      </c>
      <c r="Y286">
        <v>300</v>
      </c>
      <c r="Z286">
        <v>9655.25</v>
      </c>
      <c r="AA286">
        <v>300</v>
      </c>
      <c r="AB286" s="6">
        <v>46147.586030092592</v>
      </c>
      <c r="AC286" s="6">
        <v>25569.229166666668</v>
      </c>
    </row>
    <row r="287" spans="1:29" x14ac:dyDescent="0.25">
      <c r="A287" t="s">
        <v>8</v>
      </c>
      <c r="B287" s="5">
        <v>46168</v>
      </c>
      <c r="C287" t="s">
        <v>54</v>
      </c>
      <c r="D287" t="s">
        <v>343</v>
      </c>
      <c r="E287">
        <v>9809922</v>
      </c>
      <c r="F287" t="s">
        <v>56</v>
      </c>
      <c r="G287" t="s">
        <v>57</v>
      </c>
      <c r="H287">
        <v>45900</v>
      </c>
      <c r="I287" t="s">
        <v>60</v>
      </c>
      <c r="J287">
        <v>12.35</v>
      </c>
      <c r="K287">
        <v>0</v>
      </c>
      <c r="L287">
        <v>30</v>
      </c>
      <c r="M287">
        <v>0</v>
      </c>
      <c r="N287">
        <v>0</v>
      </c>
      <c r="O287">
        <v>19020</v>
      </c>
      <c r="P287">
        <v>17340</v>
      </c>
      <c r="Q287">
        <v>1290</v>
      </c>
      <c r="R287">
        <v>1290</v>
      </c>
      <c r="S287">
        <v>1290</v>
      </c>
      <c r="T287">
        <v>0</v>
      </c>
      <c r="U287">
        <v>0</v>
      </c>
      <c r="V287">
        <v>0</v>
      </c>
      <c r="W287">
        <v>12.35</v>
      </c>
      <c r="X287">
        <v>9.9</v>
      </c>
      <c r="Y287">
        <v>300</v>
      </c>
      <c r="Z287">
        <v>17.100000000000001</v>
      </c>
      <c r="AA287">
        <v>90</v>
      </c>
      <c r="AB287" s="6">
        <v>46147.585532407407</v>
      </c>
      <c r="AC287" s="6">
        <v>46146.645601851851</v>
      </c>
    </row>
    <row r="288" spans="1:29" x14ac:dyDescent="0.25">
      <c r="A288" t="s">
        <v>8</v>
      </c>
      <c r="B288" s="5">
        <v>46168</v>
      </c>
      <c r="C288" t="s">
        <v>54</v>
      </c>
      <c r="D288" t="s">
        <v>344</v>
      </c>
      <c r="E288">
        <v>17017090</v>
      </c>
      <c r="F288" t="s">
        <v>56</v>
      </c>
      <c r="G288" t="s">
        <v>57</v>
      </c>
      <c r="H288">
        <v>46000</v>
      </c>
      <c r="I288" t="s">
        <v>58</v>
      </c>
      <c r="J288">
        <v>9080.75</v>
      </c>
      <c r="K288">
        <v>0</v>
      </c>
      <c r="L288">
        <v>30</v>
      </c>
      <c r="M288">
        <v>0</v>
      </c>
      <c r="N288">
        <v>0</v>
      </c>
      <c r="O288">
        <v>4590</v>
      </c>
      <c r="P288">
        <v>4950</v>
      </c>
      <c r="Q288">
        <v>25260</v>
      </c>
      <c r="R288">
        <v>25260</v>
      </c>
      <c r="S288">
        <v>25260</v>
      </c>
      <c r="T288">
        <v>0</v>
      </c>
      <c r="U288">
        <v>0</v>
      </c>
      <c r="V288">
        <v>0</v>
      </c>
      <c r="W288">
        <v>9080.75</v>
      </c>
      <c r="X288">
        <v>8699.85</v>
      </c>
      <c r="Y288">
        <v>60</v>
      </c>
      <c r="Z288">
        <v>9092.65</v>
      </c>
      <c r="AA288">
        <v>300</v>
      </c>
      <c r="AB288" s="6">
        <v>46147.586053240739</v>
      </c>
      <c r="AC288" s="6">
        <v>46146.64503472222</v>
      </c>
    </row>
    <row r="289" spans="1:29" x14ac:dyDescent="0.25">
      <c r="A289" t="s">
        <v>8</v>
      </c>
      <c r="B289" s="5">
        <v>46168</v>
      </c>
      <c r="C289" t="s">
        <v>54</v>
      </c>
      <c r="D289" t="s">
        <v>345</v>
      </c>
      <c r="E289">
        <v>17017346</v>
      </c>
      <c r="F289" t="s">
        <v>56</v>
      </c>
      <c r="G289" t="s">
        <v>57</v>
      </c>
      <c r="H289">
        <v>46000</v>
      </c>
      <c r="I289" t="s">
        <v>60</v>
      </c>
      <c r="J289">
        <v>12.7</v>
      </c>
      <c r="K289">
        <v>1.1952191235059646</v>
      </c>
      <c r="L289">
        <v>60</v>
      </c>
      <c r="M289">
        <v>13</v>
      </c>
      <c r="N289">
        <v>25020</v>
      </c>
      <c r="O289">
        <v>113340</v>
      </c>
      <c r="P289">
        <v>6900</v>
      </c>
      <c r="Q289">
        <v>52980</v>
      </c>
      <c r="R289">
        <v>52980</v>
      </c>
      <c r="S289">
        <v>51210</v>
      </c>
      <c r="T289">
        <v>17.649999999999999</v>
      </c>
      <c r="U289">
        <v>17.649999999999999</v>
      </c>
      <c r="V289">
        <v>11.55</v>
      </c>
      <c r="W289">
        <v>12.55</v>
      </c>
      <c r="X289">
        <v>11.85</v>
      </c>
      <c r="Y289">
        <v>180</v>
      </c>
      <c r="Z289">
        <v>13</v>
      </c>
      <c r="AA289">
        <v>60</v>
      </c>
      <c r="AB289" s="6">
        <v>46147.586053240739</v>
      </c>
      <c r="AC289" s="6">
        <v>46147.585231481484</v>
      </c>
    </row>
    <row r="290" spans="1:29" x14ac:dyDescent="0.25">
      <c r="A290" t="s">
        <v>8</v>
      </c>
      <c r="B290" s="5">
        <v>46168</v>
      </c>
      <c r="C290" t="s">
        <v>54</v>
      </c>
      <c r="D290" t="s">
        <v>346</v>
      </c>
      <c r="E290">
        <v>17017602</v>
      </c>
      <c r="F290" t="s">
        <v>56</v>
      </c>
      <c r="G290" t="s">
        <v>57</v>
      </c>
      <c r="H290">
        <v>46100</v>
      </c>
      <c r="I290" t="s">
        <v>58</v>
      </c>
      <c r="J290">
        <v>15706.55</v>
      </c>
      <c r="K290">
        <v>0</v>
      </c>
      <c r="L290">
        <v>0</v>
      </c>
      <c r="M290">
        <v>0</v>
      </c>
      <c r="N290">
        <v>0</v>
      </c>
      <c r="O290">
        <v>2970</v>
      </c>
      <c r="P290">
        <v>2970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15706.55</v>
      </c>
      <c r="X290">
        <v>7907.8</v>
      </c>
      <c r="Y290">
        <v>1170</v>
      </c>
      <c r="Z290">
        <v>9442.7000000000007</v>
      </c>
      <c r="AA290">
        <v>300</v>
      </c>
      <c r="AB290" s="6">
        <v>46147.586168981485</v>
      </c>
      <c r="AC290" s="6">
        <v>25569.229166666668</v>
      </c>
    </row>
    <row r="291" spans="1:29" x14ac:dyDescent="0.25">
      <c r="A291" t="s">
        <v>8</v>
      </c>
      <c r="B291" s="5">
        <v>46168</v>
      </c>
      <c r="C291" t="s">
        <v>54</v>
      </c>
      <c r="D291" t="s">
        <v>347</v>
      </c>
      <c r="E291">
        <v>17017858</v>
      </c>
      <c r="F291" t="s">
        <v>56</v>
      </c>
      <c r="G291" t="s">
        <v>57</v>
      </c>
      <c r="H291">
        <v>46100</v>
      </c>
      <c r="I291" t="s">
        <v>60</v>
      </c>
      <c r="J291">
        <v>13.65</v>
      </c>
      <c r="K291">
        <v>-14.953271028037385</v>
      </c>
      <c r="L291">
        <v>60</v>
      </c>
      <c r="M291">
        <v>14.61</v>
      </c>
      <c r="N291">
        <v>120</v>
      </c>
      <c r="O291">
        <v>36900</v>
      </c>
      <c r="P291">
        <v>15810</v>
      </c>
      <c r="Q291">
        <v>1260</v>
      </c>
      <c r="R291">
        <v>1290</v>
      </c>
      <c r="S291">
        <v>1260</v>
      </c>
      <c r="T291">
        <v>15.2</v>
      </c>
      <c r="U291">
        <v>15.95</v>
      </c>
      <c r="V291">
        <v>13.65</v>
      </c>
      <c r="W291">
        <v>16.05</v>
      </c>
      <c r="X291">
        <v>11.75</v>
      </c>
      <c r="Y291">
        <v>300</v>
      </c>
      <c r="Z291">
        <v>18.25</v>
      </c>
      <c r="AA291">
        <v>600</v>
      </c>
      <c r="AB291" s="6">
        <v>46147.583148148151</v>
      </c>
      <c r="AC291" s="6">
        <v>46147.541284722225</v>
      </c>
    </row>
    <row r="292" spans="1:29" x14ac:dyDescent="0.25">
      <c r="A292" t="s">
        <v>8</v>
      </c>
      <c r="B292" s="5">
        <v>46168</v>
      </c>
      <c r="C292" t="s">
        <v>54</v>
      </c>
      <c r="D292" t="s">
        <v>348</v>
      </c>
      <c r="E292">
        <v>17018114</v>
      </c>
      <c r="F292" t="s">
        <v>56</v>
      </c>
      <c r="G292" t="s">
        <v>57</v>
      </c>
      <c r="H292">
        <v>46200</v>
      </c>
      <c r="I292" t="s">
        <v>58</v>
      </c>
      <c r="J292">
        <v>15608.2</v>
      </c>
      <c r="K292">
        <v>0</v>
      </c>
      <c r="L292">
        <v>0</v>
      </c>
      <c r="M292">
        <v>0</v>
      </c>
      <c r="N292">
        <v>0</v>
      </c>
      <c r="O292">
        <v>2970</v>
      </c>
      <c r="P292">
        <v>2970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15608.2</v>
      </c>
      <c r="X292">
        <v>7817.85</v>
      </c>
      <c r="Y292">
        <v>300</v>
      </c>
      <c r="Z292">
        <v>9310.9</v>
      </c>
      <c r="AA292">
        <v>300</v>
      </c>
      <c r="AB292" s="6">
        <v>46147.586064814815</v>
      </c>
      <c r="AC292" s="6">
        <v>25569.229166666668</v>
      </c>
    </row>
    <row r="293" spans="1:29" x14ac:dyDescent="0.25">
      <c r="A293" t="s">
        <v>8</v>
      </c>
      <c r="B293" s="5">
        <v>46168</v>
      </c>
      <c r="C293" t="s">
        <v>54</v>
      </c>
      <c r="D293" t="s">
        <v>349</v>
      </c>
      <c r="E293">
        <v>17018370</v>
      </c>
      <c r="F293" t="s">
        <v>56</v>
      </c>
      <c r="G293" t="s">
        <v>57</v>
      </c>
      <c r="H293">
        <v>46200</v>
      </c>
      <c r="I293" t="s">
        <v>60</v>
      </c>
      <c r="J293">
        <v>13</v>
      </c>
      <c r="K293">
        <v>0</v>
      </c>
      <c r="L293">
        <v>30</v>
      </c>
      <c r="M293">
        <v>0</v>
      </c>
      <c r="N293">
        <v>0</v>
      </c>
      <c r="O293">
        <v>22740</v>
      </c>
      <c r="P293">
        <v>6180</v>
      </c>
      <c r="Q293">
        <v>1200</v>
      </c>
      <c r="R293">
        <v>1200</v>
      </c>
      <c r="S293">
        <v>1200</v>
      </c>
      <c r="T293">
        <v>0</v>
      </c>
      <c r="U293">
        <v>0</v>
      </c>
      <c r="V293">
        <v>0</v>
      </c>
      <c r="W293">
        <v>13</v>
      </c>
      <c r="X293">
        <v>11.25</v>
      </c>
      <c r="Y293">
        <v>210</v>
      </c>
      <c r="Z293">
        <v>20.2</v>
      </c>
      <c r="AA293">
        <v>30</v>
      </c>
      <c r="AB293" s="6">
        <v>46147.585972222223</v>
      </c>
      <c r="AC293" s="6">
        <v>46146.645740740743</v>
      </c>
    </row>
    <row r="294" spans="1:29" x14ac:dyDescent="0.25">
      <c r="A294" t="s">
        <v>8</v>
      </c>
      <c r="B294" s="5">
        <v>46168</v>
      </c>
      <c r="C294" t="s">
        <v>54</v>
      </c>
      <c r="D294" t="s">
        <v>350</v>
      </c>
      <c r="E294">
        <v>17018882</v>
      </c>
      <c r="F294" t="s">
        <v>56</v>
      </c>
      <c r="G294" t="s">
        <v>57</v>
      </c>
      <c r="H294">
        <v>46300</v>
      </c>
      <c r="I294" t="s">
        <v>58</v>
      </c>
      <c r="J294">
        <v>15509.85</v>
      </c>
      <c r="K294">
        <v>0</v>
      </c>
      <c r="L294">
        <v>0</v>
      </c>
      <c r="M294">
        <v>0</v>
      </c>
      <c r="N294">
        <v>0</v>
      </c>
      <c r="O294">
        <v>2970</v>
      </c>
      <c r="P294">
        <v>2970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15509.85</v>
      </c>
      <c r="X294">
        <v>7722</v>
      </c>
      <c r="Y294">
        <v>1170</v>
      </c>
      <c r="Z294">
        <v>9219.0499999999993</v>
      </c>
      <c r="AA294">
        <v>300</v>
      </c>
      <c r="AB294" s="6">
        <v>46147.586168981485</v>
      </c>
      <c r="AC294" s="6">
        <v>25569.229166666668</v>
      </c>
    </row>
    <row r="295" spans="1:29" x14ac:dyDescent="0.25">
      <c r="A295" t="s">
        <v>8</v>
      </c>
      <c r="B295" s="5">
        <v>46168</v>
      </c>
      <c r="C295" t="s">
        <v>54</v>
      </c>
      <c r="D295" t="s">
        <v>351</v>
      </c>
      <c r="E295">
        <v>17019138</v>
      </c>
      <c r="F295" t="s">
        <v>56</v>
      </c>
      <c r="G295" t="s">
        <v>57</v>
      </c>
      <c r="H295">
        <v>46300</v>
      </c>
      <c r="I295" t="s">
        <v>60</v>
      </c>
      <c r="J295">
        <v>13.05</v>
      </c>
      <c r="K295">
        <v>-26.271186440677962</v>
      </c>
      <c r="L295">
        <v>150</v>
      </c>
      <c r="M295">
        <v>14.22</v>
      </c>
      <c r="N295">
        <v>360</v>
      </c>
      <c r="O295">
        <v>24630</v>
      </c>
      <c r="P295">
        <v>7080</v>
      </c>
      <c r="Q295">
        <v>1110</v>
      </c>
      <c r="R295">
        <v>1230</v>
      </c>
      <c r="S295">
        <v>1110</v>
      </c>
      <c r="T295">
        <v>17.649999999999999</v>
      </c>
      <c r="U295">
        <v>17.7</v>
      </c>
      <c r="V295">
        <v>12</v>
      </c>
      <c r="W295">
        <v>17.7</v>
      </c>
      <c r="X295">
        <v>12.35</v>
      </c>
      <c r="Y295">
        <v>300</v>
      </c>
      <c r="Z295">
        <v>17.600000000000001</v>
      </c>
      <c r="AA295">
        <v>60</v>
      </c>
      <c r="AB295" s="6">
        <v>46147.5859837963</v>
      </c>
      <c r="AC295" s="6">
        <v>46147.555520833332</v>
      </c>
    </row>
    <row r="296" spans="1:29" x14ac:dyDescent="0.25">
      <c r="A296" t="s">
        <v>8</v>
      </c>
      <c r="B296" s="5">
        <v>46168</v>
      </c>
      <c r="C296" t="s">
        <v>54</v>
      </c>
      <c r="D296" t="s">
        <v>352</v>
      </c>
      <c r="E296">
        <v>17019394</v>
      </c>
      <c r="F296" t="s">
        <v>56</v>
      </c>
      <c r="G296" t="s">
        <v>57</v>
      </c>
      <c r="H296">
        <v>46400</v>
      </c>
      <c r="I296" t="s">
        <v>58</v>
      </c>
      <c r="J296">
        <v>15411.5</v>
      </c>
      <c r="K296">
        <v>0</v>
      </c>
      <c r="L296">
        <v>0</v>
      </c>
      <c r="M296">
        <v>0</v>
      </c>
      <c r="N296">
        <v>0</v>
      </c>
      <c r="O296">
        <v>2970</v>
      </c>
      <c r="P296">
        <v>2970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15411.5</v>
      </c>
      <c r="X296">
        <v>7624.85</v>
      </c>
      <c r="Y296">
        <v>300</v>
      </c>
      <c r="Z296">
        <v>9098.2000000000007</v>
      </c>
      <c r="AA296">
        <v>1170</v>
      </c>
      <c r="AB296" s="6">
        <v>46147.586064814815</v>
      </c>
      <c r="AC296" s="6">
        <v>25569.229166666668</v>
      </c>
    </row>
    <row r="297" spans="1:29" x14ac:dyDescent="0.25">
      <c r="A297" t="s">
        <v>8</v>
      </c>
      <c r="B297" s="5">
        <v>46168</v>
      </c>
      <c r="C297" t="s">
        <v>54</v>
      </c>
      <c r="D297" t="s">
        <v>353</v>
      </c>
      <c r="E297">
        <v>17019650</v>
      </c>
      <c r="F297" t="s">
        <v>56</v>
      </c>
      <c r="G297" t="s">
        <v>57</v>
      </c>
      <c r="H297">
        <v>46400</v>
      </c>
      <c r="I297" t="s">
        <v>60</v>
      </c>
      <c r="J297">
        <v>14.1</v>
      </c>
      <c r="K297">
        <v>1.8050541516245489</v>
      </c>
      <c r="L297">
        <v>30</v>
      </c>
      <c r="M297">
        <v>14.04</v>
      </c>
      <c r="N297">
        <v>210</v>
      </c>
      <c r="O297">
        <v>22890</v>
      </c>
      <c r="P297">
        <v>9000</v>
      </c>
      <c r="Q297">
        <v>1140</v>
      </c>
      <c r="R297">
        <v>1140</v>
      </c>
      <c r="S297">
        <v>1080</v>
      </c>
      <c r="T297">
        <v>12.5</v>
      </c>
      <c r="U297">
        <v>18.399999999999999</v>
      </c>
      <c r="V297">
        <v>12.5</v>
      </c>
      <c r="W297">
        <v>13.85</v>
      </c>
      <c r="X297">
        <v>13.4</v>
      </c>
      <c r="Y297">
        <v>300</v>
      </c>
      <c r="Z297">
        <v>18</v>
      </c>
      <c r="AA297">
        <v>30</v>
      </c>
      <c r="AB297" s="6">
        <v>46147.583449074074</v>
      </c>
      <c r="AC297" s="6">
        <v>46147.576203703706</v>
      </c>
    </row>
    <row r="298" spans="1:29" x14ac:dyDescent="0.25">
      <c r="A298" t="s">
        <v>8</v>
      </c>
      <c r="B298" s="5">
        <v>46168</v>
      </c>
      <c r="C298" t="s">
        <v>54</v>
      </c>
      <c r="D298" t="s">
        <v>354</v>
      </c>
      <c r="E298">
        <v>17030914</v>
      </c>
      <c r="F298" t="s">
        <v>56</v>
      </c>
      <c r="G298" t="s">
        <v>57</v>
      </c>
      <c r="H298">
        <v>46500</v>
      </c>
      <c r="I298" t="s">
        <v>58</v>
      </c>
      <c r="J298">
        <v>10600</v>
      </c>
      <c r="K298">
        <v>0</v>
      </c>
      <c r="L298">
        <v>30</v>
      </c>
      <c r="M298">
        <v>0</v>
      </c>
      <c r="N298">
        <v>0</v>
      </c>
      <c r="O298">
        <v>3690</v>
      </c>
      <c r="P298">
        <v>3750</v>
      </c>
      <c r="Q298">
        <v>3240</v>
      </c>
      <c r="R298">
        <v>3240</v>
      </c>
      <c r="S298">
        <v>3240</v>
      </c>
      <c r="T298">
        <v>0</v>
      </c>
      <c r="U298">
        <v>0</v>
      </c>
      <c r="V298">
        <v>0</v>
      </c>
      <c r="W298">
        <v>10600</v>
      </c>
      <c r="X298">
        <v>7962.95</v>
      </c>
      <c r="Y298">
        <v>300</v>
      </c>
      <c r="Z298">
        <v>8768.2000000000007</v>
      </c>
      <c r="AA298">
        <v>300</v>
      </c>
      <c r="AB298" s="6">
        <v>46147.586168981485</v>
      </c>
      <c r="AC298" s="6">
        <v>46135.42324074074</v>
      </c>
    </row>
    <row r="299" spans="1:29" x14ac:dyDescent="0.25">
      <c r="A299" t="s">
        <v>8</v>
      </c>
      <c r="B299" s="5">
        <v>46168</v>
      </c>
      <c r="C299" t="s">
        <v>54</v>
      </c>
      <c r="D299" t="s">
        <v>355</v>
      </c>
      <c r="E299">
        <v>17031170</v>
      </c>
      <c r="F299" t="s">
        <v>56</v>
      </c>
      <c r="G299" t="s">
        <v>57</v>
      </c>
      <c r="H299">
        <v>46500</v>
      </c>
      <c r="I299" t="s">
        <v>60</v>
      </c>
      <c r="J299">
        <v>15</v>
      </c>
      <c r="K299">
        <v>-5.0632911392405102</v>
      </c>
      <c r="L299">
        <v>30</v>
      </c>
      <c r="M299">
        <v>16.82</v>
      </c>
      <c r="N299">
        <v>22050</v>
      </c>
      <c r="O299">
        <v>112050</v>
      </c>
      <c r="P299">
        <v>6060</v>
      </c>
      <c r="Q299">
        <v>20670</v>
      </c>
      <c r="R299">
        <v>20820</v>
      </c>
      <c r="S299">
        <v>14490</v>
      </c>
      <c r="T299">
        <v>17.899999999999999</v>
      </c>
      <c r="U299">
        <v>20.05</v>
      </c>
      <c r="V299">
        <v>14.1</v>
      </c>
      <c r="W299">
        <v>15.8</v>
      </c>
      <c r="X299">
        <v>14.95</v>
      </c>
      <c r="Y299">
        <v>60</v>
      </c>
      <c r="Z299">
        <v>15</v>
      </c>
      <c r="AA299">
        <v>540</v>
      </c>
      <c r="AB299" s="6">
        <v>46147.586168981485</v>
      </c>
      <c r="AC299" s="6">
        <v>46147.585810185185</v>
      </c>
    </row>
    <row r="300" spans="1:29" x14ac:dyDescent="0.25">
      <c r="A300" t="s">
        <v>8</v>
      </c>
      <c r="B300" s="5">
        <v>46168</v>
      </c>
      <c r="C300" t="s">
        <v>54</v>
      </c>
      <c r="D300" t="s">
        <v>356</v>
      </c>
      <c r="E300">
        <v>17031426</v>
      </c>
      <c r="F300" t="s">
        <v>56</v>
      </c>
      <c r="G300" t="s">
        <v>57</v>
      </c>
      <c r="H300">
        <v>46600</v>
      </c>
      <c r="I300" t="s">
        <v>58</v>
      </c>
      <c r="J300">
        <v>15214.8</v>
      </c>
      <c r="K300">
        <v>0</v>
      </c>
      <c r="L300">
        <v>0</v>
      </c>
      <c r="M300">
        <v>0</v>
      </c>
      <c r="N300">
        <v>0</v>
      </c>
      <c r="O300">
        <v>2970</v>
      </c>
      <c r="P300">
        <v>2970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15214.8</v>
      </c>
      <c r="X300">
        <v>7448.5</v>
      </c>
      <c r="Y300">
        <v>300</v>
      </c>
      <c r="Z300">
        <v>8888.4500000000007</v>
      </c>
      <c r="AA300">
        <v>300</v>
      </c>
      <c r="AB300" s="6">
        <v>46147.586064814815</v>
      </c>
      <c r="AC300" s="6">
        <v>25569.229166666668</v>
      </c>
    </row>
    <row r="301" spans="1:29" x14ac:dyDescent="0.25">
      <c r="A301" t="s">
        <v>8</v>
      </c>
      <c r="B301" s="5">
        <v>46168</v>
      </c>
      <c r="C301" t="s">
        <v>54</v>
      </c>
      <c r="D301" t="s">
        <v>357</v>
      </c>
      <c r="E301">
        <v>17031682</v>
      </c>
      <c r="F301" t="s">
        <v>56</v>
      </c>
      <c r="G301" t="s">
        <v>57</v>
      </c>
      <c r="H301">
        <v>46600</v>
      </c>
      <c r="I301" t="s">
        <v>60</v>
      </c>
      <c r="J301">
        <v>15.35</v>
      </c>
      <c r="K301">
        <v>-5.246913580246912</v>
      </c>
      <c r="L301">
        <v>60</v>
      </c>
      <c r="M301">
        <v>16.29</v>
      </c>
      <c r="N301">
        <v>2280</v>
      </c>
      <c r="O301">
        <v>34680</v>
      </c>
      <c r="P301">
        <v>4380</v>
      </c>
      <c r="Q301">
        <v>1800</v>
      </c>
      <c r="R301">
        <v>1800</v>
      </c>
      <c r="S301">
        <v>1230</v>
      </c>
      <c r="T301">
        <v>14.75</v>
      </c>
      <c r="U301">
        <v>20.149999999999999</v>
      </c>
      <c r="V301">
        <v>14.2</v>
      </c>
      <c r="W301">
        <v>16.2</v>
      </c>
      <c r="X301">
        <v>14.35</v>
      </c>
      <c r="Y301">
        <v>240</v>
      </c>
      <c r="Z301">
        <v>23.1</v>
      </c>
      <c r="AA301">
        <v>480</v>
      </c>
      <c r="AB301" s="6">
        <v>46147.586064814815</v>
      </c>
      <c r="AC301" s="6">
        <v>46147.566701388889</v>
      </c>
    </row>
    <row r="302" spans="1:29" x14ac:dyDescent="0.25">
      <c r="A302" t="s">
        <v>8</v>
      </c>
      <c r="B302" s="5">
        <v>46168</v>
      </c>
      <c r="C302" t="s">
        <v>54</v>
      </c>
      <c r="D302" t="s">
        <v>358</v>
      </c>
      <c r="E302">
        <v>17031938</v>
      </c>
      <c r="F302" t="s">
        <v>56</v>
      </c>
      <c r="G302" t="s">
        <v>57</v>
      </c>
      <c r="H302">
        <v>46700</v>
      </c>
      <c r="I302" t="s">
        <v>58</v>
      </c>
      <c r="J302">
        <v>15116.5</v>
      </c>
      <c r="K302">
        <v>0</v>
      </c>
      <c r="L302">
        <v>0</v>
      </c>
      <c r="M302">
        <v>0</v>
      </c>
      <c r="N302">
        <v>0</v>
      </c>
      <c r="O302">
        <v>2970</v>
      </c>
      <c r="P302">
        <v>2670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15116.5</v>
      </c>
      <c r="X302">
        <v>7344</v>
      </c>
      <c r="Y302">
        <v>360</v>
      </c>
      <c r="Z302">
        <v>8918.7999999999993</v>
      </c>
      <c r="AA302">
        <v>870</v>
      </c>
      <c r="AB302" s="6">
        <v>46147.586168981485</v>
      </c>
      <c r="AC302" s="6">
        <v>25569.229166666668</v>
      </c>
    </row>
    <row r="303" spans="1:29" x14ac:dyDescent="0.25">
      <c r="A303" t="s">
        <v>8</v>
      </c>
      <c r="B303" s="5">
        <v>46168</v>
      </c>
      <c r="C303" t="s">
        <v>54</v>
      </c>
      <c r="D303" t="s">
        <v>359</v>
      </c>
      <c r="E303">
        <v>17037314</v>
      </c>
      <c r="F303" t="s">
        <v>56</v>
      </c>
      <c r="G303" t="s">
        <v>57</v>
      </c>
      <c r="H303">
        <v>46700</v>
      </c>
      <c r="I303" t="s">
        <v>60</v>
      </c>
      <c r="J303">
        <v>20.55</v>
      </c>
      <c r="K303">
        <v>13600.000000000002</v>
      </c>
      <c r="L303">
        <v>60</v>
      </c>
      <c r="M303">
        <v>20.22</v>
      </c>
      <c r="N303">
        <v>210</v>
      </c>
      <c r="O303">
        <v>24570</v>
      </c>
      <c r="P303">
        <v>60</v>
      </c>
      <c r="Q303">
        <v>150</v>
      </c>
      <c r="R303">
        <v>150</v>
      </c>
      <c r="S303">
        <v>150</v>
      </c>
      <c r="T303">
        <v>20.100000000000001</v>
      </c>
      <c r="U303">
        <v>20.55</v>
      </c>
      <c r="V303">
        <v>20.100000000000001</v>
      </c>
      <c r="W303">
        <v>0.15</v>
      </c>
      <c r="X303">
        <v>13.85</v>
      </c>
      <c r="Y303">
        <v>60</v>
      </c>
      <c r="Z303">
        <v>20.55</v>
      </c>
      <c r="AA303">
        <v>60</v>
      </c>
      <c r="AB303" s="6">
        <v>46147.586168981485</v>
      </c>
      <c r="AC303" s="6">
        <v>46147.566122685188</v>
      </c>
    </row>
    <row r="304" spans="1:29" x14ac:dyDescent="0.25">
      <c r="A304" t="s">
        <v>8</v>
      </c>
      <c r="B304" s="5">
        <v>46168</v>
      </c>
      <c r="C304" t="s">
        <v>54</v>
      </c>
      <c r="D304" t="s">
        <v>360</v>
      </c>
      <c r="E304">
        <v>17037570</v>
      </c>
      <c r="F304" t="s">
        <v>56</v>
      </c>
      <c r="G304" t="s">
        <v>57</v>
      </c>
      <c r="H304">
        <v>46800</v>
      </c>
      <c r="I304" t="s">
        <v>58</v>
      </c>
      <c r="J304">
        <v>15018.15</v>
      </c>
      <c r="K304">
        <v>0</v>
      </c>
      <c r="L304">
        <v>0</v>
      </c>
      <c r="M304">
        <v>0</v>
      </c>
      <c r="N304">
        <v>0</v>
      </c>
      <c r="O304">
        <v>2970</v>
      </c>
      <c r="P304">
        <v>2670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15018.15</v>
      </c>
      <c r="X304">
        <v>7262.75</v>
      </c>
      <c r="Y304">
        <v>300</v>
      </c>
      <c r="Z304">
        <v>8940.4</v>
      </c>
      <c r="AA304">
        <v>870</v>
      </c>
      <c r="AB304" s="6">
        <v>46147.586064814815</v>
      </c>
      <c r="AC304" s="6">
        <v>25569.229166666668</v>
      </c>
    </row>
    <row r="305" spans="1:29" x14ac:dyDescent="0.25">
      <c r="A305" t="s">
        <v>8</v>
      </c>
      <c r="B305" s="5">
        <v>46168</v>
      </c>
      <c r="C305" t="s">
        <v>54</v>
      </c>
      <c r="D305" t="s">
        <v>361</v>
      </c>
      <c r="E305">
        <v>17038338</v>
      </c>
      <c r="F305" t="s">
        <v>56</v>
      </c>
      <c r="G305" t="s">
        <v>57</v>
      </c>
      <c r="H305">
        <v>46800</v>
      </c>
      <c r="I305" t="s">
        <v>60</v>
      </c>
      <c r="J305">
        <v>20.65</v>
      </c>
      <c r="K305">
        <v>10225</v>
      </c>
      <c r="L305">
        <v>30</v>
      </c>
      <c r="M305">
        <v>20.27</v>
      </c>
      <c r="N305">
        <v>180</v>
      </c>
      <c r="O305">
        <v>23640</v>
      </c>
      <c r="P305">
        <v>60</v>
      </c>
      <c r="Q305">
        <v>150</v>
      </c>
      <c r="R305">
        <v>150</v>
      </c>
      <c r="S305">
        <v>150</v>
      </c>
      <c r="T305">
        <v>20.2</v>
      </c>
      <c r="U305">
        <v>20.65</v>
      </c>
      <c r="V305">
        <v>20.2</v>
      </c>
      <c r="W305">
        <v>0.2</v>
      </c>
      <c r="X305">
        <v>14.4</v>
      </c>
      <c r="Y305">
        <v>60</v>
      </c>
      <c r="Z305">
        <v>20.399999999999999</v>
      </c>
      <c r="AA305">
        <v>60</v>
      </c>
      <c r="AB305" s="6">
        <v>46147.582361111112</v>
      </c>
      <c r="AC305" s="6">
        <v>46147.582083333335</v>
      </c>
    </row>
    <row r="306" spans="1:29" x14ac:dyDescent="0.25">
      <c r="A306" t="s">
        <v>8</v>
      </c>
      <c r="B306" s="5">
        <v>46168</v>
      </c>
      <c r="C306" t="s">
        <v>54</v>
      </c>
      <c r="D306" t="s">
        <v>362</v>
      </c>
      <c r="E306">
        <v>17038850</v>
      </c>
      <c r="F306" t="s">
        <v>56</v>
      </c>
      <c r="G306" t="s">
        <v>57</v>
      </c>
      <c r="H306">
        <v>46900</v>
      </c>
      <c r="I306" t="s">
        <v>58</v>
      </c>
      <c r="J306">
        <v>14919.8</v>
      </c>
      <c r="K306">
        <v>0</v>
      </c>
      <c r="L306">
        <v>0</v>
      </c>
      <c r="M306">
        <v>0</v>
      </c>
      <c r="N306">
        <v>0</v>
      </c>
      <c r="O306">
        <v>2970</v>
      </c>
      <c r="P306">
        <v>2670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14919.8</v>
      </c>
      <c r="X306">
        <v>7165.65</v>
      </c>
      <c r="Y306">
        <v>300</v>
      </c>
      <c r="Z306">
        <v>8382.1</v>
      </c>
      <c r="AA306">
        <v>870</v>
      </c>
      <c r="AB306" s="6">
        <v>46147.586168981485</v>
      </c>
      <c r="AC306" s="6">
        <v>25569.229166666668</v>
      </c>
    </row>
    <row r="307" spans="1:29" x14ac:dyDescent="0.25">
      <c r="A307" t="s">
        <v>8</v>
      </c>
      <c r="B307" s="5">
        <v>46168</v>
      </c>
      <c r="C307" t="s">
        <v>54</v>
      </c>
      <c r="D307" t="s">
        <v>363</v>
      </c>
      <c r="E307">
        <v>17041666</v>
      </c>
      <c r="F307" t="s">
        <v>56</v>
      </c>
      <c r="G307" t="s">
        <v>57</v>
      </c>
      <c r="H307">
        <v>46900</v>
      </c>
      <c r="I307" t="s">
        <v>60</v>
      </c>
      <c r="J307">
        <v>20.399999999999999</v>
      </c>
      <c r="K307">
        <v>10100</v>
      </c>
      <c r="L307">
        <v>150</v>
      </c>
      <c r="M307">
        <v>20.399999999999999</v>
      </c>
      <c r="N307">
        <v>150</v>
      </c>
      <c r="O307">
        <v>19950</v>
      </c>
      <c r="P307">
        <v>0</v>
      </c>
      <c r="Q307">
        <v>0</v>
      </c>
      <c r="R307">
        <v>0</v>
      </c>
      <c r="S307">
        <v>0</v>
      </c>
      <c r="T307">
        <v>20.399999999999999</v>
      </c>
      <c r="U307">
        <v>20.399999999999999</v>
      </c>
      <c r="V307">
        <v>20.399999999999999</v>
      </c>
      <c r="W307">
        <v>0.2</v>
      </c>
      <c r="X307">
        <v>15.1</v>
      </c>
      <c r="Y307">
        <v>60</v>
      </c>
      <c r="Z307">
        <v>0</v>
      </c>
      <c r="AA307">
        <v>0</v>
      </c>
      <c r="AB307" s="6">
        <v>46147.586458333331</v>
      </c>
      <c r="AC307" s="6">
        <v>46147.513206018521</v>
      </c>
    </row>
    <row r="308" spans="1:29" x14ac:dyDescent="0.25">
      <c r="A308" t="s">
        <v>8</v>
      </c>
      <c r="B308" s="5">
        <v>46168</v>
      </c>
      <c r="C308" t="s">
        <v>54</v>
      </c>
      <c r="D308" t="s">
        <v>364</v>
      </c>
      <c r="E308">
        <v>17041922</v>
      </c>
      <c r="F308" t="s">
        <v>56</v>
      </c>
      <c r="G308" t="s">
        <v>57</v>
      </c>
      <c r="H308">
        <v>47000</v>
      </c>
      <c r="I308" t="s">
        <v>58</v>
      </c>
      <c r="J308">
        <v>7707.45</v>
      </c>
      <c r="K308">
        <v>0</v>
      </c>
      <c r="L308">
        <v>30</v>
      </c>
      <c r="M308">
        <v>0</v>
      </c>
      <c r="N308">
        <v>0</v>
      </c>
      <c r="O308">
        <v>3390</v>
      </c>
      <c r="P308">
        <v>3600</v>
      </c>
      <c r="Q308">
        <v>2130</v>
      </c>
      <c r="R308">
        <v>2130</v>
      </c>
      <c r="S308">
        <v>2130</v>
      </c>
      <c r="T308">
        <v>0</v>
      </c>
      <c r="U308">
        <v>0</v>
      </c>
      <c r="V308">
        <v>0</v>
      </c>
      <c r="W308">
        <v>7707.45</v>
      </c>
      <c r="X308">
        <v>7864.65</v>
      </c>
      <c r="Y308">
        <v>30</v>
      </c>
      <c r="Z308">
        <v>8073.35</v>
      </c>
      <c r="AA308">
        <v>30</v>
      </c>
      <c r="AB308" s="6">
        <v>46147.586064814815</v>
      </c>
      <c r="AC308" s="6">
        <v>46142.45621527778</v>
      </c>
    </row>
    <row r="309" spans="1:29" x14ac:dyDescent="0.25">
      <c r="A309" t="s">
        <v>8</v>
      </c>
      <c r="B309" s="5">
        <v>46168</v>
      </c>
      <c r="C309" t="s">
        <v>54</v>
      </c>
      <c r="D309" t="s">
        <v>365</v>
      </c>
      <c r="E309">
        <v>17042178</v>
      </c>
      <c r="F309" t="s">
        <v>56</v>
      </c>
      <c r="G309" t="s">
        <v>57</v>
      </c>
      <c r="H309">
        <v>47000</v>
      </c>
      <c r="I309" t="s">
        <v>60</v>
      </c>
      <c r="J309">
        <v>18.399999999999999</v>
      </c>
      <c r="K309">
        <v>-6.1224489795918506</v>
      </c>
      <c r="L309">
        <v>120</v>
      </c>
      <c r="M309">
        <v>20.8</v>
      </c>
      <c r="N309">
        <v>119880</v>
      </c>
      <c r="O309">
        <v>143850</v>
      </c>
      <c r="P309">
        <v>4920</v>
      </c>
      <c r="Q309">
        <v>75330</v>
      </c>
      <c r="R309">
        <v>75330</v>
      </c>
      <c r="S309">
        <v>54570</v>
      </c>
      <c r="T309">
        <v>19.899999999999999</v>
      </c>
      <c r="U309">
        <v>28.45</v>
      </c>
      <c r="V309">
        <v>17.7</v>
      </c>
      <c r="W309">
        <v>19.600000000000001</v>
      </c>
      <c r="X309">
        <v>18.2</v>
      </c>
      <c r="Y309">
        <v>60</v>
      </c>
      <c r="Z309">
        <v>18.75</v>
      </c>
      <c r="AA309">
        <v>90</v>
      </c>
      <c r="AB309" s="6">
        <v>46147.586006944446</v>
      </c>
      <c r="AC309" s="6">
        <v>46147.583333333336</v>
      </c>
    </row>
    <row r="310" spans="1:29" x14ac:dyDescent="0.25">
      <c r="A310" t="s">
        <v>8</v>
      </c>
      <c r="B310" s="5">
        <v>46168</v>
      </c>
      <c r="C310" t="s">
        <v>54</v>
      </c>
      <c r="D310" t="s">
        <v>366</v>
      </c>
      <c r="E310">
        <v>17042434</v>
      </c>
      <c r="F310" t="s">
        <v>56</v>
      </c>
      <c r="G310" t="s">
        <v>57</v>
      </c>
      <c r="H310">
        <v>47100</v>
      </c>
      <c r="I310" t="s">
        <v>58</v>
      </c>
      <c r="J310">
        <v>14723.15</v>
      </c>
      <c r="K310">
        <v>0</v>
      </c>
      <c r="L310">
        <v>0</v>
      </c>
      <c r="M310">
        <v>0</v>
      </c>
      <c r="N310">
        <v>0</v>
      </c>
      <c r="O310">
        <v>3570</v>
      </c>
      <c r="P310">
        <v>3570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14723.15</v>
      </c>
      <c r="X310">
        <v>6977.55</v>
      </c>
      <c r="Y310">
        <v>300</v>
      </c>
      <c r="Z310">
        <v>8243.75</v>
      </c>
      <c r="AA310">
        <v>300</v>
      </c>
      <c r="AB310" s="6">
        <v>46147.586006944446</v>
      </c>
      <c r="AC310" s="6">
        <v>25569.229166666668</v>
      </c>
    </row>
    <row r="311" spans="1:29" x14ac:dyDescent="0.25">
      <c r="A311" t="s">
        <v>8</v>
      </c>
      <c r="B311" s="5">
        <v>46168</v>
      </c>
      <c r="C311" t="s">
        <v>54</v>
      </c>
      <c r="D311" t="s">
        <v>367</v>
      </c>
      <c r="E311">
        <v>17042690</v>
      </c>
      <c r="F311" t="s">
        <v>56</v>
      </c>
      <c r="G311" t="s">
        <v>57</v>
      </c>
      <c r="H311">
        <v>47100</v>
      </c>
      <c r="I311" t="s">
        <v>60</v>
      </c>
      <c r="J311">
        <v>20</v>
      </c>
      <c r="K311">
        <v>-2.4390243902439024</v>
      </c>
      <c r="L311">
        <v>30</v>
      </c>
      <c r="M311">
        <v>21.33</v>
      </c>
      <c r="N311">
        <v>9630</v>
      </c>
      <c r="O311">
        <v>35550</v>
      </c>
      <c r="P311">
        <v>4320</v>
      </c>
      <c r="Q311">
        <v>2430</v>
      </c>
      <c r="R311">
        <v>2640</v>
      </c>
      <c r="S311">
        <v>2040</v>
      </c>
      <c r="T311">
        <v>20.95</v>
      </c>
      <c r="U311">
        <v>24.95</v>
      </c>
      <c r="V311">
        <v>18.75</v>
      </c>
      <c r="W311">
        <v>20.5</v>
      </c>
      <c r="X311">
        <v>18.649999999999999</v>
      </c>
      <c r="Y311">
        <v>180</v>
      </c>
      <c r="Z311">
        <v>20</v>
      </c>
      <c r="AA311">
        <v>60</v>
      </c>
      <c r="AB311" s="6">
        <v>46147.586006944446</v>
      </c>
      <c r="AC311" s="6">
        <v>46147.584108796298</v>
      </c>
    </row>
    <row r="312" spans="1:29" x14ac:dyDescent="0.25">
      <c r="A312" t="s">
        <v>8</v>
      </c>
      <c r="B312" s="5">
        <v>46168</v>
      </c>
      <c r="C312" t="s">
        <v>54</v>
      </c>
      <c r="D312" t="s">
        <v>368</v>
      </c>
      <c r="E312">
        <v>17042946</v>
      </c>
      <c r="F312" t="s">
        <v>56</v>
      </c>
      <c r="G312" t="s">
        <v>57</v>
      </c>
      <c r="H312">
        <v>47200</v>
      </c>
      <c r="I312" t="s">
        <v>58</v>
      </c>
      <c r="J312">
        <v>14624.85</v>
      </c>
      <c r="K312">
        <v>0</v>
      </c>
      <c r="L312">
        <v>0</v>
      </c>
      <c r="M312">
        <v>0</v>
      </c>
      <c r="N312">
        <v>0</v>
      </c>
      <c r="O312">
        <v>2970</v>
      </c>
      <c r="P312">
        <v>2670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14624.85</v>
      </c>
      <c r="X312">
        <v>6892.2</v>
      </c>
      <c r="Y312">
        <v>300</v>
      </c>
      <c r="Z312">
        <v>9308.7000000000007</v>
      </c>
      <c r="AA312">
        <v>870</v>
      </c>
      <c r="AB312" s="6">
        <v>46147.586018518516</v>
      </c>
      <c r="AC312" s="6">
        <v>25569.229166666668</v>
      </c>
    </row>
    <row r="313" spans="1:29" x14ac:dyDescent="0.25">
      <c r="A313" t="s">
        <v>8</v>
      </c>
      <c r="B313" s="5">
        <v>46168</v>
      </c>
      <c r="C313" t="s">
        <v>54</v>
      </c>
      <c r="D313" t="s">
        <v>369</v>
      </c>
      <c r="E313">
        <v>17043714</v>
      </c>
      <c r="F313" t="s">
        <v>56</v>
      </c>
      <c r="G313" t="s">
        <v>57</v>
      </c>
      <c r="H313">
        <v>47200</v>
      </c>
      <c r="I313" t="s">
        <v>60</v>
      </c>
      <c r="J313">
        <v>0.25</v>
      </c>
      <c r="K313">
        <v>0</v>
      </c>
      <c r="L313">
        <v>0</v>
      </c>
      <c r="M313">
        <v>0</v>
      </c>
      <c r="N313">
        <v>0</v>
      </c>
      <c r="O313">
        <v>17160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0.25</v>
      </c>
      <c r="X313">
        <v>16.8</v>
      </c>
      <c r="Y313">
        <v>60</v>
      </c>
      <c r="Z313">
        <v>0</v>
      </c>
      <c r="AA313">
        <v>0</v>
      </c>
      <c r="AB313" s="6">
        <v>46147.585543981484</v>
      </c>
      <c r="AC313" s="6">
        <v>25569.229166666668</v>
      </c>
    </row>
    <row r="314" spans="1:29" x14ac:dyDescent="0.25">
      <c r="A314" t="s">
        <v>8</v>
      </c>
      <c r="B314" s="5">
        <v>46168</v>
      </c>
      <c r="C314" t="s">
        <v>54</v>
      </c>
      <c r="D314" t="s">
        <v>370</v>
      </c>
      <c r="E314">
        <v>17043970</v>
      </c>
      <c r="F314" t="s">
        <v>56</v>
      </c>
      <c r="G314" t="s">
        <v>57</v>
      </c>
      <c r="H314">
        <v>47300</v>
      </c>
      <c r="I314" t="s">
        <v>58</v>
      </c>
      <c r="J314">
        <v>14526.5</v>
      </c>
      <c r="K314">
        <v>0</v>
      </c>
      <c r="L314">
        <v>0</v>
      </c>
      <c r="M314">
        <v>0</v>
      </c>
      <c r="N314">
        <v>0</v>
      </c>
      <c r="O314">
        <v>2970</v>
      </c>
      <c r="P314">
        <v>2670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14526.5</v>
      </c>
      <c r="X314">
        <v>6798.9</v>
      </c>
      <c r="Y314">
        <v>1170</v>
      </c>
      <c r="Z314">
        <v>8130.65</v>
      </c>
      <c r="AA314">
        <v>870</v>
      </c>
      <c r="AB314" s="6">
        <v>46147.586180555554</v>
      </c>
      <c r="AC314" s="6">
        <v>25569.229166666668</v>
      </c>
    </row>
    <row r="315" spans="1:29" x14ac:dyDescent="0.25">
      <c r="A315" t="s">
        <v>8</v>
      </c>
      <c r="B315" s="5">
        <v>46168</v>
      </c>
      <c r="C315" t="s">
        <v>54</v>
      </c>
      <c r="D315" t="s">
        <v>371</v>
      </c>
      <c r="E315">
        <v>17044738</v>
      </c>
      <c r="F315" t="s">
        <v>56</v>
      </c>
      <c r="G315" t="s">
        <v>57</v>
      </c>
      <c r="H315">
        <v>47300</v>
      </c>
      <c r="I315" t="s">
        <v>60</v>
      </c>
      <c r="J315">
        <v>0.3</v>
      </c>
      <c r="K315">
        <v>0</v>
      </c>
      <c r="L315">
        <v>0</v>
      </c>
      <c r="M315">
        <v>0</v>
      </c>
      <c r="N315">
        <v>0</v>
      </c>
      <c r="O315">
        <v>14730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0.3</v>
      </c>
      <c r="X315">
        <v>17.45</v>
      </c>
      <c r="Y315">
        <v>60</v>
      </c>
      <c r="Z315">
        <v>0</v>
      </c>
      <c r="AA315">
        <v>0</v>
      </c>
      <c r="AB315" s="6">
        <v>46147.580208333333</v>
      </c>
      <c r="AC315" s="6">
        <v>25569.229166666668</v>
      </c>
    </row>
    <row r="316" spans="1:29" x14ac:dyDescent="0.25">
      <c r="A316" t="s">
        <v>8</v>
      </c>
      <c r="B316" s="5">
        <v>46168</v>
      </c>
      <c r="C316" t="s">
        <v>54</v>
      </c>
      <c r="D316" t="s">
        <v>372</v>
      </c>
      <c r="E316">
        <v>17044994</v>
      </c>
      <c r="F316" t="s">
        <v>56</v>
      </c>
      <c r="G316" t="s">
        <v>57</v>
      </c>
      <c r="H316">
        <v>47400</v>
      </c>
      <c r="I316" t="s">
        <v>58</v>
      </c>
      <c r="J316">
        <v>14428.2</v>
      </c>
      <c r="K316">
        <v>0</v>
      </c>
      <c r="L316">
        <v>0</v>
      </c>
      <c r="M316">
        <v>0</v>
      </c>
      <c r="N316">
        <v>0</v>
      </c>
      <c r="O316">
        <v>2970</v>
      </c>
      <c r="P316">
        <v>2670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14428.2</v>
      </c>
      <c r="X316">
        <v>6683.8</v>
      </c>
      <c r="Y316">
        <v>1170</v>
      </c>
      <c r="Z316">
        <v>8019.55</v>
      </c>
      <c r="AA316">
        <v>870</v>
      </c>
      <c r="AB316" s="6">
        <v>46147.586018518516</v>
      </c>
      <c r="AC316" s="6">
        <v>25569.229166666668</v>
      </c>
    </row>
    <row r="317" spans="1:29" x14ac:dyDescent="0.25">
      <c r="A317" t="s">
        <v>8</v>
      </c>
      <c r="B317" s="5">
        <v>46168</v>
      </c>
      <c r="C317" t="s">
        <v>54</v>
      </c>
      <c r="D317" t="s">
        <v>373</v>
      </c>
      <c r="E317">
        <v>17045250</v>
      </c>
      <c r="F317" t="s">
        <v>56</v>
      </c>
      <c r="G317" t="s">
        <v>57</v>
      </c>
      <c r="H317">
        <v>47400</v>
      </c>
      <c r="I317" t="s">
        <v>60</v>
      </c>
      <c r="J317">
        <v>0.35</v>
      </c>
      <c r="K317">
        <v>0</v>
      </c>
      <c r="L317">
        <v>0</v>
      </c>
      <c r="M317">
        <v>0</v>
      </c>
      <c r="N317">
        <v>0</v>
      </c>
      <c r="O317">
        <v>20520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0.35</v>
      </c>
      <c r="X317">
        <v>17.95</v>
      </c>
      <c r="Y317">
        <v>60</v>
      </c>
      <c r="Z317">
        <v>0</v>
      </c>
      <c r="AA317">
        <v>0</v>
      </c>
      <c r="AB317" s="6">
        <v>46147.56653935185</v>
      </c>
      <c r="AC317" s="6">
        <v>25569.229166666668</v>
      </c>
    </row>
    <row r="318" spans="1:29" x14ac:dyDescent="0.25">
      <c r="A318" t="s">
        <v>8</v>
      </c>
      <c r="B318" s="5">
        <v>46168</v>
      </c>
      <c r="C318" t="s">
        <v>54</v>
      </c>
      <c r="D318" t="s">
        <v>374</v>
      </c>
      <c r="E318">
        <v>17045762</v>
      </c>
      <c r="F318" t="s">
        <v>56</v>
      </c>
      <c r="G318" t="s">
        <v>57</v>
      </c>
      <c r="H318">
        <v>47500</v>
      </c>
      <c r="I318" t="s">
        <v>58</v>
      </c>
      <c r="J318">
        <v>9500</v>
      </c>
      <c r="K318">
        <v>0</v>
      </c>
      <c r="L318">
        <v>30</v>
      </c>
      <c r="M318">
        <v>0</v>
      </c>
      <c r="N318">
        <v>0</v>
      </c>
      <c r="O318">
        <v>3810</v>
      </c>
      <c r="P318">
        <v>3870</v>
      </c>
      <c r="Q318">
        <v>420</v>
      </c>
      <c r="R318">
        <v>420</v>
      </c>
      <c r="S318">
        <v>420</v>
      </c>
      <c r="T318">
        <v>0</v>
      </c>
      <c r="U318">
        <v>0</v>
      </c>
      <c r="V318">
        <v>0</v>
      </c>
      <c r="W318">
        <v>9500</v>
      </c>
      <c r="X318">
        <v>7050.95</v>
      </c>
      <c r="Y318">
        <v>300</v>
      </c>
      <c r="Z318">
        <v>7862.7</v>
      </c>
      <c r="AA318">
        <v>300</v>
      </c>
      <c r="AB318" s="6">
        <v>46147.586018518516</v>
      </c>
      <c r="AC318" s="6">
        <v>46135.423692129632</v>
      </c>
    </row>
    <row r="319" spans="1:29" x14ac:dyDescent="0.25">
      <c r="A319" t="s">
        <v>8</v>
      </c>
      <c r="B319" s="5">
        <v>46168</v>
      </c>
      <c r="C319" t="s">
        <v>54</v>
      </c>
      <c r="D319" t="s">
        <v>375</v>
      </c>
      <c r="E319">
        <v>17050114</v>
      </c>
      <c r="F319" t="s">
        <v>56</v>
      </c>
      <c r="G319" t="s">
        <v>57</v>
      </c>
      <c r="H319">
        <v>47500</v>
      </c>
      <c r="I319" t="s">
        <v>60</v>
      </c>
      <c r="J319">
        <v>22.85</v>
      </c>
      <c r="K319">
        <v>-6.9246435845213821</v>
      </c>
      <c r="L319">
        <v>30</v>
      </c>
      <c r="M319">
        <v>27.04</v>
      </c>
      <c r="N319">
        <v>130500</v>
      </c>
      <c r="O319">
        <v>55890</v>
      </c>
      <c r="P319">
        <v>4680</v>
      </c>
      <c r="Q319">
        <v>73080</v>
      </c>
      <c r="R319">
        <v>73500</v>
      </c>
      <c r="S319">
        <v>38970</v>
      </c>
      <c r="T319">
        <v>26.7</v>
      </c>
      <c r="U319">
        <v>31.05</v>
      </c>
      <c r="V319">
        <v>21.8</v>
      </c>
      <c r="W319">
        <v>24.55</v>
      </c>
      <c r="X319">
        <v>22.25</v>
      </c>
      <c r="Y319">
        <v>90</v>
      </c>
      <c r="Z319">
        <v>23.4</v>
      </c>
      <c r="AA319">
        <v>30</v>
      </c>
      <c r="AB319" s="6">
        <v>46147.586180555554</v>
      </c>
      <c r="AC319" s="6">
        <v>46147.583518518521</v>
      </c>
    </row>
    <row r="320" spans="1:29" x14ac:dyDescent="0.25">
      <c r="A320" t="s">
        <v>8</v>
      </c>
      <c r="B320" s="5">
        <v>46168</v>
      </c>
      <c r="C320" t="s">
        <v>54</v>
      </c>
      <c r="D320" t="s">
        <v>376</v>
      </c>
      <c r="E320">
        <v>17050370</v>
      </c>
      <c r="F320" t="s">
        <v>56</v>
      </c>
      <c r="G320" t="s">
        <v>57</v>
      </c>
      <c r="H320">
        <v>47600</v>
      </c>
      <c r="I320" t="s">
        <v>58</v>
      </c>
      <c r="J320">
        <v>14231.55</v>
      </c>
      <c r="K320">
        <v>0</v>
      </c>
      <c r="L320">
        <v>0</v>
      </c>
      <c r="M320">
        <v>0</v>
      </c>
      <c r="N320">
        <v>0</v>
      </c>
      <c r="O320">
        <v>2130</v>
      </c>
      <c r="P320">
        <v>2670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14231.55</v>
      </c>
      <c r="X320">
        <v>5152.5</v>
      </c>
      <c r="Y320">
        <v>300</v>
      </c>
      <c r="Z320">
        <v>7804.5</v>
      </c>
      <c r="AA320">
        <v>870</v>
      </c>
      <c r="AB320" s="6">
        <v>46147.586030092592</v>
      </c>
      <c r="AC320" s="6">
        <v>25569.229166666668</v>
      </c>
    </row>
    <row r="321" spans="1:29" x14ac:dyDescent="0.25">
      <c r="A321" t="s">
        <v>8</v>
      </c>
      <c r="B321" s="5">
        <v>46168</v>
      </c>
      <c r="C321" t="s">
        <v>54</v>
      </c>
      <c r="D321" t="s">
        <v>377</v>
      </c>
      <c r="E321">
        <v>17050626</v>
      </c>
      <c r="F321" t="s">
        <v>56</v>
      </c>
      <c r="G321" t="s">
        <v>57</v>
      </c>
      <c r="H321">
        <v>47600</v>
      </c>
      <c r="I321" t="s">
        <v>60</v>
      </c>
      <c r="J321">
        <v>0.4</v>
      </c>
      <c r="K321">
        <v>0</v>
      </c>
      <c r="L321">
        <v>0</v>
      </c>
      <c r="M321">
        <v>0</v>
      </c>
      <c r="N321">
        <v>0</v>
      </c>
      <c r="O321">
        <v>15690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0.4</v>
      </c>
      <c r="X321">
        <v>20.399999999999999</v>
      </c>
      <c r="Y321">
        <v>60</v>
      </c>
      <c r="Z321">
        <v>0</v>
      </c>
      <c r="AA321">
        <v>0</v>
      </c>
      <c r="AB321" s="6">
        <v>46147.583460648151</v>
      </c>
      <c r="AC321" s="6">
        <v>25569.229166666668</v>
      </c>
    </row>
    <row r="322" spans="1:29" x14ac:dyDescent="0.25">
      <c r="A322" t="s">
        <v>8</v>
      </c>
      <c r="B322" s="5">
        <v>46168</v>
      </c>
      <c r="C322" t="s">
        <v>54</v>
      </c>
      <c r="D322" t="s">
        <v>378</v>
      </c>
      <c r="E322">
        <v>17050882</v>
      </c>
      <c r="F322" t="s">
        <v>56</v>
      </c>
      <c r="G322" t="s">
        <v>57</v>
      </c>
      <c r="H322">
        <v>47700</v>
      </c>
      <c r="I322" t="s">
        <v>58</v>
      </c>
      <c r="J322">
        <v>14133.25</v>
      </c>
      <c r="K322">
        <v>0</v>
      </c>
      <c r="L322">
        <v>0</v>
      </c>
      <c r="M322">
        <v>0</v>
      </c>
      <c r="N322">
        <v>0</v>
      </c>
      <c r="O322">
        <v>3870</v>
      </c>
      <c r="P322">
        <v>2670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14133.25</v>
      </c>
      <c r="X322">
        <v>5880.45</v>
      </c>
      <c r="Y322">
        <v>300</v>
      </c>
      <c r="Z322">
        <v>7695.2</v>
      </c>
      <c r="AA322">
        <v>870</v>
      </c>
      <c r="AB322" s="6">
        <v>46147.586180555554</v>
      </c>
      <c r="AC322" s="6">
        <v>25569.229166666668</v>
      </c>
    </row>
    <row r="323" spans="1:29" x14ac:dyDescent="0.25">
      <c r="A323" t="s">
        <v>8</v>
      </c>
      <c r="B323" s="5">
        <v>46168</v>
      </c>
      <c r="C323" t="s">
        <v>54</v>
      </c>
      <c r="D323" t="s">
        <v>379</v>
      </c>
      <c r="E323">
        <v>17051650</v>
      </c>
      <c r="F323" t="s">
        <v>56</v>
      </c>
      <c r="G323" t="s">
        <v>57</v>
      </c>
      <c r="H323">
        <v>47700</v>
      </c>
      <c r="I323" t="s">
        <v>60</v>
      </c>
      <c r="J323">
        <v>0.45</v>
      </c>
      <c r="K323">
        <v>0</v>
      </c>
      <c r="L323">
        <v>0</v>
      </c>
      <c r="M323">
        <v>0</v>
      </c>
      <c r="N323">
        <v>0</v>
      </c>
      <c r="O323">
        <v>12060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0.45</v>
      </c>
      <c r="X323">
        <v>22.3</v>
      </c>
      <c r="Y323">
        <v>60</v>
      </c>
      <c r="Z323">
        <v>0</v>
      </c>
      <c r="AA323">
        <v>0</v>
      </c>
      <c r="AB323" s="6">
        <v>46147.572962962964</v>
      </c>
      <c r="AC323" s="6">
        <v>25569.229166666668</v>
      </c>
    </row>
    <row r="324" spans="1:29" x14ac:dyDescent="0.25">
      <c r="A324" t="s">
        <v>8</v>
      </c>
      <c r="B324" s="5">
        <v>46168</v>
      </c>
      <c r="C324" t="s">
        <v>54</v>
      </c>
      <c r="D324" t="s">
        <v>380</v>
      </c>
      <c r="E324">
        <v>17051906</v>
      </c>
      <c r="F324" t="s">
        <v>56</v>
      </c>
      <c r="G324" t="s">
        <v>57</v>
      </c>
      <c r="H324">
        <v>47800</v>
      </c>
      <c r="I324" t="s">
        <v>58</v>
      </c>
      <c r="J324">
        <v>14034.95</v>
      </c>
      <c r="K324">
        <v>0</v>
      </c>
      <c r="L324">
        <v>0</v>
      </c>
      <c r="M324">
        <v>0</v>
      </c>
      <c r="N324">
        <v>0</v>
      </c>
      <c r="O324">
        <v>3870</v>
      </c>
      <c r="P324">
        <v>2670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14034.95</v>
      </c>
      <c r="X324">
        <v>5764.85</v>
      </c>
      <c r="Y324">
        <v>300</v>
      </c>
      <c r="Z324">
        <v>7558.25</v>
      </c>
      <c r="AA324">
        <v>60</v>
      </c>
      <c r="AB324" s="6">
        <v>46147.586076388892</v>
      </c>
      <c r="AC324" s="6">
        <v>25569.229166666668</v>
      </c>
    </row>
    <row r="325" spans="1:29" x14ac:dyDescent="0.25">
      <c r="A325" t="s">
        <v>8</v>
      </c>
      <c r="B325" s="5">
        <v>46168</v>
      </c>
      <c r="C325" t="s">
        <v>54</v>
      </c>
      <c r="D325" t="s">
        <v>381</v>
      </c>
      <c r="E325">
        <v>17052162</v>
      </c>
      <c r="F325" t="s">
        <v>56</v>
      </c>
      <c r="G325" t="s">
        <v>57</v>
      </c>
      <c r="H325">
        <v>47800</v>
      </c>
      <c r="I325" t="s">
        <v>60</v>
      </c>
      <c r="J325">
        <v>0.5</v>
      </c>
      <c r="K325">
        <v>0</v>
      </c>
      <c r="L325">
        <v>0</v>
      </c>
      <c r="M325">
        <v>0</v>
      </c>
      <c r="N325">
        <v>0</v>
      </c>
      <c r="O325">
        <v>16350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0.5</v>
      </c>
      <c r="X325">
        <v>22.6</v>
      </c>
      <c r="Y325">
        <v>60</v>
      </c>
      <c r="Z325">
        <v>0</v>
      </c>
      <c r="AA325">
        <v>0</v>
      </c>
      <c r="AB325" s="6">
        <v>46147.569791666669</v>
      </c>
      <c r="AC325" s="6">
        <v>25569.229166666668</v>
      </c>
    </row>
    <row r="326" spans="1:29" x14ac:dyDescent="0.25">
      <c r="A326" t="s">
        <v>8</v>
      </c>
      <c r="B326" s="5">
        <v>46168</v>
      </c>
      <c r="C326" t="s">
        <v>54</v>
      </c>
      <c r="D326" t="s">
        <v>382</v>
      </c>
      <c r="E326">
        <v>17052418</v>
      </c>
      <c r="F326" t="s">
        <v>56</v>
      </c>
      <c r="G326" t="s">
        <v>57</v>
      </c>
      <c r="H326">
        <v>47900</v>
      </c>
      <c r="I326" t="s">
        <v>58</v>
      </c>
      <c r="J326">
        <v>13936.65</v>
      </c>
      <c r="K326">
        <v>0</v>
      </c>
      <c r="L326">
        <v>0</v>
      </c>
      <c r="M326">
        <v>0</v>
      </c>
      <c r="N326">
        <v>0</v>
      </c>
      <c r="O326">
        <v>3870</v>
      </c>
      <c r="P326">
        <v>2670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13936.65</v>
      </c>
      <c r="X326">
        <v>5759.05</v>
      </c>
      <c r="Y326">
        <v>1170</v>
      </c>
      <c r="Z326">
        <v>7490.8</v>
      </c>
      <c r="AA326">
        <v>870</v>
      </c>
      <c r="AB326" s="6">
        <v>46147.586180555554</v>
      </c>
      <c r="AC326" s="6">
        <v>25569.229166666668</v>
      </c>
    </row>
    <row r="327" spans="1:29" x14ac:dyDescent="0.25">
      <c r="A327" t="s">
        <v>8</v>
      </c>
      <c r="B327" s="5">
        <v>46168</v>
      </c>
      <c r="C327" t="s">
        <v>54</v>
      </c>
      <c r="D327" t="s">
        <v>383</v>
      </c>
      <c r="E327">
        <v>17052674</v>
      </c>
      <c r="F327" t="s">
        <v>56</v>
      </c>
      <c r="G327" t="s">
        <v>57</v>
      </c>
      <c r="H327">
        <v>47900</v>
      </c>
      <c r="I327" t="s">
        <v>60</v>
      </c>
      <c r="J327">
        <v>0.55000000000000004</v>
      </c>
      <c r="K327">
        <v>0</v>
      </c>
      <c r="L327">
        <v>0</v>
      </c>
      <c r="M327">
        <v>0</v>
      </c>
      <c r="N327">
        <v>0</v>
      </c>
      <c r="O327">
        <v>22560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0.55000000000000004</v>
      </c>
      <c r="X327">
        <v>23</v>
      </c>
      <c r="Y327">
        <v>2460</v>
      </c>
      <c r="Z327">
        <v>0</v>
      </c>
      <c r="AA327">
        <v>0</v>
      </c>
      <c r="AB327" s="6">
        <v>46147.571458333332</v>
      </c>
      <c r="AC327" s="6">
        <v>25569.229166666668</v>
      </c>
    </row>
    <row r="328" spans="1:29" x14ac:dyDescent="0.25">
      <c r="A328" t="s">
        <v>8</v>
      </c>
      <c r="B328" s="5">
        <v>46168</v>
      </c>
      <c r="C328" t="s">
        <v>54</v>
      </c>
      <c r="D328" t="s">
        <v>384</v>
      </c>
      <c r="E328">
        <v>17052930</v>
      </c>
      <c r="F328" t="s">
        <v>56</v>
      </c>
      <c r="G328" t="s">
        <v>57</v>
      </c>
      <c r="H328">
        <v>48000</v>
      </c>
      <c r="I328" t="s">
        <v>58</v>
      </c>
      <c r="J328">
        <v>6870</v>
      </c>
      <c r="K328">
        <v>-6.8259802259503903</v>
      </c>
      <c r="L328">
        <v>30</v>
      </c>
      <c r="M328">
        <v>6719.21</v>
      </c>
      <c r="N328">
        <v>210</v>
      </c>
      <c r="O328">
        <v>4770</v>
      </c>
      <c r="P328">
        <v>3450</v>
      </c>
      <c r="Q328">
        <v>9390</v>
      </c>
      <c r="R328">
        <v>9480</v>
      </c>
      <c r="S328">
        <v>9390</v>
      </c>
      <c r="T328">
        <v>6900</v>
      </c>
      <c r="U328">
        <v>6900</v>
      </c>
      <c r="V328">
        <v>6558.5</v>
      </c>
      <c r="W328">
        <v>7373.3</v>
      </c>
      <c r="X328">
        <v>6933.2</v>
      </c>
      <c r="Y328">
        <v>120</v>
      </c>
      <c r="Z328">
        <v>7024.35</v>
      </c>
      <c r="AA328">
        <v>30</v>
      </c>
      <c r="AB328" s="6">
        <v>46147.586516203701</v>
      </c>
      <c r="AC328" s="6">
        <v>46147.54179398148</v>
      </c>
    </row>
    <row r="329" spans="1:29" x14ac:dyDescent="0.25">
      <c r="A329" t="s">
        <v>8</v>
      </c>
      <c r="B329" s="5">
        <v>46168</v>
      </c>
      <c r="C329" t="s">
        <v>54</v>
      </c>
      <c r="D329" t="s">
        <v>385</v>
      </c>
      <c r="E329">
        <v>17053186</v>
      </c>
      <c r="F329" t="s">
        <v>56</v>
      </c>
      <c r="G329" t="s">
        <v>57</v>
      </c>
      <c r="H329">
        <v>48000</v>
      </c>
      <c r="I329" t="s">
        <v>60</v>
      </c>
      <c r="J329">
        <v>28.85</v>
      </c>
      <c r="K329">
        <v>-6.9354838709677376</v>
      </c>
      <c r="L329">
        <v>60</v>
      </c>
      <c r="M329">
        <v>33.74</v>
      </c>
      <c r="N329">
        <v>189840</v>
      </c>
      <c r="O329">
        <v>63900</v>
      </c>
      <c r="P329">
        <v>6600</v>
      </c>
      <c r="Q329">
        <v>196020</v>
      </c>
      <c r="R329">
        <v>198330</v>
      </c>
      <c r="S329">
        <v>175320</v>
      </c>
      <c r="T329">
        <v>35</v>
      </c>
      <c r="U329">
        <v>39.4</v>
      </c>
      <c r="V329">
        <v>27.7</v>
      </c>
      <c r="W329">
        <v>31</v>
      </c>
      <c r="X329">
        <v>28.95</v>
      </c>
      <c r="Y329">
        <v>330</v>
      </c>
      <c r="Z329">
        <v>29.45</v>
      </c>
      <c r="AA329">
        <v>60</v>
      </c>
      <c r="AB329" s="6">
        <v>46147.586481481485</v>
      </c>
      <c r="AC329" s="6">
        <v>46147.586041666669</v>
      </c>
    </row>
    <row r="330" spans="1:29" x14ac:dyDescent="0.25">
      <c r="A330" t="s">
        <v>8</v>
      </c>
      <c r="B330" s="5">
        <v>46168</v>
      </c>
      <c r="C330" t="s">
        <v>54</v>
      </c>
      <c r="D330" t="s">
        <v>386</v>
      </c>
      <c r="E330">
        <v>17053442</v>
      </c>
      <c r="F330" t="s">
        <v>56</v>
      </c>
      <c r="G330" t="s">
        <v>57</v>
      </c>
      <c r="H330">
        <v>48100</v>
      </c>
      <c r="I330" t="s">
        <v>58</v>
      </c>
      <c r="J330">
        <v>13740.05</v>
      </c>
      <c r="K330">
        <v>0</v>
      </c>
      <c r="L330">
        <v>0</v>
      </c>
      <c r="M330">
        <v>0</v>
      </c>
      <c r="N330">
        <v>0</v>
      </c>
      <c r="O330">
        <v>3870</v>
      </c>
      <c r="P330">
        <v>2670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13740.05</v>
      </c>
      <c r="X330">
        <v>5494.85</v>
      </c>
      <c r="Y330">
        <v>300</v>
      </c>
      <c r="Z330">
        <v>7228.2</v>
      </c>
      <c r="AA330">
        <v>870</v>
      </c>
      <c r="AB330" s="6">
        <v>46147.586180555554</v>
      </c>
      <c r="AC330" s="6">
        <v>25569.229166666668</v>
      </c>
    </row>
    <row r="331" spans="1:29" x14ac:dyDescent="0.25">
      <c r="A331" t="s">
        <v>8</v>
      </c>
      <c r="B331" s="5">
        <v>46168</v>
      </c>
      <c r="C331" t="s">
        <v>54</v>
      </c>
      <c r="D331" t="s">
        <v>387</v>
      </c>
      <c r="E331">
        <v>17056770</v>
      </c>
      <c r="F331" t="s">
        <v>56</v>
      </c>
      <c r="G331" t="s">
        <v>57</v>
      </c>
      <c r="H331">
        <v>48100</v>
      </c>
      <c r="I331" t="s">
        <v>60</v>
      </c>
      <c r="J331">
        <v>0.65</v>
      </c>
      <c r="K331">
        <v>0</v>
      </c>
      <c r="L331">
        <v>0</v>
      </c>
      <c r="M331">
        <v>0</v>
      </c>
      <c r="N331">
        <v>0</v>
      </c>
      <c r="O331">
        <v>13650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0.65</v>
      </c>
      <c r="X331">
        <v>24.75</v>
      </c>
      <c r="Y331">
        <v>660</v>
      </c>
      <c r="Z331">
        <v>0</v>
      </c>
      <c r="AA331">
        <v>0</v>
      </c>
      <c r="AB331" s="6">
        <v>46147.586041666669</v>
      </c>
      <c r="AC331" s="6">
        <v>25569.229166666668</v>
      </c>
    </row>
    <row r="332" spans="1:29" x14ac:dyDescent="0.25">
      <c r="A332" t="s">
        <v>8</v>
      </c>
      <c r="B332" s="5">
        <v>46168</v>
      </c>
      <c r="C332" t="s">
        <v>54</v>
      </c>
      <c r="D332" t="s">
        <v>388</v>
      </c>
      <c r="E332">
        <v>17058306</v>
      </c>
      <c r="F332" t="s">
        <v>56</v>
      </c>
      <c r="G332" t="s">
        <v>57</v>
      </c>
      <c r="H332">
        <v>48200</v>
      </c>
      <c r="I332" t="s">
        <v>58</v>
      </c>
      <c r="J332">
        <v>13641.75</v>
      </c>
      <c r="K332">
        <v>0</v>
      </c>
      <c r="L332">
        <v>0</v>
      </c>
      <c r="M332">
        <v>0</v>
      </c>
      <c r="N332">
        <v>0</v>
      </c>
      <c r="O332">
        <v>2130</v>
      </c>
      <c r="P332">
        <v>2670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13641.75</v>
      </c>
      <c r="X332">
        <v>5025.6499999999996</v>
      </c>
      <c r="Y332">
        <v>300</v>
      </c>
      <c r="Z332">
        <v>7511.45</v>
      </c>
      <c r="AA332">
        <v>870</v>
      </c>
      <c r="AB332" s="6">
        <v>46147.586076388892</v>
      </c>
      <c r="AC332" s="6">
        <v>25569.229166666668</v>
      </c>
    </row>
    <row r="333" spans="1:29" x14ac:dyDescent="0.25">
      <c r="A333" t="s">
        <v>8</v>
      </c>
      <c r="B333" s="5">
        <v>46168</v>
      </c>
      <c r="C333" t="s">
        <v>54</v>
      </c>
      <c r="D333" t="s">
        <v>389</v>
      </c>
      <c r="E333">
        <v>17058562</v>
      </c>
      <c r="F333" t="s">
        <v>56</v>
      </c>
      <c r="G333" t="s">
        <v>57</v>
      </c>
      <c r="H333">
        <v>48200</v>
      </c>
      <c r="I333" t="s">
        <v>60</v>
      </c>
      <c r="J333">
        <v>0.75</v>
      </c>
      <c r="K333">
        <v>0</v>
      </c>
      <c r="L333">
        <v>0</v>
      </c>
      <c r="M333">
        <v>0</v>
      </c>
      <c r="N333">
        <v>0</v>
      </c>
      <c r="O333">
        <v>14220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0.75</v>
      </c>
      <c r="X333">
        <v>27.5</v>
      </c>
      <c r="Y333">
        <v>660</v>
      </c>
      <c r="Z333">
        <v>0</v>
      </c>
      <c r="AA333">
        <v>0</v>
      </c>
      <c r="AB333" s="6">
        <v>46147.586041666669</v>
      </c>
      <c r="AC333" s="6">
        <v>25569.229166666668</v>
      </c>
    </row>
    <row r="334" spans="1:29" x14ac:dyDescent="0.25">
      <c r="A334" t="s">
        <v>8</v>
      </c>
      <c r="B334" s="5">
        <v>46168</v>
      </c>
      <c r="C334" t="s">
        <v>54</v>
      </c>
      <c r="D334" t="s">
        <v>390</v>
      </c>
      <c r="E334">
        <v>17058818</v>
      </c>
      <c r="F334" t="s">
        <v>56</v>
      </c>
      <c r="G334" t="s">
        <v>57</v>
      </c>
      <c r="H334">
        <v>48300</v>
      </c>
      <c r="I334" t="s">
        <v>58</v>
      </c>
      <c r="J334">
        <v>13543.45</v>
      </c>
      <c r="K334">
        <v>0</v>
      </c>
      <c r="L334">
        <v>0</v>
      </c>
      <c r="M334">
        <v>0</v>
      </c>
      <c r="N334">
        <v>0</v>
      </c>
      <c r="O334">
        <v>3000</v>
      </c>
      <c r="P334">
        <v>2670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13543.45</v>
      </c>
      <c r="X334">
        <v>4999.3</v>
      </c>
      <c r="Y334">
        <v>300</v>
      </c>
      <c r="Z334">
        <v>7431.3</v>
      </c>
      <c r="AA334">
        <v>870</v>
      </c>
      <c r="AB334" s="6">
        <v>46147.586180555554</v>
      </c>
      <c r="AC334" s="6">
        <v>25569.229166666668</v>
      </c>
    </row>
    <row r="335" spans="1:29" x14ac:dyDescent="0.25">
      <c r="A335" t="s">
        <v>8</v>
      </c>
      <c r="B335" s="5">
        <v>46168</v>
      </c>
      <c r="C335" t="s">
        <v>54</v>
      </c>
      <c r="D335" t="s">
        <v>391</v>
      </c>
      <c r="E335">
        <v>17059074</v>
      </c>
      <c r="F335" t="s">
        <v>56</v>
      </c>
      <c r="G335" t="s">
        <v>57</v>
      </c>
      <c r="H335">
        <v>48300</v>
      </c>
      <c r="I335" t="s">
        <v>60</v>
      </c>
      <c r="J335">
        <v>0.8</v>
      </c>
      <c r="K335">
        <v>0</v>
      </c>
      <c r="L335">
        <v>0</v>
      </c>
      <c r="M335">
        <v>0</v>
      </c>
      <c r="N335">
        <v>0</v>
      </c>
      <c r="O335">
        <v>10710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0.8</v>
      </c>
      <c r="X335">
        <v>29.6</v>
      </c>
      <c r="Y335">
        <v>600</v>
      </c>
      <c r="Z335">
        <v>0</v>
      </c>
      <c r="AA335">
        <v>0</v>
      </c>
      <c r="AB335" s="6">
        <v>46147.586180555554</v>
      </c>
      <c r="AC335" s="6">
        <v>25569.229166666668</v>
      </c>
    </row>
    <row r="336" spans="1:29" x14ac:dyDescent="0.25">
      <c r="A336" t="s">
        <v>8</v>
      </c>
      <c r="B336" s="5">
        <v>46168</v>
      </c>
      <c r="C336" t="s">
        <v>54</v>
      </c>
      <c r="D336" t="s">
        <v>392</v>
      </c>
      <c r="E336">
        <v>17059330</v>
      </c>
      <c r="F336" t="s">
        <v>56</v>
      </c>
      <c r="G336" t="s">
        <v>57</v>
      </c>
      <c r="H336">
        <v>48400</v>
      </c>
      <c r="I336" t="s">
        <v>58</v>
      </c>
      <c r="J336">
        <v>13445.2</v>
      </c>
      <c r="K336">
        <v>0</v>
      </c>
      <c r="L336">
        <v>0</v>
      </c>
      <c r="M336">
        <v>0</v>
      </c>
      <c r="N336">
        <v>0</v>
      </c>
      <c r="O336">
        <v>3870</v>
      </c>
      <c r="P336">
        <v>2670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13445.2</v>
      </c>
      <c r="X336">
        <v>5365.95</v>
      </c>
      <c r="Y336">
        <v>300</v>
      </c>
      <c r="Z336">
        <v>7300.8</v>
      </c>
      <c r="AA336">
        <v>870</v>
      </c>
      <c r="AB336" s="6">
        <v>46147.586076388892</v>
      </c>
      <c r="AC336" s="6">
        <v>25569.229166666668</v>
      </c>
    </row>
    <row r="337" spans="1:29" x14ac:dyDescent="0.25">
      <c r="A337" t="s">
        <v>8</v>
      </c>
      <c r="B337" s="5">
        <v>46168</v>
      </c>
      <c r="C337" t="s">
        <v>54</v>
      </c>
      <c r="D337" t="s">
        <v>393</v>
      </c>
      <c r="E337">
        <v>17059586</v>
      </c>
      <c r="F337" t="s">
        <v>56</v>
      </c>
      <c r="G337" t="s">
        <v>57</v>
      </c>
      <c r="H337">
        <v>48400</v>
      </c>
      <c r="I337" t="s">
        <v>60</v>
      </c>
      <c r="J337">
        <v>0.9</v>
      </c>
      <c r="K337">
        <v>0</v>
      </c>
      <c r="L337">
        <v>0</v>
      </c>
      <c r="M337">
        <v>0</v>
      </c>
      <c r="N337">
        <v>0</v>
      </c>
      <c r="O337">
        <v>11280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0.9</v>
      </c>
      <c r="X337">
        <v>30.8</v>
      </c>
      <c r="Y337">
        <v>600</v>
      </c>
      <c r="Z337">
        <v>0</v>
      </c>
      <c r="AA337">
        <v>0</v>
      </c>
      <c r="AB337" s="6">
        <v>46147.586053240739</v>
      </c>
      <c r="AC337" s="6">
        <v>25569.229166666668</v>
      </c>
    </row>
    <row r="338" spans="1:29" x14ac:dyDescent="0.25">
      <c r="A338" t="s">
        <v>8</v>
      </c>
      <c r="B338" s="5">
        <v>46168</v>
      </c>
      <c r="C338" t="s">
        <v>54</v>
      </c>
      <c r="D338" t="s">
        <v>394</v>
      </c>
      <c r="E338">
        <v>17059842</v>
      </c>
      <c r="F338" t="s">
        <v>56</v>
      </c>
      <c r="G338" t="s">
        <v>57</v>
      </c>
      <c r="H338">
        <v>48500</v>
      </c>
      <c r="I338" t="s">
        <v>58</v>
      </c>
      <c r="J338">
        <v>8150</v>
      </c>
      <c r="K338">
        <v>0</v>
      </c>
      <c r="L338">
        <v>30</v>
      </c>
      <c r="M338">
        <v>0</v>
      </c>
      <c r="N338">
        <v>0</v>
      </c>
      <c r="O338">
        <v>4590</v>
      </c>
      <c r="P338">
        <v>3960</v>
      </c>
      <c r="Q338">
        <v>390</v>
      </c>
      <c r="R338">
        <v>390</v>
      </c>
      <c r="S338">
        <v>390</v>
      </c>
      <c r="T338">
        <v>0</v>
      </c>
      <c r="U338">
        <v>0</v>
      </c>
      <c r="V338">
        <v>0</v>
      </c>
      <c r="W338">
        <v>8150</v>
      </c>
      <c r="X338">
        <v>6134.5</v>
      </c>
      <c r="Y338">
        <v>300</v>
      </c>
      <c r="Z338">
        <v>6828</v>
      </c>
      <c r="AA338">
        <v>300</v>
      </c>
      <c r="AB338" s="6">
        <v>46147.586180555554</v>
      </c>
      <c r="AC338" s="6">
        <v>46139.566041666665</v>
      </c>
    </row>
    <row r="339" spans="1:29" x14ac:dyDescent="0.25">
      <c r="A339" t="s">
        <v>8</v>
      </c>
      <c r="B339" s="5">
        <v>46168</v>
      </c>
      <c r="C339" t="s">
        <v>54</v>
      </c>
      <c r="D339" t="s">
        <v>395</v>
      </c>
      <c r="E339">
        <v>17060610</v>
      </c>
      <c r="F339" t="s">
        <v>56</v>
      </c>
      <c r="G339" t="s">
        <v>57</v>
      </c>
      <c r="H339">
        <v>48500</v>
      </c>
      <c r="I339" t="s">
        <v>60</v>
      </c>
      <c r="J339">
        <v>37.549999999999997</v>
      </c>
      <c r="K339">
        <v>-4.0868454661558147</v>
      </c>
      <c r="L339">
        <v>30</v>
      </c>
      <c r="M339">
        <v>42.83</v>
      </c>
      <c r="N339">
        <v>138270</v>
      </c>
      <c r="O339">
        <v>47250</v>
      </c>
      <c r="P339">
        <v>5700</v>
      </c>
      <c r="Q339">
        <v>95370</v>
      </c>
      <c r="R339">
        <v>96870</v>
      </c>
      <c r="S339">
        <v>88950</v>
      </c>
      <c r="T339">
        <v>46.4</v>
      </c>
      <c r="U339">
        <v>52.8</v>
      </c>
      <c r="V339">
        <v>35.049999999999997</v>
      </c>
      <c r="W339">
        <v>39.15</v>
      </c>
      <c r="X339">
        <v>37.549999999999997</v>
      </c>
      <c r="Y339">
        <v>30</v>
      </c>
      <c r="Z339">
        <v>38.15</v>
      </c>
      <c r="AA339">
        <v>810</v>
      </c>
      <c r="AB339" s="6">
        <v>46147.586458333331</v>
      </c>
      <c r="AC339" s="6">
        <v>46147.584687499999</v>
      </c>
    </row>
    <row r="340" spans="1:29" x14ac:dyDescent="0.25">
      <c r="A340" t="s">
        <v>8</v>
      </c>
      <c r="B340" s="5">
        <v>46168</v>
      </c>
      <c r="C340" t="s">
        <v>54</v>
      </c>
      <c r="D340" t="s">
        <v>396</v>
      </c>
      <c r="E340">
        <v>17060866</v>
      </c>
      <c r="F340" t="s">
        <v>56</v>
      </c>
      <c r="G340" t="s">
        <v>57</v>
      </c>
      <c r="H340">
        <v>48600</v>
      </c>
      <c r="I340" t="s">
        <v>58</v>
      </c>
      <c r="J340">
        <v>13248.7</v>
      </c>
      <c r="K340">
        <v>0</v>
      </c>
      <c r="L340">
        <v>0</v>
      </c>
      <c r="M340">
        <v>0</v>
      </c>
      <c r="N340">
        <v>0</v>
      </c>
      <c r="O340">
        <v>2130</v>
      </c>
      <c r="P340">
        <v>2970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13248.7</v>
      </c>
      <c r="X340">
        <v>4651.3500000000004</v>
      </c>
      <c r="Y340">
        <v>360</v>
      </c>
      <c r="Z340">
        <v>6695.85</v>
      </c>
      <c r="AA340">
        <v>300</v>
      </c>
      <c r="AB340" s="6">
        <v>46147.586076388892</v>
      </c>
      <c r="AC340" s="6">
        <v>25569.229166666668</v>
      </c>
    </row>
    <row r="341" spans="1:29" x14ac:dyDescent="0.25">
      <c r="A341" t="s">
        <v>8</v>
      </c>
      <c r="B341" s="5">
        <v>46168</v>
      </c>
      <c r="C341" t="s">
        <v>54</v>
      </c>
      <c r="D341" t="s">
        <v>397</v>
      </c>
      <c r="E341">
        <v>17061122</v>
      </c>
      <c r="F341" t="s">
        <v>56</v>
      </c>
      <c r="G341" t="s">
        <v>57</v>
      </c>
      <c r="H341">
        <v>48600</v>
      </c>
      <c r="I341" t="s">
        <v>60</v>
      </c>
      <c r="J341">
        <v>1.05</v>
      </c>
      <c r="K341">
        <v>0</v>
      </c>
      <c r="L341">
        <v>0</v>
      </c>
      <c r="M341">
        <v>0</v>
      </c>
      <c r="N341">
        <v>0</v>
      </c>
      <c r="O341">
        <v>11310</v>
      </c>
      <c r="P341">
        <v>150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1.05</v>
      </c>
      <c r="X341">
        <v>30.45</v>
      </c>
      <c r="Y341">
        <v>60</v>
      </c>
      <c r="Z341">
        <v>41.05</v>
      </c>
      <c r="AA341">
        <v>150</v>
      </c>
      <c r="AB341" s="6">
        <v>46147.586076388892</v>
      </c>
      <c r="AC341" s="6">
        <v>25569.229166666668</v>
      </c>
    </row>
    <row r="342" spans="1:29" x14ac:dyDescent="0.25">
      <c r="A342" t="s">
        <v>8</v>
      </c>
      <c r="B342" s="5">
        <v>46168</v>
      </c>
      <c r="C342" t="s">
        <v>54</v>
      </c>
      <c r="D342" t="s">
        <v>398</v>
      </c>
      <c r="E342">
        <v>17061378</v>
      </c>
      <c r="F342" t="s">
        <v>56</v>
      </c>
      <c r="G342" t="s">
        <v>57</v>
      </c>
      <c r="H342">
        <v>48700</v>
      </c>
      <c r="I342" t="s">
        <v>58</v>
      </c>
      <c r="J342">
        <v>13150.45</v>
      </c>
      <c r="K342">
        <v>0</v>
      </c>
      <c r="L342">
        <v>0</v>
      </c>
      <c r="M342">
        <v>0</v>
      </c>
      <c r="N342">
        <v>0</v>
      </c>
      <c r="O342">
        <v>5370</v>
      </c>
      <c r="P342">
        <v>4470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13150.45</v>
      </c>
      <c r="X342">
        <v>5508</v>
      </c>
      <c r="Y342">
        <v>300</v>
      </c>
      <c r="Z342">
        <v>6563.2</v>
      </c>
      <c r="AA342">
        <v>300</v>
      </c>
      <c r="AB342" s="6">
        <v>46147.586192129631</v>
      </c>
      <c r="AC342" s="6">
        <v>25569.229166666668</v>
      </c>
    </row>
    <row r="343" spans="1:29" x14ac:dyDescent="0.25">
      <c r="A343" t="s">
        <v>8</v>
      </c>
      <c r="B343" s="5">
        <v>46168</v>
      </c>
      <c r="C343" t="s">
        <v>54</v>
      </c>
      <c r="D343" t="s">
        <v>399</v>
      </c>
      <c r="E343">
        <v>17061634</v>
      </c>
      <c r="F343" t="s">
        <v>56</v>
      </c>
      <c r="G343" t="s">
        <v>57</v>
      </c>
      <c r="H343">
        <v>48700</v>
      </c>
      <c r="I343" t="s">
        <v>60</v>
      </c>
      <c r="J343">
        <v>43.05</v>
      </c>
      <c r="K343">
        <v>43.739565943238723</v>
      </c>
      <c r="L343">
        <v>30</v>
      </c>
      <c r="M343">
        <v>50.18</v>
      </c>
      <c r="N343">
        <v>9210</v>
      </c>
      <c r="O343">
        <v>23820</v>
      </c>
      <c r="P343">
        <v>3030</v>
      </c>
      <c r="Q343">
        <v>1500</v>
      </c>
      <c r="R343">
        <v>2100</v>
      </c>
      <c r="S343">
        <v>30</v>
      </c>
      <c r="T343">
        <v>49.3</v>
      </c>
      <c r="U343">
        <v>57</v>
      </c>
      <c r="V343">
        <v>39.450000000000003</v>
      </c>
      <c r="W343">
        <v>29.95</v>
      </c>
      <c r="X343">
        <v>40.700000000000003</v>
      </c>
      <c r="Y343">
        <v>30</v>
      </c>
      <c r="Z343">
        <v>43.05</v>
      </c>
      <c r="AA343">
        <v>120</v>
      </c>
      <c r="AB343" s="6">
        <v>46147.586192129631</v>
      </c>
      <c r="AC343" s="6">
        <v>46147.585833333331</v>
      </c>
    </row>
    <row r="344" spans="1:29" x14ac:dyDescent="0.25">
      <c r="A344" t="s">
        <v>8</v>
      </c>
      <c r="B344" s="5">
        <v>46168</v>
      </c>
      <c r="C344" t="s">
        <v>54</v>
      </c>
      <c r="D344" t="s">
        <v>400</v>
      </c>
      <c r="E344">
        <v>17061890</v>
      </c>
      <c r="F344" t="s">
        <v>56</v>
      </c>
      <c r="G344" t="s">
        <v>57</v>
      </c>
      <c r="H344">
        <v>48800</v>
      </c>
      <c r="I344" t="s">
        <v>58</v>
      </c>
      <c r="J344">
        <v>13052.2</v>
      </c>
      <c r="K344">
        <v>0</v>
      </c>
      <c r="L344">
        <v>0</v>
      </c>
      <c r="M344">
        <v>0</v>
      </c>
      <c r="N344">
        <v>0</v>
      </c>
      <c r="O344">
        <v>3870</v>
      </c>
      <c r="P344">
        <v>2970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13052.2</v>
      </c>
      <c r="X344">
        <v>5086.2</v>
      </c>
      <c r="Y344">
        <v>300</v>
      </c>
      <c r="Z344">
        <v>6812.6</v>
      </c>
      <c r="AA344">
        <v>300</v>
      </c>
      <c r="AB344" s="6">
        <v>46147.586076388892</v>
      </c>
      <c r="AC344" s="6">
        <v>25569.229166666668</v>
      </c>
    </row>
    <row r="345" spans="1:29" x14ac:dyDescent="0.25">
      <c r="A345" t="s">
        <v>8</v>
      </c>
      <c r="B345" s="5">
        <v>46168</v>
      </c>
      <c r="C345" t="s">
        <v>54</v>
      </c>
      <c r="D345" t="s">
        <v>401</v>
      </c>
      <c r="E345">
        <v>17062146</v>
      </c>
      <c r="F345" t="s">
        <v>56</v>
      </c>
      <c r="G345" t="s">
        <v>57</v>
      </c>
      <c r="H345">
        <v>48800</v>
      </c>
      <c r="I345" t="s">
        <v>60</v>
      </c>
      <c r="J345">
        <v>1.3</v>
      </c>
      <c r="K345">
        <v>0</v>
      </c>
      <c r="L345">
        <v>0</v>
      </c>
      <c r="M345">
        <v>0</v>
      </c>
      <c r="N345">
        <v>0</v>
      </c>
      <c r="O345">
        <v>5310</v>
      </c>
      <c r="P345">
        <v>210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1.3</v>
      </c>
      <c r="X345">
        <v>30.7</v>
      </c>
      <c r="Y345">
        <v>660</v>
      </c>
      <c r="Z345">
        <v>44.95</v>
      </c>
      <c r="AA345">
        <v>150</v>
      </c>
      <c r="AB345" s="6">
        <v>46147.586076388892</v>
      </c>
      <c r="AC345" s="6">
        <v>25569.229166666668</v>
      </c>
    </row>
    <row r="346" spans="1:29" x14ac:dyDescent="0.25">
      <c r="A346" t="s">
        <v>8</v>
      </c>
      <c r="B346" s="5">
        <v>46168</v>
      </c>
      <c r="C346" t="s">
        <v>54</v>
      </c>
      <c r="D346" t="s">
        <v>402</v>
      </c>
      <c r="E346">
        <v>17062402</v>
      </c>
      <c r="F346" t="s">
        <v>56</v>
      </c>
      <c r="G346" t="s">
        <v>57</v>
      </c>
      <c r="H346">
        <v>48900</v>
      </c>
      <c r="I346" t="s">
        <v>58</v>
      </c>
      <c r="J346">
        <v>7361</v>
      </c>
      <c r="K346">
        <v>0</v>
      </c>
      <c r="L346">
        <v>30</v>
      </c>
      <c r="M346">
        <v>0</v>
      </c>
      <c r="N346">
        <v>0</v>
      </c>
      <c r="O346">
        <v>3870</v>
      </c>
      <c r="P346">
        <v>2970</v>
      </c>
      <c r="Q346">
        <v>210</v>
      </c>
      <c r="R346">
        <v>210</v>
      </c>
      <c r="S346">
        <v>210</v>
      </c>
      <c r="T346">
        <v>0</v>
      </c>
      <c r="U346">
        <v>0</v>
      </c>
      <c r="V346">
        <v>0</v>
      </c>
      <c r="W346">
        <v>7361</v>
      </c>
      <c r="X346">
        <v>5742.65</v>
      </c>
      <c r="Y346">
        <v>300</v>
      </c>
      <c r="Z346">
        <v>6430.4</v>
      </c>
      <c r="AA346">
        <v>300</v>
      </c>
      <c r="AB346" s="6">
        <v>46147.586192129631</v>
      </c>
      <c r="AC346" s="6">
        <v>46136.556851851848</v>
      </c>
    </row>
    <row r="347" spans="1:29" x14ac:dyDescent="0.25">
      <c r="A347" t="s">
        <v>8</v>
      </c>
      <c r="B347" s="5">
        <v>46168</v>
      </c>
      <c r="C347" t="s">
        <v>54</v>
      </c>
      <c r="D347" t="s">
        <v>403</v>
      </c>
      <c r="E347">
        <v>17062658</v>
      </c>
      <c r="F347" t="s">
        <v>56</v>
      </c>
      <c r="G347" t="s">
        <v>57</v>
      </c>
      <c r="H347">
        <v>48900</v>
      </c>
      <c r="I347" t="s">
        <v>60</v>
      </c>
      <c r="J347">
        <v>1.4</v>
      </c>
      <c r="K347">
        <v>0</v>
      </c>
      <c r="L347">
        <v>0</v>
      </c>
      <c r="M347">
        <v>0</v>
      </c>
      <c r="N347">
        <v>0</v>
      </c>
      <c r="O347">
        <v>10770</v>
      </c>
      <c r="P347">
        <v>210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1.4</v>
      </c>
      <c r="X347">
        <v>32.450000000000003</v>
      </c>
      <c r="Y347">
        <v>1800</v>
      </c>
      <c r="Z347">
        <v>47.2</v>
      </c>
      <c r="AA347">
        <v>150</v>
      </c>
      <c r="AB347" s="6">
        <v>46147.586192129631</v>
      </c>
      <c r="AC347" s="6">
        <v>25569.229166666668</v>
      </c>
    </row>
    <row r="348" spans="1:29" x14ac:dyDescent="0.25">
      <c r="A348" t="s">
        <v>8</v>
      </c>
      <c r="B348" s="5">
        <v>46168</v>
      </c>
      <c r="C348" t="s">
        <v>54</v>
      </c>
      <c r="D348" t="s">
        <v>404</v>
      </c>
      <c r="E348">
        <v>17062914</v>
      </c>
      <c r="F348" t="s">
        <v>56</v>
      </c>
      <c r="G348" t="s">
        <v>57</v>
      </c>
      <c r="H348">
        <v>49000</v>
      </c>
      <c r="I348" t="s">
        <v>58</v>
      </c>
      <c r="J348">
        <v>5626.9</v>
      </c>
      <c r="K348">
        <v>-6.3587951406224059</v>
      </c>
      <c r="L348">
        <v>30</v>
      </c>
      <c r="M348">
        <v>5627.95</v>
      </c>
      <c r="N348">
        <v>60</v>
      </c>
      <c r="O348">
        <v>5010</v>
      </c>
      <c r="P348">
        <v>3810</v>
      </c>
      <c r="Q348">
        <v>2610</v>
      </c>
      <c r="R348">
        <v>2640</v>
      </c>
      <c r="S348">
        <v>2610</v>
      </c>
      <c r="T348">
        <v>5629</v>
      </c>
      <c r="U348">
        <v>5629</v>
      </c>
      <c r="V348">
        <v>5626.9</v>
      </c>
      <c r="W348">
        <v>6009</v>
      </c>
      <c r="X348">
        <v>5910.65</v>
      </c>
      <c r="Y348">
        <v>240</v>
      </c>
      <c r="Z348">
        <v>6098.25</v>
      </c>
      <c r="AA348">
        <v>90</v>
      </c>
      <c r="AB348" s="6">
        <v>46147.586076388892</v>
      </c>
      <c r="AC348" s="6">
        <v>46147.483032407406</v>
      </c>
    </row>
    <row r="349" spans="1:29" x14ac:dyDescent="0.25">
      <c r="A349" t="s">
        <v>8</v>
      </c>
      <c r="B349" s="5">
        <v>46168</v>
      </c>
      <c r="C349" t="s">
        <v>54</v>
      </c>
      <c r="D349" t="s">
        <v>405</v>
      </c>
      <c r="E349">
        <v>17063170</v>
      </c>
      <c r="F349" t="s">
        <v>56</v>
      </c>
      <c r="G349" t="s">
        <v>57</v>
      </c>
      <c r="H349">
        <v>49000</v>
      </c>
      <c r="I349" t="s">
        <v>60</v>
      </c>
      <c r="J349">
        <v>48.85</v>
      </c>
      <c r="K349">
        <v>-3.1714568880079312</v>
      </c>
      <c r="L349">
        <v>30</v>
      </c>
      <c r="M349">
        <v>56.41</v>
      </c>
      <c r="N349">
        <v>364620</v>
      </c>
      <c r="O349">
        <v>21360</v>
      </c>
      <c r="P349">
        <v>8790</v>
      </c>
      <c r="Q349">
        <v>289740</v>
      </c>
      <c r="R349">
        <v>302160</v>
      </c>
      <c r="S349">
        <v>243180</v>
      </c>
      <c r="T349">
        <v>53</v>
      </c>
      <c r="U349">
        <v>68.3</v>
      </c>
      <c r="V349">
        <v>45.15</v>
      </c>
      <c r="W349">
        <v>50.45</v>
      </c>
      <c r="X349">
        <v>48.4</v>
      </c>
      <c r="Y349">
        <v>300</v>
      </c>
      <c r="Z349">
        <v>48.9</v>
      </c>
      <c r="AA349">
        <v>150</v>
      </c>
      <c r="AB349" s="6">
        <v>46147.586458333331</v>
      </c>
      <c r="AC349" s="6">
        <v>46147.586041666669</v>
      </c>
    </row>
    <row r="350" spans="1:29" x14ac:dyDescent="0.25">
      <c r="A350" t="s">
        <v>8</v>
      </c>
      <c r="B350" s="5">
        <v>46168</v>
      </c>
      <c r="C350" t="s">
        <v>54</v>
      </c>
      <c r="D350" t="s">
        <v>406</v>
      </c>
      <c r="E350">
        <v>17063426</v>
      </c>
      <c r="F350" t="s">
        <v>56</v>
      </c>
      <c r="G350" t="s">
        <v>57</v>
      </c>
      <c r="H350">
        <v>49100</v>
      </c>
      <c r="I350" t="s">
        <v>58</v>
      </c>
      <c r="J350">
        <v>7244</v>
      </c>
      <c r="K350">
        <v>0</v>
      </c>
      <c r="L350">
        <v>30</v>
      </c>
      <c r="M350">
        <v>0</v>
      </c>
      <c r="N350">
        <v>0</v>
      </c>
      <c r="O350">
        <v>3720</v>
      </c>
      <c r="P350">
        <v>3690</v>
      </c>
      <c r="Q350">
        <v>210</v>
      </c>
      <c r="R350">
        <v>210</v>
      </c>
      <c r="S350">
        <v>210</v>
      </c>
      <c r="T350">
        <v>0</v>
      </c>
      <c r="U350">
        <v>0</v>
      </c>
      <c r="V350">
        <v>0</v>
      </c>
      <c r="W350">
        <v>7244</v>
      </c>
      <c r="X350">
        <v>5762.3</v>
      </c>
      <c r="Y350">
        <v>300</v>
      </c>
      <c r="Z350">
        <v>6036.15</v>
      </c>
      <c r="AA350">
        <v>300</v>
      </c>
      <c r="AB350" s="6">
        <v>46147.586192129631</v>
      </c>
      <c r="AC350" s="6">
        <v>46136.524074074077</v>
      </c>
    </row>
    <row r="351" spans="1:29" x14ac:dyDescent="0.25">
      <c r="A351" t="s">
        <v>8</v>
      </c>
      <c r="B351" s="5">
        <v>46168</v>
      </c>
      <c r="C351" t="s">
        <v>54</v>
      </c>
      <c r="D351" t="s">
        <v>407</v>
      </c>
      <c r="E351">
        <v>17063682</v>
      </c>
      <c r="F351" t="s">
        <v>56</v>
      </c>
      <c r="G351" t="s">
        <v>57</v>
      </c>
      <c r="H351">
        <v>49100</v>
      </c>
      <c r="I351" t="s">
        <v>60</v>
      </c>
      <c r="J351">
        <v>51.3</v>
      </c>
      <c r="K351">
        <v>-2.6565464895635782</v>
      </c>
      <c r="L351">
        <v>30</v>
      </c>
      <c r="M351">
        <v>60.59</v>
      </c>
      <c r="N351">
        <v>13920</v>
      </c>
      <c r="O351">
        <v>5250</v>
      </c>
      <c r="P351">
        <v>3540</v>
      </c>
      <c r="Q351">
        <v>5070</v>
      </c>
      <c r="R351">
        <v>5130</v>
      </c>
      <c r="S351">
        <v>4410</v>
      </c>
      <c r="T351">
        <v>52.7</v>
      </c>
      <c r="U351">
        <v>70.7</v>
      </c>
      <c r="V351">
        <v>47.3</v>
      </c>
      <c r="W351">
        <v>52.7</v>
      </c>
      <c r="X351">
        <v>50.25</v>
      </c>
      <c r="Y351">
        <v>60</v>
      </c>
      <c r="Z351">
        <v>52.5</v>
      </c>
      <c r="AA351">
        <v>60</v>
      </c>
      <c r="AB351" s="6">
        <v>46147.586192129631</v>
      </c>
      <c r="AC351" s="6">
        <v>46147.577256944445</v>
      </c>
    </row>
    <row r="352" spans="1:29" x14ac:dyDescent="0.25">
      <c r="A352" t="s">
        <v>8</v>
      </c>
      <c r="B352" s="5">
        <v>46168</v>
      </c>
      <c r="C352" t="s">
        <v>54</v>
      </c>
      <c r="D352" t="s">
        <v>408</v>
      </c>
      <c r="E352">
        <v>17063938</v>
      </c>
      <c r="F352" t="s">
        <v>56</v>
      </c>
      <c r="G352" t="s">
        <v>57</v>
      </c>
      <c r="H352">
        <v>49200</v>
      </c>
      <c r="I352" t="s">
        <v>58</v>
      </c>
      <c r="J352">
        <v>12659.35</v>
      </c>
      <c r="K352">
        <v>0</v>
      </c>
      <c r="L352">
        <v>0</v>
      </c>
      <c r="M352">
        <v>0</v>
      </c>
      <c r="N352">
        <v>0</v>
      </c>
      <c r="O352">
        <v>4590</v>
      </c>
      <c r="P352">
        <v>3690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12659.35</v>
      </c>
      <c r="X352">
        <v>5654.3</v>
      </c>
      <c r="Y352">
        <v>300</v>
      </c>
      <c r="Z352">
        <v>5969.7</v>
      </c>
      <c r="AA352">
        <v>300</v>
      </c>
      <c r="AB352" s="6">
        <v>46147.586087962962</v>
      </c>
      <c r="AC352" s="6">
        <v>25569.229166666668</v>
      </c>
    </row>
    <row r="353" spans="1:29" x14ac:dyDescent="0.25">
      <c r="A353" t="s">
        <v>8</v>
      </c>
      <c r="B353" s="5">
        <v>46168</v>
      </c>
      <c r="C353" t="s">
        <v>54</v>
      </c>
      <c r="D353" t="s">
        <v>409</v>
      </c>
      <c r="E353">
        <v>17064194</v>
      </c>
      <c r="F353" t="s">
        <v>56</v>
      </c>
      <c r="G353" t="s">
        <v>57</v>
      </c>
      <c r="H353">
        <v>49200</v>
      </c>
      <c r="I353" t="s">
        <v>60</v>
      </c>
      <c r="J353">
        <v>53.9</v>
      </c>
      <c r="K353">
        <v>-3.5778175313059033</v>
      </c>
      <c r="L353">
        <v>30</v>
      </c>
      <c r="M353">
        <v>66.2</v>
      </c>
      <c r="N353">
        <v>14430</v>
      </c>
      <c r="O353">
        <v>7830</v>
      </c>
      <c r="P353">
        <v>4590</v>
      </c>
      <c r="Q353">
        <v>15180</v>
      </c>
      <c r="R353">
        <v>15210</v>
      </c>
      <c r="S353">
        <v>8220</v>
      </c>
      <c r="T353">
        <v>62.2</v>
      </c>
      <c r="U353">
        <v>75.25</v>
      </c>
      <c r="V353">
        <v>52.2</v>
      </c>
      <c r="W353">
        <v>55.9</v>
      </c>
      <c r="X353">
        <v>53.1</v>
      </c>
      <c r="Y353">
        <v>30</v>
      </c>
      <c r="Z353">
        <v>54.6</v>
      </c>
      <c r="AA353">
        <v>30</v>
      </c>
      <c r="AB353" s="6">
        <v>46147.586087962962</v>
      </c>
      <c r="AC353" s="6">
        <v>46147.584629629629</v>
      </c>
    </row>
    <row r="354" spans="1:29" x14ac:dyDescent="0.25">
      <c r="A354" t="s">
        <v>8</v>
      </c>
      <c r="B354" s="5">
        <v>46168</v>
      </c>
      <c r="C354" t="s">
        <v>54</v>
      </c>
      <c r="D354" t="s">
        <v>410</v>
      </c>
      <c r="E354">
        <v>17064450</v>
      </c>
      <c r="F354" t="s">
        <v>56</v>
      </c>
      <c r="G354" t="s">
        <v>57</v>
      </c>
      <c r="H354">
        <v>49300</v>
      </c>
      <c r="I354" t="s">
        <v>58</v>
      </c>
      <c r="J354">
        <v>12561.2</v>
      </c>
      <c r="K354">
        <v>0</v>
      </c>
      <c r="L354">
        <v>0</v>
      </c>
      <c r="M354">
        <v>0</v>
      </c>
      <c r="N354">
        <v>0</v>
      </c>
      <c r="O354">
        <v>3990</v>
      </c>
      <c r="P354">
        <v>3090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12561.2</v>
      </c>
      <c r="X354">
        <v>5539.65</v>
      </c>
      <c r="Y354">
        <v>300</v>
      </c>
      <c r="Z354">
        <v>5850.25</v>
      </c>
      <c r="AA354">
        <v>300</v>
      </c>
      <c r="AB354" s="6">
        <v>46147.586192129631</v>
      </c>
      <c r="AC354" s="6">
        <v>25569.229166666668</v>
      </c>
    </row>
    <row r="355" spans="1:29" x14ac:dyDescent="0.25">
      <c r="A355" t="s">
        <v>8</v>
      </c>
      <c r="B355" s="5">
        <v>46168</v>
      </c>
      <c r="C355" t="s">
        <v>54</v>
      </c>
      <c r="D355" t="s">
        <v>411</v>
      </c>
      <c r="E355">
        <v>17064706</v>
      </c>
      <c r="F355" t="s">
        <v>56</v>
      </c>
      <c r="G355" t="s">
        <v>57</v>
      </c>
      <c r="H355">
        <v>49300</v>
      </c>
      <c r="I355" t="s">
        <v>60</v>
      </c>
      <c r="J355">
        <v>2.0499999999999998</v>
      </c>
      <c r="K355">
        <v>0</v>
      </c>
      <c r="L355">
        <v>0</v>
      </c>
      <c r="M355">
        <v>0</v>
      </c>
      <c r="N355">
        <v>0</v>
      </c>
      <c r="O355">
        <v>6570</v>
      </c>
      <c r="P355">
        <v>210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2.0499999999999998</v>
      </c>
      <c r="X355">
        <v>48.85</v>
      </c>
      <c r="Y355">
        <v>240</v>
      </c>
      <c r="Z355">
        <v>57.95</v>
      </c>
      <c r="AA355">
        <v>150</v>
      </c>
      <c r="AB355" s="6">
        <v>46147.586099537039</v>
      </c>
      <c r="AC355" s="6">
        <v>25569.229166666668</v>
      </c>
    </row>
    <row r="356" spans="1:29" x14ac:dyDescent="0.25">
      <c r="A356" t="s">
        <v>8</v>
      </c>
      <c r="B356" s="5">
        <v>46168</v>
      </c>
      <c r="C356" t="s">
        <v>54</v>
      </c>
      <c r="D356" t="s">
        <v>412</v>
      </c>
      <c r="E356">
        <v>17064962</v>
      </c>
      <c r="F356" t="s">
        <v>56</v>
      </c>
      <c r="G356" t="s">
        <v>57</v>
      </c>
      <c r="H356">
        <v>49400</v>
      </c>
      <c r="I356" t="s">
        <v>58</v>
      </c>
      <c r="J356">
        <v>3202.1</v>
      </c>
      <c r="K356">
        <v>0</v>
      </c>
      <c r="L356">
        <v>30</v>
      </c>
      <c r="M356">
        <v>0</v>
      </c>
      <c r="N356">
        <v>0</v>
      </c>
      <c r="O356">
        <v>3990</v>
      </c>
      <c r="P356">
        <v>420</v>
      </c>
      <c r="Q356">
        <v>60</v>
      </c>
      <c r="R356">
        <v>60</v>
      </c>
      <c r="S356">
        <v>60</v>
      </c>
      <c r="T356">
        <v>0</v>
      </c>
      <c r="U356">
        <v>0</v>
      </c>
      <c r="V356">
        <v>0</v>
      </c>
      <c r="W356">
        <v>3202.1</v>
      </c>
      <c r="X356">
        <v>5458.9</v>
      </c>
      <c r="Y356">
        <v>300</v>
      </c>
      <c r="Z356">
        <v>5776.05</v>
      </c>
      <c r="AA356">
        <v>300</v>
      </c>
      <c r="AB356" s="6">
        <v>46147.586099537039</v>
      </c>
      <c r="AC356" s="6">
        <v>46111.629988425928</v>
      </c>
    </row>
    <row r="357" spans="1:29" x14ac:dyDescent="0.25">
      <c r="A357" t="s">
        <v>8</v>
      </c>
      <c r="B357" s="5">
        <v>46168</v>
      </c>
      <c r="C357" t="s">
        <v>54</v>
      </c>
      <c r="D357" t="s">
        <v>413</v>
      </c>
      <c r="E357">
        <v>17065218</v>
      </c>
      <c r="F357" t="s">
        <v>56</v>
      </c>
      <c r="G357" t="s">
        <v>57</v>
      </c>
      <c r="H357">
        <v>49400</v>
      </c>
      <c r="I357" t="s">
        <v>60</v>
      </c>
      <c r="J357">
        <v>2.25</v>
      </c>
      <c r="K357">
        <v>0</v>
      </c>
      <c r="L357">
        <v>0</v>
      </c>
      <c r="M357">
        <v>0</v>
      </c>
      <c r="N357">
        <v>0</v>
      </c>
      <c r="O357">
        <v>12150</v>
      </c>
      <c r="P357">
        <v>240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2.25</v>
      </c>
      <c r="X357">
        <v>41.5</v>
      </c>
      <c r="Y357">
        <v>1800</v>
      </c>
      <c r="Z357">
        <v>59.15</v>
      </c>
      <c r="AA357">
        <v>30</v>
      </c>
      <c r="AB357" s="6">
        <v>46147.586099537039</v>
      </c>
      <c r="AC357" s="6">
        <v>25569.229166666668</v>
      </c>
    </row>
    <row r="358" spans="1:29" x14ac:dyDescent="0.25">
      <c r="A358" t="s">
        <v>8</v>
      </c>
      <c r="B358" s="5">
        <v>46168</v>
      </c>
      <c r="C358" t="s">
        <v>54</v>
      </c>
      <c r="D358" t="s">
        <v>414</v>
      </c>
      <c r="E358">
        <v>17065474</v>
      </c>
      <c r="F358" t="s">
        <v>56</v>
      </c>
      <c r="G358" t="s">
        <v>57</v>
      </c>
      <c r="H358">
        <v>49500</v>
      </c>
      <c r="I358" t="s">
        <v>58</v>
      </c>
      <c r="J358">
        <v>5530</v>
      </c>
      <c r="K358">
        <v>2.7881040892193307</v>
      </c>
      <c r="L358">
        <v>30</v>
      </c>
      <c r="M358">
        <v>5392.08</v>
      </c>
      <c r="N358">
        <v>120</v>
      </c>
      <c r="O358">
        <v>4320</v>
      </c>
      <c r="P358">
        <v>3750</v>
      </c>
      <c r="Q358">
        <v>3030</v>
      </c>
      <c r="R358">
        <v>3030</v>
      </c>
      <c r="S358">
        <v>2940</v>
      </c>
      <c r="T358">
        <v>5273.35</v>
      </c>
      <c r="U358">
        <v>5530</v>
      </c>
      <c r="V358">
        <v>5273.35</v>
      </c>
      <c r="W358">
        <v>5380</v>
      </c>
      <c r="X358">
        <v>5447.45</v>
      </c>
      <c r="Y358">
        <v>30</v>
      </c>
      <c r="Z358">
        <v>5530.1</v>
      </c>
      <c r="AA358">
        <v>60</v>
      </c>
      <c r="AB358" s="6">
        <v>46147.586273148147</v>
      </c>
      <c r="AC358" s="6">
        <v>46147.54791666667</v>
      </c>
    </row>
    <row r="359" spans="1:29" x14ac:dyDescent="0.25">
      <c r="A359" t="s">
        <v>8</v>
      </c>
      <c r="B359" s="5">
        <v>46168</v>
      </c>
      <c r="C359" t="s">
        <v>54</v>
      </c>
      <c r="D359" t="s">
        <v>415</v>
      </c>
      <c r="E359">
        <v>17065730</v>
      </c>
      <c r="F359" t="s">
        <v>56</v>
      </c>
      <c r="G359" t="s">
        <v>57</v>
      </c>
      <c r="H359">
        <v>49500</v>
      </c>
      <c r="I359" t="s">
        <v>60</v>
      </c>
      <c r="J359">
        <v>62.35</v>
      </c>
      <c r="K359">
        <v>-4.1506533435818529</v>
      </c>
      <c r="L359">
        <v>30</v>
      </c>
      <c r="M359">
        <v>73.83</v>
      </c>
      <c r="N359">
        <v>170670</v>
      </c>
      <c r="O359">
        <v>7230</v>
      </c>
      <c r="P359">
        <v>9030</v>
      </c>
      <c r="Q359">
        <v>149760</v>
      </c>
      <c r="R359">
        <v>156030</v>
      </c>
      <c r="S359">
        <v>135180</v>
      </c>
      <c r="T359">
        <v>67.650000000000006</v>
      </c>
      <c r="U359">
        <v>90</v>
      </c>
      <c r="V359">
        <v>58.05</v>
      </c>
      <c r="W359">
        <v>65.05</v>
      </c>
      <c r="X359">
        <v>62.4</v>
      </c>
      <c r="Y359">
        <v>60</v>
      </c>
      <c r="Z359">
        <v>63.45</v>
      </c>
      <c r="AA359">
        <v>60</v>
      </c>
      <c r="AB359" s="6">
        <v>46147.586458333331</v>
      </c>
      <c r="AC359" s="6">
        <v>46147.585995370369</v>
      </c>
    </row>
    <row r="360" spans="1:29" x14ac:dyDescent="0.25">
      <c r="A360" t="s">
        <v>8</v>
      </c>
      <c r="B360" s="5">
        <v>46168</v>
      </c>
      <c r="C360" t="s">
        <v>54</v>
      </c>
      <c r="D360" t="s">
        <v>416</v>
      </c>
      <c r="E360">
        <v>17065986</v>
      </c>
      <c r="F360" t="s">
        <v>56</v>
      </c>
      <c r="G360" t="s">
        <v>57</v>
      </c>
      <c r="H360">
        <v>49600</v>
      </c>
      <c r="I360" t="s">
        <v>58</v>
      </c>
      <c r="J360">
        <v>5849</v>
      </c>
      <c r="K360">
        <v>0</v>
      </c>
      <c r="L360">
        <v>30</v>
      </c>
      <c r="M360">
        <v>0</v>
      </c>
      <c r="N360">
        <v>0</v>
      </c>
      <c r="O360">
        <v>4590</v>
      </c>
      <c r="P360">
        <v>3690</v>
      </c>
      <c r="Q360">
        <v>120</v>
      </c>
      <c r="R360">
        <v>120</v>
      </c>
      <c r="S360">
        <v>120</v>
      </c>
      <c r="T360">
        <v>0</v>
      </c>
      <c r="U360">
        <v>0</v>
      </c>
      <c r="V360">
        <v>0</v>
      </c>
      <c r="W360">
        <v>5849</v>
      </c>
      <c r="X360">
        <v>5291.3</v>
      </c>
      <c r="Y360">
        <v>300</v>
      </c>
      <c r="Z360">
        <v>5576.25</v>
      </c>
      <c r="AA360">
        <v>300</v>
      </c>
      <c r="AB360" s="6">
        <v>46147.586111111108</v>
      </c>
      <c r="AC360" s="6">
        <v>46125.40457175926</v>
      </c>
    </row>
    <row r="361" spans="1:29" x14ac:dyDescent="0.25">
      <c r="A361" t="s">
        <v>8</v>
      </c>
      <c r="B361" s="5">
        <v>46168</v>
      </c>
      <c r="C361" t="s">
        <v>54</v>
      </c>
      <c r="D361" t="s">
        <v>417</v>
      </c>
      <c r="E361">
        <v>17066498</v>
      </c>
      <c r="F361" t="s">
        <v>56</v>
      </c>
      <c r="G361" t="s">
        <v>57</v>
      </c>
      <c r="H361">
        <v>49600</v>
      </c>
      <c r="I361" t="s">
        <v>60</v>
      </c>
      <c r="J361">
        <v>66.349999999999994</v>
      </c>
      <c r="K361">
        <v>2357.4074074074069</v>
      </c>
      <c r="L361">
        <v>150</v>
      </c>
      <c r="M361">
        <v>76.150000000000006</v>
      </c>
      <c r="N361">
        <v>5280</v>
      </c>
      <c r="O361">
        <v>6900</v>
      </c>
      <c r="P361">
        <v>3510</v>
      </c>
      <c r="Q361">
        <v>3180</v>
      </c>
      <c r="R361">
        <v>3300</v>
      </c>
      <c r="S361">
        <v>510</v>
      </c>
      <c r="T361">
        <v>81</v>
      </c>
      <c r="U361">
        <v>89.9</v>
      </c>
      <c r="V361">
        <v>64.650000000000006</v>
      </c>
      <c r="W361">
        <v>2.7</v>
      </c>
      <c r="X361">
        <v>65.55</v>
      </c>
      <c r="Y361">
        <v>90</v>
      </c>
      <c r="Z361">
        <v>67.900000000000006</v>
      </c>
      <c r="AA361">
        <v>60</v>
      </c>
      <c r="AB361" s="6">
        <v>46147.586458333331</v>
      </c>
      <c r="AC361" s="6">
        <v>46147.575694444444</v>
      </c>
    </row>
    <row r="362" spans="1:29" x14ac:dyDescent="0.25">
      <c r="A362" t="s">
        <v>8</v>
      </c>
      <c r="B362" s="5">
        <v>46168</v>
      </c>
      <c r="C362" t="s">
        <v>54</v>
      </c>
      <c r="D362" t="s">
        <v>418</v>
      </c>
      <c r="E362">
        <v>17066754</v>
      </c>
      <c r="F362" t="s">
        <v>56</v>
      </c>
      <c r="G362" t="s">
        <v>57</v>
      </c>
      <c r="H362">
        <v>49700</v>
      </c>
      <c r="I362" t="s">
        <v>58</v>
      </c>
      <c r="J362">
        <v>12168.65</v>
      </c>
      <c r="K362">
        <v>0</v>
      </c>
      <c r="L362">
        <v>0</v>
      </c>
      <c r="M362">
        <v>0</v>
      </c>
      <c r="N362">
        <v>0</v>
      </c>
      <c r="O362">
        <v>4590</v>
      </c>
      <c r="P362">
        <v>3690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12168.65</v>
      </c>
      <c r="X362">
        <v>5205.8999999999996</v>
      </c>
      <c r="Y362">
        <v>300</v>
      </c>
      <c r="Z362">
        <v>5483.8</v>
      </c>
      <c r="AA362">
        <v>300</v>
      </c>
      <c r="AB362" s="6">
        <v>46147.586192129631</v>
      </c>
      <c r="AC362" s="6">
        <v>25569.229166666668</v>
      </c>
    </row>
    <row r="363" spans="1:29" x14ac:dyDescent="0.25">
      <c r="A363" t="s">
        <v>8</v>
      </c>
      <c r="B363" s="5">
        <v>46168</v>
      </c>
      <c r="C363" t="s">
        <v>54</v>
      </c>
      <c r="D363" t="s">
        <v>419</v>
      </c>
      <c r="E363">
        <v>17067010</v>
      </c>
      <c r="F363" t="s">
        <v>56</v>
      </c>
      <c r="G363" t="s">
        <v>57</v>
      </c>
      <c r="H363">
        <v>49700</v>
      </c>
      <c r="I363" t="s">
        <v>60</v>
      </c>
      <c r="J363">
        <v>67.45</v>
      </c>
      <c r="K363">
        <v>-8.2936777702243294</v>
      </c>
      <c r="L363">
        <v>30</v>
      </c>
      <c r="M363">
        <v>85.5</v>
      </c>
      <c r="N363">
        <v>18000</v>
      </c>
      <c r="O363">
        <v>2430</v>
      </c>
      <c r="P363">
        <v>3480</v>
      </c>
      <c r="Q363">
        <v>4560</v>
      </c>
      <c r="R363">
        <v>4860</v>
      </c>
      <c r="S363">
        <v>2940</v>
      </c>
      <c r="T363">
        <v>77.849999999999994</v>
      </c>
      <c r="U363">
        <v>98.55</v>
      </c>
      <c r="V363">
        <v>64.849999999999994</v>
      </c>
      <c r="W363">
        <v>73.55</v>
      </c>
      <c r="X363">
        <v>68.7</v>
      </c>
      <c r="Y363">
        <v>30</v>
      </c>
      <c r="Z363">
        <v>71.400000000000006</v>
      </c>
      <c r="AA363">
        <v>30</v>
      </c>
      <c r="AB363" s="6">
        <v>46147.5862037037</v>
      </c>
      <c r="AC363" s="6">
        <v>46147.583287037036</v>
      </c>
    </row>
    <row r="364" spans="1:29" x14ac:dyDescent="0.25">
      <c r="A364" t="s">
        <v>8</v>
      </c>
      <c r="B364" s="5">
        <v>46168</v>
      </c>
      <c r="C364" t="s">
        <v>54</v>
      </c>
      <c r="D364" t="s">
        <v>420</v>
      </c>
      <c r="E364">
        <v>17068802</v>
      </c>
      <c r="F364" t="s">
        <v>56</v>
      </c>
      <c r="G364" t="s">
        <v>57</v>
      </c>
      <c r="H364">
        <v>49800</v>
      </c>
      <c r="I364" t="s">
        <v>58</v>
      </c>
      <c r="J364">
        <v>5672.7</v>
      </c>
      <c r="K364">
        <v>0</v>
      </c>
      <c r="L364">
        <v>30</v>
      </c>
      <c r="M364">
        <v>0</v>
      </c>
      <c r="N364">
        <v>0</v>
      </c>
      <c r="O364">
        <v>5490</v>
      </c>
      <c r="P364">
        <v>4590</v>
      </c>
      <c r="Q364">
        <v>90</v>
      </c>
      <c r="R364">
        <v>90</v>
      </c>
      <c r="S364">
        <v>90</v>
      </c>
      <c r="T364">
        <v>0</v>
      </c>
      <c r="U364">
        <v>0</v>
      </c>
      <c r="V364">
        <v>0</v>
      </c>
      <c r="W364">
        <v>5672.7</v>
      </c>
      <c r="X364">
        <v>5102.75</v>
      </c>
      <c r="Y364">
        <v>300</v>
      </c>
      <c r="Z364">
        <v>5351.75</v>
      </c>
      <c r="AA364">
        <v>300</v>
      </c>
      <c r="AB364" s="6">
        <v>46147.586122685185</v>
      </c>
      <c r="AC364" s="6">
        <v>46125.404398148145</v>
      </c>
    </row>
    <row r="365" spans="1:29" x14ac:dyDescent="0.25">
      <c r="A365" t="s">
        <v>8</v>
      </c>
      <c r="B365" s="5">
        <v>46168</v>
      </c>
      <c r="C365" t="s">
        <v>54</v>
      </c>
      <c r="D365" t="s">
        <v>421</v>
      </c>
      <c r="E365">
        <v>17069058</v>
      </c>
      <c r="F365" t="s">
        <v>56</v>
      </c>
      <c r="G365" t="s">
        <v>57</v>
      </c>
      <c r="H365">
        <v>49800</v>
      </c>
      <c r="I365" t="s">
        <v>60</v>
      </c>
      <c r="J365">
        <v>73.349999999999994</v>
      </c>
      <c r="K365">
        <v>-4.7402597402597477</v>
      </c>
      <c r="L365">
        <v>150</v>
      </c>
      <c r="M365">
        <v>92.61</v>
      </c>
      <c r="N365">
        <v>18900</v>
      </c>
      <c r="O365">
        <v>2490</v>
      </c>
      <c r="P365">
        <v>3630</v>
      </c>
      <c r="Q365">
        <v>17700</v>
      </c>
      <c r="R365">
        <v>17760</v>
      </c>
      <c r="S365">
        <v>15390</v>
      </c>
      <c r="T365">
        <v>87.75</v>
      </c>
      <c r="U365">
        <v>109.9</v>
      </c>
      <c r="V365">
        <v>70.400000000000006</v>
      </c>
      <c r="W365">
        <v>77</v>
      </c>
      <c r="X365">
        <v>72.849999999999994</v>
      </c>
      <c r="Y365">
        <v>60</v>
      </c>
      <c r="Z365">
        <v>75.05</v>
      </c>
      <c r="AA365">
        <v>60</v>
      </c>
      <c r="AB365" s="6">
        <v>46147.586122685185</v>
      </c>
      <c r="AC365" s="6">
        <v>46147.581377314818</v>
      </c>
    </row>
    <row r="366" spans="1:29" x14ac:dyDescent="0.25">
      <c r="A366" t="s">
        <v>8</v>
      </c>
      <c r="B366" s="5">
        <v>46168</v>
      </c>
      <c r="C366" t="s">
        <v>54</v>
      </c>
      <c r="D366" t="s">
        <v>422</v>
      </c>
      <c r="E366">
        <v>17069314</v>
      </c>
      <c r="F366" t="s">
        <v>56</v>
      </c>
      <c r="G366" t="s">
        <v>57</v>
      </c>
      <c r="H366">
        <v>49900</v>
      </c>
      <c r="I366" t="s">
        <v>58</v>
      </c>
      <c r="J366">
        <v>11972.5</v>
      </c>
      <c r="K366">
        <v>0</v>
      </c>
      <c r="L366">
        <v>0</v>
      </c>
      <c r="M366">
        <v>0</v>
      </c>
      <c r="N366">
        <v>0</v>
      </c>
      <c r="O366">
        <v>4590</v>
      </c>
      <c r="P366">
        <v>3630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11972.5</v>
      </c>
      <c r="X366">
        <v>5002.7</v>
      </c>
      <c r="Y366">
        <v>300</v>
      </c>
      <c r="Z366">
        <v>5273.35</v>
      </c>
      <c r="AA366">
        <v>300</v>
      </c>
      <c r="AB366" s="6">
        <v>46147.5862037037</v>
      </c>
      <c r="AC366" s="6">
        <v>25569.229166666668</v>
      </c>
    </row>
    <row r="367" spans="1:29" x14ac:dyDescent="0.25">
      <c r="A367" t="s">
        <v>8</v>
      </c>
      <c r="B367" s="5">
        <v>46168</v>
      </c>
      <c r="C367" t="s">
        <v>54</v>
      </c>
      <c r="D367" t="s">
        <v>423</v>
      </c>
      <c r="E367">
        <v>17069570</v>
      </c>
      <c r="F367" t="s">
        <v>56</v>
      </c>
      <c r="G367" t="s">
        <v>57</v>
      </c>
      <c r="H367">
        <v>49900</v>
      </c>
      <c r="I367" t="s">
        <v>60</v>
      </c>
      <c r="J367">
        <v>77.900000000000006</v>
      </c>
      <c r="K367">
        <v>-3.5891089108910785</v>
      </c>
      <c r="L367">
        <v>30</v>
      </c>
      <c r="M367">
        <v>93.94</v>
      </c>
      <c r="N367">
        <v>20430</v>
      </c>
      <c r="O367">
        <v>2010</v>
      </c>
      <c r="P367">
        <v>5550</v>
      </c>
      <c r="Q367">
        <v>11340</v>
      </c>
      <c r="R367">
        <v>11460</v>
      </c>
      <c r="S367">
        <v>8490</v>
      </c>
      <c r="T367">
        <v>93</v>
      </c>
      <c r="U367">
        <v>112</v>
      </c>
      <c r="V367">
        <v>74.650000000000006</v>
      </c>
      <c r="W367">
        <v>80.8</v>
      </c>
      <c r="X367">
        <v>77.900000000000006</v>
      </c>
      <c r="Y367">
        <v>60</v>
      </c>
      <c r="Z367">
        <v>79.45</v>
      </c>
      <c r="AA367">
        <v>180</v>
      </c>
      <c r="AB367" s="6">
        <v>46147.586458333331</v>
      </c>
      <c r="AC367" s="6">
        <v>46147.581250000003</v>
      </c>
    </row>
    <row r="368" spans="1:29" x14ac:dyDescent="0.25">
      <c r="A368" t="s">
        <v>8</v>
      </c>
      <c r="B368" s="5">
        <v>46168</v>
      </c>
      <c r="C368" t="s">
        <v>54</v>
      </c>
      <c r="D368" t="s">
        <v>424</v>
      </c>
      <c r="E368">
        <v>17070850</v>
      </c>
      <c r="F368" t="s">
        <v>56</v>
      </c>
      <c r="G368" t="s">
        <v>57</v>
      </c>
      <c r="H368">
        <v>50000</v>
      </c>
      <c r="I368" t="s">
        <v>58</v>
      </c>
      <c r="J368">
        <v>5046.75</v>
      </c>
      <c r="K368">
        <v>-2.7469986318000537</v>
      </c>
      <c r="L368">
        <v>90</v>
      </c>
      <c r="M368">
        <v>4787.6099999999997</v>
      </c>
      <c r="N368">
        <v>3420</v>
      </c>
      <c r="O368">
        <v>6150</v>
      </c>
      <c r="P368">
        <v>5250</v>
      </c>
      <c r="Q368">
        <v>57870</v>
      </c>
      <c r="R368">
        <v>57870</v>
      </c>
      <c r="S368">
        <v>57120</v>
      </c>
      <c r="T368">
        <v>4900</v>
      </c>
      <c r="U368">
        <v>5100</v>
      </c>
      <c r="V368">
        <v>4541</v>
      </c>
      <c r="W368">
        <v>5189.3</v>
      </c>
      <c r="X368">
        <v>5016.3999999999996</v>
      </c>
      <c r="Y368">
        <v>30</v>
      </c>
      <c r="Z368">
        <v>5078.95</v>
      </c>
      <c r="AA368">
        <v>30</v>
      </c>
      <c r="AB368" s="6">
        <v>46147.586527777778</v>
      </c>
      <c r="AC368" s="6">
        <v>46147.574942129628</v>
      </c>
    </row>
    <row r="369" spans="1:29" x14ac:dyDescent="0.25">
      <c r="A369" t="s">
        <v>8</v>
      </c>
      <c r="B369" s="5">
        <v>46168</v>
      </c>
      <c r="C369" t="s">
        <v>54</v>
      </c>
      <c r="D369" t="s">
        <v>425</v>
      </c>
      <c r="E369">
        <v>17071106</v>
      </c>
      <c r="F369" t="s">
        <v>56</v>
      </c>
      <c r="G369" t="s">
        <v>57</v>
      </c>
      <c r="H369">
        <v>50000</v>
      </c>
      <c r="I369" t="s">
        <v>60</v>
      </c>
      <c r="J369">
        <v>82.2</v>
      </c>
      <c r="K369">
        <v>-3.4644744568408723</v>
      </c>
      <c r="L369">
        <v>30</v>
      </c>
      <c r="M369">
        <v>97.44</v>
      </c>
      <c r="N369">
        <v>742200</v>
      </c>
      <c r="O369">
        <v>14490</v>
      </c>
      <c r="P369">
        <v>22290</v>
      </c>
      <c r="Q369">
        <v>816480</v>
      </c>
      <c r="R369">
        <v>822600</v>
      </c>
      <c r="S369">
        <v>719130</v>
      </c>
      <c r="T369">
        <v>101.75</v>
      </c>
      <c r="U369">
        <v>119</v>
      </c>
      <c r="V369">
        <v>76.2</v>
      </c>
      <c r="W369">
        <v>85.15</v>
      </c>
      <c r="X369">
        <v>83.2</v>
      </c>
      <c r="Y369">
        <v>210</v>
      </c>
      <c r="Z369">
        <v>83.7</v>
      </c>
      <c r="AA369">
        <v>60</v>
      </c>
      <c r="AB369" s="6">
        <v>46147.586458333331</v>
      </c>
      <c r="AC369" s="6">
        <v>46147.586053240739</v>
      </c>
    </row>
    <row r="370" spans="1:29" x14ac:dyDescent="0.25">
      <c r="A370" t="s">
        <v>8</v>
      </c>
      <c r="B370" s="5">
        <v>46168</v>
      </c>
      <c r="C370" t="s">
        <v>54</v>
      </c>
      <c r="D370" t="s">
        <v>426</v>
      </c>
      <c r="E370">
        <v>17085954</v>
      </c>
      <c r="F370" t="s">
        <v>56</v>
      </c>
      <c r="G370" t="s">
        <v>57</v>
      </c>
      <c r="H370">
        <v>50100</v>
      </c>
      <c r="I370" t="s">
        <v>58</v>
      </c>
      <c r="J370">
        <v>11776.45</v>
      </c>
      <c r="K370">
        <v>0</v>
      </c>
      <c r="L370">
        <v>0</v>
      </c>
      <c r="M370">
        <v>0</v>
      </c>
      <c r="N370">
        <v>0</v>
      </c>
      <c r="O370">
        <v>5490</v>
      </c>
      <c r="P370">
        <v>4590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11776.45</v>
      </c>
      <c r="X370">
        <v>4787.8500000000004</v>
      </c>
      <c r="Y370">
        <v>1200</v>
      </c>
      <c r="Z370">
        <v>5082.95</v>
      </c>
      <c r="AA370">
        <v>300</v>
      </c>
      <c r="AB370" s="6">
        <v>46147.5862037037</v>
      </c>
      <c r="AC370" s="6">
        <v>25569.229166666668</v>
      </c>
    </row>
    <row r="371" spans="1:29" x14ac:dyDescent="0.25">
      <c r="A371" t="s">
        <v>8</v>
      </c>
      <c r="B371" s="5">
        <v>46168</v>
      </c>
      <c r="C371" t="s">
        <v>54</v>
      </c>
      <c r="D371" t="s">
        <v>427</v>
      </c>
      <c r="E371">
        <v>17086210</v>
      </c>
      <c r="F371" t="s">
        <v>56</v>
      </c>
      <c r="G371" t="s">
        <v>57</v>
      </c>
      <c r="H371">
        <v>50100</v>
      </c>
      <c r="I371" t="s">
        <v>60</v>
      </c>
      <c r="J371">
        <v>87.2</v>
      </c>
      <c r="K371">
        <v>-2.7328499721137787</v>
      </c>
      <c r="L371">
        <v>30</v>
      </c>
      <c r="M371">
        <v>104.95</v>
      </c>
      <c r="N371">
        <v>23190</v>
      </c>
      <c r="O371">
        <v>2460</v>
      </c>
      <c r="P371">
        <v>4980</v>
      </c>
      <c r="Q371">
        <v>6810</v>
      </c>
      <c r="R371">
        <v>6840</v>
      </c>
      <c r="S371">
        <v>3930</v>
      </c>
      <c r="T371">
        <v>106.1</v>
      </c>
      <c r="U371">
        <v>125.5</v>
      </c>
      <c r="V371">
        <v>80</v>
      </c>
      <c r="W371">
        <v>89.65</v>
      </c>
      <c r="X371">
        <v>84.85</v>
      </c>
      <c r="Y371">
        <v>30</v>
      </c>
      <c r="Z371">
        <v>86.5</v>
      </c>
      <c r="AA371">
        <v>60</v>
      </c>
      <c r="AB371" s="6">
        <v>46147.586527777778</v>
      </c>
      <c r="AC371" s="6">
        <v>46147.586041666669</v>
      </c>
    </row>
    <row r="372" spans="1:29" x14ac:dyDescent="0.25">
      <c r="A372" t="s">
        <v>8</v>
      </c>
      <c r="B372" s="5">
        <v>46168</v>
      </c>
      <c r="C372" t="s">
        <v>54</v>
      </c>
      <c r="D372" t="s">
        <v>428</v>
      </c>
      <c r="E372">
        <v>17086466</v>
      </c>
      <c r="F372" t="s">
        <v>56</v>
      </c>
      <c r="G372" t="s">
        <v>57</v>
      </c>
      <c r="H372">
        <v>50200</v>
      </c>
      <c r="I372" t="s">
        <v>58</v>
      </c>
      <c r="J372">
        <v>4547.3</v>
      </c>
      <c r="K372">
        <v>-11.378540872903724</v>
      </c>
      <c r="L372">
        <v>150</v>
      </c>
      <c r="M372">
        <v>4547.3</v>
      </c>
      <c r="N372">
        <v>420</v>
      </c>
      <c r="O372">
        <v>4590</v>
      </c>
      <c r="P372">
        <v>5610</v>
      </c>
      <c r="Q372">
        <v>1770</v>
      </c>
      <c r="R372">
        <v>1770</v>
      </c>
      <c r="S372">
        <v>1770</v>
      </c>
      <c r="T372">
        <v>4547.3</v>
      </c>
      <c r="U372">
        <v>4547.3</v>
      </c>
      <c r="V372">
        <v>4547.3</v>
      </c>
      <c r="W372">
        <v>5131.1499999999996</v>
      </c>
      <c r="X372">
        <v>4778</v>
      </c>
      <c r="Y372">
        <v>60</v>
      </c>
      <c r="Z372">
        <v>4927.5</v>
      </c>
      <c r="AA372">
        <v>30</v>
      </c>
      <c r="AB372" s="6">
        <v>46147.586087962962</v>
      </c>
      <c r="AC372" s="6">
        <v>46147.525972222225</v>
      </c>
    </row>
    <row r="373" spans="1:29" x14ac:dyDescent="0.25">
      <c r="A373" t="s">
        <v>8</v>
      </c>
      <c r="B373" s="5">
        <v>46168</v>
      </c>
      <c r="C373" t="s">
        <v>54</v>
      </c>
      <c r="D373" t="s">
        <v>429</v>
      </c>
      <c r="E373">
        <v>17086722</v>
      </c>
      <c r="F373" t="s">
        <v>56</v>
      </c>
      <c r="G373" t="s">
        <v>57</v>
      </c>
      <c r="H373">
        <v>50200</v>
      </c>
      <c r="I373" t="s">
        <v>60</v>
      </c>
      <c r="J373">
        <v>87.95</v>
      </c>
      <c r="K373">
        <v>-9.0956072351421167</v>
      </c>
      <c r="L373">
        <v>30</v>
      </c>
      <c r="M373">
        <v>107.23</v>
      </c>
      <c r="N373">
        <v>15780</v>
      </c>
      <c r="O373">
        <v>2550</v>
      </c>
      <c r="P373">
        <v>3630</v>
      </c>
      <c r="Q373">
        <v>9270</v>
      </c>
      <c r="R373">
        <v>9360</v>
      </c>
      <c r="S373">
        <v>5640</v>
      </c>
      <c r="T373">
        <v>102.85</v>
      </c>
      <c r="U373">
        <v>132.4</v>
      </c>
      <c r="V373">
        <v>87.45</v>
      </c>
      <c r="W373">
        <v>96.75</v>
      </c>
      <c r="X373">
        <v>90.45</v>
      </c>
      <c r="Y373">
        <v>210</v>
      </c>
      <c r="Z373">
        <v>93</v>
      </c>
      <c r="AA373">
        <v>60</v>
      </c>
      <c r="AB373" s="6">
        <v>46147.586458333331</v>
      </c>
      <c r="AC373" s="6">
        <v>46147.575787037036</v>
      </c>
    </row>
    <row r="374" spans="1:29" x14ac:dyDescent="0.25">
      <c r="A374" t="s">
        <v>8</v>
      </c>
      <c r="B374" s="5">
        <v>46168</v>
      </c>
      <c r="C374" t="s">
        <v>54</v>
      </c>
      <c r="D374" t="s">
        <v>430</v>
      </c>
      <c r="E374">
        <v>17086978</v>
      </c>
      <c r="F374" t="s">
        <v>56</v>
      </c>
      <c r="G374" t="s">
        <v>57</v>
      </c>
      <c r="H374">
        <v>50300</v>
      </c>
      <c r="I374" t="s">
        <v>58</v>
      </c>
      <c r="J374">
        <v>4200</v>
      </c>
      <c r="K374">
        <v>-19.669497360569196</v>
      </c>
      <c r="L374">
        <v>30</v>
      </c>
      <c r="M374">
        <v>4200</v>
      </c>
      <c r="N374">
        <v>30</v>
      </c>
      <c r="O374">
        <v>5910</v>
      </c>
      <c r="P374">
        <v>4680</v>
      </c>
      <c r="Q374">
        <v>30</v>
      </c>
      <c r="R374">
        <v>30</v>
      </c>
      <c r="S374">
        <v>30</v>
      </c>
      <c r="T374">
        <v>4200</v>
      </c>
      <c r="U374">
        <v>4200</v>
      </c>
      <c r="V374">
        <v>4200</v>
      </c>
      <c r="W374">
        <v>5228.3999999999996</v>
      </c>
      <c r="X374">
        <v>4673.3999999999996</v>
      </c>
      <c r="Y374">
        <v>300</v>
      </c>
      <c r="Z374">
        <v>4863.5</v>
      </c>
      <c r="AA374">
        <v>30</v>
      </c>
      <c r="AB374" s="6">
        <v>46147.586145833331</v>
      </c>
      <c r="AC374" s="6">
        <v>46147.496851851851</v>
      </c>
    </row>
    <row r="375" spans="1:29" x14ac:dyDescent="0.25">
      <c r="A375" t="s">
        <v>8</v>
      </c>
      <c r="B375" s="5">
        <v>46168</v>
      </c>
      <c r="C375" t="s">
        <v>54</v>
      </c>
      <c r="D375" t="s">
        <v>431</v>
      </c>
      <c r="E375">
        <v>17087234</v>
      </c>
      <c r="F375" t="s">
        <v>56</v>
      </c>
      <c r="G375" t="s">
        <v>57</v>
      </c>
      <c r="H375">
        <v>50300</v>
      </c>
      <c r="I375" t="s">
        <v>60</v>
      </c>
      <c r="J375">
        <v>94.95</v>
      </c>
      <c r="K375">
        <v>-6.2222222222222197</v>
      </c>
      <c r="L375">
        <v>30</v>
      </c>
      <c r="M375">
        <v>115.76</v>
      </c>
      <c r="N375">
        <v>14970</v>
      </c>
      <c r="O375">
        <v>2100</v>
      </c>
      <c r="P375">
        <v>3750</v>
      </c>
      <c r="Q375">
        <v>7590</v>
      </c>
      <c r="R375">
        <v>8370</v>
      </c>
      <c r="S375">
        <v>6630</v>
      </c>
      <c r="T375">
        <v>114</v>
      </c>
      <c r="U375">
        <v>140.5</v>
      </c>
      <c r="V375">
        <v>88.3</v>
      </c>
      <c r="W375">
        <v>101.25</v>
      </c>
      <c r="X375">
        <v>95.45</v>
      </c>
      <c r="Y375">
        <v>30</v>
      </c>
      <c r="Z375">
        <v>97.65</v>
      </c>
      <c r="AA375">
        <v>60</v>
      </c>
      <c r="AB375" s="6">
        <v>46147.586145833331</v>
      </c>
      <c r="AC375" s="6">
        <v>46147.572905092595</v>
      </c>
    </row>
    <row r="376" spans="1:29" x14ac:dyDescent="0.25">
      <c r="A376" t="s">
        <v>8</v>
      </c>
      <c r="B376" s="5">
        <v>46168</v>
      </c>
      <c r="C376" t="s">
        <v>54</v>
      </c>
      <c r="D376" t="s">
        <v>432</v>
      </c>
      <c r="E376">
        <v>17087490</v>
      </c>
      <c r="F376" t="s">
        <v>56</v>
      </c>
      <c r="G376" t="s">
        <v>57</v>
      </c>
      <c r="H376">
        <v>50400</v>
      </c>
      <c r="I376" t="s">
        <v>58</v>
      </c>
      <c r="J376">
        <v>3633.85</v>
      </c>
      <c r="K376">
        <v>0</v>
      </c>
      <c r="L376">
        <v>30</v>
      </c>
      <c r="M376">
        <v>0</v>
      </c>
      <c r="N376">
        <v>0</v>
      </c>
      <c r="O376">
        <v>5490</v>
      </c>
      <c r="P376">
        <v>4590</v>
      </c>
      <c r="Q376">
        <v>120</v>
      </c>
      <c r="R376">
        <v>120</v>
      </c>
      <c r="S376">
        <v>120</v>
      </c>
      <c r="T376">
        <v>0</v>
      </c>
      <c r="U376">
        <v>0</v>
      </c>
      <c r="V376">
        <v>0</v>
      </c>
      <c r="W376">
        <v>3633.85</v>
      </c>
      <c r="X376">
        <v>4521.6000000000004</v>
      </c>
      <c r="Y376">
        <v>300</v>
      </c>
      <c r="Z376">
        <v>4802.75</v>
      </c>
      <c r="AA376">
        <v>300</v>
      </c>
      <c r="AB376" s="6">
        <v>46147.586145833331</v>
      </c>
      <c r="AC376" s="6">
        <v>46119.569745370369</v>
      </c>
    </row>
    <row r="377" spans="1:29" x14ac:dyDescent="0.25">
      <c r="A377" t="s">
        <v>8</v>
      </c>
      <c r="B377" s="5">
        <v>46168</v>
      </c>
      <c r="C377" t="s">
        <v>54</v>
      </c>
      <c r="D377" t="s">
        <v>433</v>
      </c>
      <c r="E377">
        <v>17087746</v>
      </c>
      <c r="F377" t="s">
        <v>56</v>
      </c>
      <c r="G377" t="s">
        <v>57</v>
      </c>
      <c r="H377">
        <v>50400</v>
      </c>
      <c r="I377" t="s">
        <v>60</v>
      </c>
      <c r="J377">
        <v>98.7</v>
      </c>
      <c r="K377">
        <v>-6.8867924528301865</v>
      </c>
      <c r="L377">
        <v>60</v>
      </c>
      <c r="M377">
        <v>124.06</v>
      </c>
      <c r="N377">
        <v>6120</v>
      </c>
      <c r="O377">
        <v>1650</v>
      </c>
      <c r="P377">
        <v>3780</v>
      </c>
      <c r="Q377">
        <v>2340</v>
      </c>
      <c r="R377">
        <v>2460</v>
      </c>
      <c r="S377">
        <v>1950</v>
      </c>
      <c r="T377">
        <v>122.15</v>
      </c>
      <c r="U377">
        <v>145.55000000000001</v>
      </c>
      <c r="V377">
        <v>97</v>
      </c>
      <c r="W377">
        <v>106</v>
      </c>
      <c r="X377">
        <v>102.05</v>
      </c>
      <c r="Y377">
        <v>180</v>
      </c>
      <c r="Z377">
        <v>104.2</v>
      </c>
      <c r="AA377">
        <v>90</v>
      </c>
      <c r="AB377" s="6">
        <v>46147.586145833331</v>
      </c>
      <c r="AC377" s="6">
        <v>46147.576342592591</v>
      </c>
    </row>
    <row r="378" spans="1:29" x14ac:dyDescent="0.25">
      <c r="A378" t="s">
        <v>8</v>
      </c>
      <c r="B378" s="5">
        <v>46168</v>
      </c>
      <c r="C378" t="s">
        <v>54</v>
      </c>
      <c r="D378" t="s">
        <v>434</v>
      </c>
      <c r="E378">
        <v>17088002</v>
      </c>
      <c r="F378" t="s">
        <v>56</v>
      </c>
      <c r="G378" t="s">
        <v>57</v>
      </c>
      <c r="H378">
        <v>50500</v>
      </c>
      <c r="I378" t="s">
        <v>58</v>
      </c>
      <c r="J378">
        <v>4315</v>
      </c>
      <c r="K378">
        <v>-10.104166666666666</v>
      </c>
      <c r="L378">
        <v>30</v>
      </c>
      <c r="M378">
        <v>4254.5</v>
      </c>
      <c r="N378">
        <v>60</v>
      </c>
      <c r="O378">
        <v>5190</v>
      </c>
      <c r="P378">
        <v>5610</v>
      </c>
      <c r="Q378">
        <v>1200</v>
      </c>
      <c r="R378">
        <v>1230</v>
      </c>
      <c r="S378">
        <v>1200</v>
      </c>
      <c r="T378">
        <v>4194</v>
      </c>
      <c r="U378">
        <v>4315</v>
      </c>
      <c r="V378">
        <v>4194</v>
      </c>
      <c r="W378">
        <v>4800</v>
      </c>
      <c r="X378">
        <v>4545</v>
      </c>
      <c r="Y378">
        <v>90</v>
      </c>
      <c r="Z378">
        <v>4667</v>
      </c>
      <c r="AA378">
        <v>60</v>
      </c>
      <c r="AB378" s="6">
        <v>46147.586516203701</v>
      </c>
      <c r="AC378" s="6">
        <v>46147.469699074078</v>
      </c>
    </row>
    <row r="379" spans="1:29" x14ac:dyDescent="0.25">
      <c r="A379" t="s">
        <v>8</v>
      </c>
      <c r="B379" s="5">
        <v>46168</v>
      </c>
      <c r="C379" t="s">
        <v>54</v>
      </c>
      <c r="D379" t="s">
        <v>435</v>
      </c>
      <c r="E379">
        <v>17089026</v>
      </c>
      <c r="F379" t="s">
        <v>56</v>
      </c>
      <c r="G379" t="s">
        <v>57</v>
      </c>
      <c r="H379">
        <v>50500</v>
      </c>
      <c r="I379" t="s">
        <v>60</v>
      </c>
      <c r="J379">
        <v>108.25</v>
      </c>
      <c r="K379">
        <v>-1.5013648771610606</v>
      </c>
      <c r="L379">
        <v>30</v>
      </c>
      <c r="M379">
        <v>131.6</v>
      </c>
      <c r="N379">
        <v>167430</v>
      </c>
      <c r="O379">
        <v>4500</v>
      </c>
      <c r="P379">
        <v>8970</v>
      </c>
      <c r="Q379">
        <v>136200</v>
      </c>
      <c r="R379">
        <v>137160</v>
      </c>
      <c r="S379">
        <v>114690</v>
      </c>
      <c r="T379">
        <v>109</v>
      </c>
      <c r="U379">
        <v>156.30000000000001</v>
      </c>
      <c r="V379">
        <v>99.2</v>
      </c>
      <c r="W379">
        <v>109.9</v>
      </c>
      <c r="X379">
        <v>106.65</v>
      </c>
      <c r="Y379">
        <v>60</v>
      </c>
      <c r="Z379">
        <v>107.25</v>
      </c>
      <c r="AA379">
        <v>150</v>
      </c>
      <c r="AB379" s="6">
        <v>46147.586516203701</v>
      </c>
      <c r="AC379" s="6">
        <v>46147.586168981485</v>
      </c>
    </row>
    <row r="380" spans="1:29" x14ac:dyDescent="0.25">
      <c r="A380" t="s">
        <v>8</v>
      </c>
      <c r="B380" s="5">
        <v>46168</v>
      </c>
      <c r="C380" t="s">
        <v>54</v>
      </c>
      <c r="D380" t="s">
        <v>436</v>
      </c>
      <c r="E380">
        <v>17089282</v>
      </c>
      <c r="F380" t="s">
        <v>56</v>
      </c>
      <c r="G380" t="s">
        <v>57</v>
      </c>
      <c r="H380">
        <v>50600</v>
      </c>
      <c r="I380" t="s">
        <v>58</v>
      </c>
      <c r="J380">
        <v>7075</v>
      </c>
      <c r="K380">
        <v>0</v>
      </c>
      <c r="L380">
        <v>30</v>
      </c>
      <c r="M380">
        <v>0</v>
      </c>
      <c r="N380">
        <v>0</v>
      </c>
      <c r="O380">
        <v>3300</v>
      </c>
      <c r="P380">
        <v>4590</v>
      </c>
      <c r="Q380">
        <v>720</v>
      </c>
      <c r="R380">
        <v>720</v>
      </c>
      <c r="S380">
        <v>720</v>
      </c>
      <c r="T380">
        <v>0</v>
      </c>
      <c r="U380">
        <v>0</v>
      </c>
      <c r="V380">
        <v>0</v>
      </c>
      <c r="W380">
        <v>7075</v>
      </c>
      <c r="X380">
        <v>4380.8999999999996</v>
      </c>
      <c r="Y380">
        <v>900</v>
      </c>
      <c r="Z380">
        <v>4594.1499999999996</v>
      </c>
      <c r="AA380">
        <v>300</v>
      </c>
      <c r="AB380" s="6">
        <v>46147.586157407408</v>
      </c>
      <c r="AC380" s="6">
        <v>46133.641516203701</v>
      </c>
    </row>
    <row r="381" spans="1:29" x14ac:dyDescent="0.25">
      <c r="A381" t="s">
        <v>8</v>
      </c>
      <c r="B381" s="5">
        <v>46168</v>
      </c>
      <c r="C381" t="s">
        <v>54</v>
      </c>
      <c r="D381" t="s">
        <v>437</v>
      </c>
      <c r="E381">
        <v>17089538</v>
      </c>
      <c r="F381" t="s">
        <v>56</v>
      </c>
      <c r="G381" t="s">
        <v>57</v>
      </c>
      <c r="H381">
        <v>50600</v>
      </c>
      <c r="I381" t="s">
        <v>60</v>
      </c>
      <c r="J381">
        <v>111.8</v>
      </c>
      <c r="K381">
        <v>-4.6075085324232132</v>
      </c>
      <c r="L381">
        <v>30</v>
      </c>
      <c r="M381">
        <v>141.13999999999999</v>
      </c>
      <c r="N381">
        <v>27960</v>
      </c>
      <c r="O381">
        <v>3570</v>
      </c>
      <c r="P381">
        <v>4830</v>
      </c>
      <c r="Q381">
        <v>27990</v>
      </c>
      <c r="R381">
        <v>31440</v>
      </c>
      <c r="S381">
        <v>27930</v>
      </c>
      <c r="T381">
        <v>140</v>
      </c>
      <c r="U381">
        <v>161.75</v>
      </c>
      <c r="V381">
        <v>104.5</v>
      </c>
      <c r="W381">
        <v>117.2</v>
      </c>
      <c r="X381">
        <v>113.55</v>
      </c>
      <c r="Y381">
        <v>150</v>
      </c>
      <c r="Z381">
        <v>115.9</v>
      </c>
      <c r="AA381">
        <v>150</v>
      </c>
      <c r="AB381" s="6">
        <v>46147.586157407408</v>
      </c>
      <c r="AC381" s="6">
        <v>46147.574930555558</v>
      </c>
    </row>
    <row r="382" spans="1:29" x14ac:dyDescent="0.25">
      <c r="A382" t="s">
        <v>8</v>
      </c>
      <c r="B382" s="5">
        <v>46168</v>
      </c>
      <c r="C382" t="s">
        <v>54</v>
      </c>
      <c r="D382" t="s">
        <v>438</v>
      </c>
      <c r="E382">
        <v>17089794</v>
      </c>
      <c r="F382" t="s">
        <v>56</v>
      </c>
      <c r="G382" t="s">
        <v>57</v>
      </c>
      <c r="H382">
        <v>50700</v>
      </c>
      <c r="I382" t="s">
        <v>58</v>
      </c>
      <c r="J382">
        <v>5411.1</v>
      </c>
      <c r="K382">
        <v>0</v>
      </c>
      <c r="L382">
        <v>30</v>
      </c>
      <c r="M382">
        <v>0</v>
      </c>
      <c r="N382">
        <v>0</v>
      </c>
      <c r="O382">
        <v>5550</v>
      </c>
      <c r="P382">
        <v>4650</v>
      </c>
      <c r="Q382">
        <v>330</v>
      </c>
      <c r="R382">
        <v>330</v>
      </c>
      <c r="S382">
        <v>330</v>
      </c>
      <c r="T382">
        <v>0</v>
      </c>
      <c r="U382">
        <v>0</v>
      </c>
      <c r="V382">
        <v>0</v>
      </c>
      <c r="W382">
        <v>5411.1</v>
      </c>
      <c r="X382">
        <v>4271.8</v>
      </c>
      <c r="Y382">
        <v>300</v>
      </c>
      <c r="Z382">
        <v>4537.8999999999996</v>
      </c>
      <c r="AA382">
        <v>300</v>
      </c>
      <c r="AB382" s="6">
        <v>46147.5862037037</v>
      </c>
      <c r="AC382" s="6">
        <v>46121.514965277776</v>
      </c>
    </row>
    <row r="383" spans="1:29" x14ac:dyDescent="0.25">
      <c r="A383" t="s">
        <v>8</v>
      </c>
      <c r="B383" s="5">
        <v>46168</v>
      </c>
      <c r="C383" t="s">
        <v>54</v>
      </c>
      <c r="D383" t="s">
        <v>439</v>
      </c>
      <c r="E383">
        <v>17090050</v>
      </c>
      <c r="F383" t="s">
        <v>56</v>
      </c>
      <c r="G383" t="s">
        <v>57</v>
      </c>
      <c r="H383">
        <v>50700</v>
      </c>
      <c r="I383" t="s">
        <v>60</v>
      </c>
      <c r="J383">
        <v>119.6</v>
      </c>
      <c r="K383">
        <v>-5.6782334384858064</v>
      </c>
      <c r="L383">
        <v>30</v>
      </c>
      <c r="M383">
        <v>143.94</v>
      </c>
      <c r="N383">
        <v>19020</v>
      </c>
      <c r="O383">
        <v>3480</v>
      </c>
      <c r="P383">
        <v>4890</v>
      </c>
      <c r="Q383">
        <v>6030</v>
      </c>
      <c r="R383">
        <v>7740</v>
      </c>
      <c r="S383">
        <v>3810</v>
      </c>
      <c r="T383">
        <v>144.94999999999999</v>
      </c>
      <c r="U383">
        <v>172.25</v>
      </c>
      <c r="V383">
        <v>113.5</v>
      </c>
      <c r="W383">
        <v>126.8</v>
      </c>
      <c r="X383">
        <v>119.15</v>
      </c>
      <c r="Y383">
        <v>330</v>
      </c>
      <c r="Z383">
        <v>121.55</v>
      </c>
      <c r="AA383">
        <v>60</v>
      </c>
      <c r="AB383" s="6">
        <v>46147.5862037037</v>
      </c>
      <c r="AC383" s="6">
        <v>46147.577175925922</v>
      </c>
    </row>
    <row r="384" spans="1:29" x14ac:dyDescent="0.25">
      <c r="A384" t="s">
        <v>8</v>
      </c>
      <c r="B384" s="5">
        <v>46168</v>
      </c>
      <c r="C384" t="s">
        <v>54</v>
      </c>
      <c r="D384" t="s">
        <v>440</v>
      </c>
      <c r="E384">
        <v>17090306</v>
      </c>
      <c r="F384" t="s">
        <v>56</v>
      </c>
      <c r="G384" t="s">
        <v>57</v>
      </c>
      <c r="H384">
        <v>50800</v>
      </c>
      <c r="I384" t="s">
        <v>58</v>
      </c>
      <c r="J384">
        <v>5393.7</v>
      </c>
      <c r="K384">
        <v>0</v>
      </c>
      <c r="L384">
        <v>30</v>
      </c>
      <c r="M384">
        <v>0</v>
      </c>
      <c r="N384">
        <v>0</v>
      </c>
      <c r="O384">
        <v>3450</v>
      </c>
      <c r="P384">
        <v>4740</v>
      </c>
      <c r="Q384">
        <v>330</v>
      </c>
      <c r="R384">
        <v>330</v>
      </c>
      <c r="S384">
        <v>330</v>
      </c>
      <c r="T384">
        <v>0</v>
      </c>
      <c r="U384">
        <v>0</v>
      </c>
      <c r="V384">
        <v>0</v>
      </c>
      <c r="W384">
        <v>5393.7</v>
      </c>
      <c r="X384">
        <v>4164.8500000000004</v>
      </c>
      <c r="Y384">
        <v>300</v>
      </c>
      <c r="Z384">
        <v>4395.5</v>
      </c>
      <c r="AA384">
        <v>330</v>
      </c>
      <c r="AB384" s="6">
        <v>46147.586168981485</v>
      </c>
      <c r="AC384" s="6">
        <v>46140.457465277781</v>
      </c>
    </row>
    <row r="385" spans="1:29" x14ac:dyDescent="0.25">
      <c r="A385" t="s">
        <v>8</v>
      </c>
      <c r="B385" s="5">
        <v>46168</v>
      </c>
      <c r="C385" t="s">
        <v>54</v>
      </c>
      <c r="D385" t="s">
        <v>441</v>
      </c>
      <c r="E385">
        <v>17090562</v>
      </c>
      <c r="F385" t="s">
        <v>56</v>
      </c>
      <c r="G385" t="s">
        <v>57</v>
      </c>
      <c r="H385">
        <v>50800</v>
      </c>
      <c r="I385" t="s">
        <v>60</v>
      </c>
      <c r="J385">
        <v>124.3</v>
      </c>
      <c r="K385">
        <v>-4.4581091468101448</v>
      </c>
      <c r="L385">
        <v>30</v>
      </c>
      <c r="M385">
        <v>150.91</v>
      </c>
      <c r="N385">
        <v>38670</v>
      </c>
      <c r="O385">
        <v>4020</v>
      </c>
      <c r="P385">
        <v>4560</v>
      </c>
      <c r="Q385">
        <v>27000</v>
      </c>
      <c r="R385">
        <v>35010</v>
      </c>
      <c r="S385">
        <v>27000</v>
      </c>
      <c r="T385">
        <v>131</v>
      </c>
      <c r="U385">
        <v>181.5</v>
      </c>
      <c r="V385">
        <v>119.7</v>
      </c>
      <c r="W385">
        <v>130.1</v>
      </c>
      <c r="X385">
        <v>126.8</v>
      </c>
      <c r="Y385">
        <v>60</v>
      </c>
      <c r="Z385">
        <v>129.1</v>
      </c>
      <c r="AA385">
        <v>30</v>
      </c>
      <c r="AB385" s="6">
        <v>46147.586168981485</v>
      </c>
      <c r="AC385" s="6">
        <v>46147.582037037035</v>
      </c>
    </row>
    <row r="386" spans="1:29" x14ac:dyDescent="0.25">
      <c r="A386" t="s">
        <v>8</v>
      </c>
      <c r="B386" s="5">
        <v>46168</v>
      </c>
      <c r="C386" t="s">
        <v>54</v>
      </c>
      <c r="D386" t="s">
        <v>442</v>
      </c>
      <c r="E386">
        <v>17090818</v>
      </c>
      <c r="F386" t="s">
        <v>56</v>
      </c>
      <c r="G386" t="s">
        <v>57</v>
      </c>
      <c r="H386">
        <v>50900</v>
      </c>
      <c r="I386" t="s">
        <v>58</v>
      </c>
      <c r="J386">
        <v>5000</v>
      </c>
      <c r="K386">
        <v>0</v>
      </c>
      <c r="L386">
        <v>30</v>
      </c>
      <c r="M386">
        <v>0</v>
      </c>
      <c r="N386">
        <v>0</v>
      </c>
      <c r="O386">
        <v>5490</v>
      </c>
      <c r="P386">
        <v>5490</v>
      </c>
      <c r="Q386">
        <v>300</v>
      </c>
      <c r="R386">
        <v>300</v>
      </c>
      <c r="S386">
        <v>300</v>
      </c>
      <c r="T386">
        <v>0</v>
      </c>
      <c r="U386">
        <v>0</v>
      </c>
      <c r="V386">
        <v>0</v>
      </c>
      <c r="W386">
        <v>5000</v>
      </c>
      <c r="X386">
        <v>4100.55</v>
      </c>
      <c r="Y386">
        <v>300</v>
      </c>
      <c r="Z386">
        <v>4357.5</v>
      </c>
      <c r="AA386">
        <v>300</v>
      </c>
      <c r="AB386" s="6">
        <v>46147.5862037037</v>
      </c>
      <c r="AC386" s="6">
        <v>46121.586331018516</v>
      </c>
    </row>
    <row r="387" spans="1:29" x14ac:dyDescent="0.25">
      <c r="A387" t="s">
        <v>8</v>
      </c>
      <c r="B387" s="5">
        <v>46168</v>
      </c>
      <c r="C387" t="s">
        <v>54</v>
      </c>
      <c r="D387" t="s">
        <v>443</v>
      </c>
      <c r="E387">
        <v>17091074</v>
      </c>
      <c r="F387" t="s">
        <v>56</v>
      </c>
      <c r="G387" t="s">
        <v>57</v>
      </c>
      <c r="H387">
        <v>50900</v>
      </c>
      <c r="I387" t="s">
        <v>60</v>
      </c>
      <c r="J387">
        <v>133</v>
      </c>
      <c r="K387">
        <v>-4.6253137325206088</v>
      </c>
      <c r="L387">
        <v>30</v>
      </c>
      <c r="M387">
        <v>160.44</v>
      </c>
      <c r="N387">
        <v>14310</v>
      </c>
      <c r="O387">
        <v>2820</v>
      </c>
      <c r="P387">
        <v>5220</v>
      </c>
      <c r="Q387">
        <v>13800</v>
      </c>
      <c r="R387">
        <v>14340</v>
      </c>
      <c r="S387">
        <v>10710</v>
      </c>
      <c r="T387">
        <v>150</v>
      </c>
      <c r="U387">
        <v>190.75</v>
      </c>
      <c r="V387">
        <v>125</v>
      </c>
      <c r="W387">
        <v>139.44999999999999</v>
      </c>
      <c r="X387">
        <v>132.1</v>
      </c>
      <c r="Y387">
        <v>330</v>
      </c>
      <c r="Z387">
        <v>133.44999999999999</v>
      </c>
      <c r="AA387">
        <v>30</v>
      </c>
      <c r="AB387" s="6">
        <v>46147.586527777778</v>
      </c>
      <c r="AC387" s="6">
        <v>46147.586458333331</v>
      </c>
    </row>
    <row r="388" spans="1:29" x14ac:dyDescent="0.25">
      <c r="A388" t="s">
        <v>8</v>
      </c>
      <c r="B388" s="5">
        <v>46168</v>
      </c>
      <c r="C388" t="s">
        <v>54</v>
      </c>
      <c r="D388" t="s">
        <v>444</v>
      </c>
      <c r="E388">
        <v>17091330</v>
      </c>
      <c r="F388" t="s">
        <v>56</v>
      </c>
      <c r="G388" t="s">
        <v>57</v>
      </c>
      <c r="H388">
        <v>51000</v>
      </c>
      <c r="I388" t="s">
        <v>58</v>
      </c>
      <c r="J388">
        <v>4107.05</v>
      </c>
      <c r="K388">
        <v>-2.667314437387434</v>
      </c>
      <c r="L388">
        <v>30</v>
      </c>
      <c r="M388">
        <v>4033.94</v>
      </c>
      <c r="N388">
        <v>3000</v>
      </c>
      <c r="O388">
        <v>5460</v>
      </c>
      <c r="P388">
        <v>6330</v>
      </c>
      <c r="Q388">
        <v>29100</v>
      </c>
      <c r="R388">
        <v>29160</v>
      </c>
      <c r="S388">
        <v>28650</v>
      </c>
      <c r="T388">
        <v>4219.55</v>
      </c>
      <c r="U388">
        <v>4237.25</v>
      </c>
      <c r="V388">
        <v>3690.15</v>
      </c>
      <c r="W388">
        <v>4219.6000000000004</v>
      </c>
      <c r="X388">
        <v>4097</v>
      </c>
      <c r="Y388">
        <v>30</v>
      </c>
      <c r="Z388">
        <v>4131.3999999999996</v>
      </c>
      <c r="AA388">
        <v>30</v>
      </c>
      <c r="AB388" s="6">
        <v>46147.586527777778</v>
      </c>
      <c r="AC388" s="6">
        <v>46147.586273148147</v>
      </c>
    </row>
    <row r="389" spans="1:29" x14ac:dyDescent="0.25">
      <c r="A389" t="s">
        <v>8</v>
      </c>
      <c r="B389" s="5">
        <v>46168</v>
      </c>
      <c r="C389" t="s">
        <v>54</v>
      </c>
      <c r="D389" t="s">
        <v>445</v>
      </c>
      <c r="E389">
        <v>17091586</v>
      </c>
      <c r="F389" t="s">
        <v>56</v>
      </c>
      <c r="G389" t="s">
        <v>57</v>
      </c>
      <c r="H389">
        <v>51000</v>
      </c>
      <c r="I389" t="s">
        <v>60</v>
      </c>
      <c r="J389">
        <v>140.75</v>
      </c>
      <c r="K389">
        <v>-3.4967432293452139</v>
      </c>
      <c r="L389">
        <v>30</v>
      </c>
      <c r="M389">
        <v>169.96</v>
      </c>
      <c r="N389">
        <v>674940</v>
      </c>
      <c r="O389">
        <v>7920</v>
      </c>
      <c r="P389">
        <v>17130</v>
      </c>
      <c r="Q389">
        <v>339960</v>
      </c>
      <c r="R389">
        <v>343800</v>
      </c>
      <c r="S389">
        <v>308220</v>
      </c>
      <c r="T389">
        <v>159.94999999999999</v>
      </c>
      <c r="U389">
        <v>204.2</v>
      </c>
      <c r="V389">
        <v>129.94999999999999</v>
      </c>
      <c r="W389">
        <v>145.85</v>
      </c>
      <c r="X389">
        <v>139.69999999999999</v>
      </c>
      <c r="Y389">
        <v>30</v>
      </c>
      <c r="Z389">
        <v>140.44999999999999</v>
      </c>
      <c r="AA389">
        <v>60</v>
      </c>
      <c r="AB389" s="6">
        <v>46147.586527777778</v>
      </c>
      <c r="AC389" s="6">
        <v>46147.586435185185</v>
      </c>
    </row>
    <row r="390" spans="1:29" x14ac:dyDescent="0.25">
      <c r="A390" t="s">
        <v>8</v>
      </c>
      <c r="B390" s="5">
        <v>46168</v>
      </c>
      <c r="C390" t="s">
        <v>54</v>
      </c>
      <c r="D390" t="s">
        <v>446</v>
      </c>
      <c r="E390">
        <v>17091842</v>
      </c>
      <c r="F390" t="s">
        <v>56</v>
      </c>
      <c r="G390" t="s">
        <v>57</v>
      </c>
      <c r="H390">
        <v>51100</v>
      </c>
      <c r="I390" t="s">
        <v>58</v>
      </c>
      <c r="J390">
        <v>3990</v>
      </c>
      <c r="K390">
        <v>-22.430887670593727</v>
      </c>
      <c r="L390">
        <v>30</v>
      </c>
      <c r="M390">
        <v>3990</v>
      </c>
      <c r="N390">
        <v>30</v>
      </c>
      <c r="O390">
        <v>4710</v>
      </c>
      <c r="P390">
        <v>5460</v>
      </c>
      <c r="Q390">
        <v>390</v>
      </c>
      <c r="R390">
        <v>390</v>
      </c>
      <c r="S390">
        <v>390</v>
      </c>
      <c r="T390">
        <v>3990</v>
      </c>
      <c r="U390">
        <v>3990</v>
      </c>
      <c r="V390">
        <v>3990</v>
      </c>
      <c r="W390">
        <v>5143.8</v>
      </c>
      <c r="X390">
        <v>3944.7</v>
      </c>
      <c r="Y390">
        <v>60</v>
      </c>
      <c r="Z390">
        <v>4089.5</v>
      </c>
      <c r="AA390">
        <v>60</v>
      </c>
      <c r="AB390" s="6">
        <v>46147.5862037037</v>
      </c>
      <c r="AC390" s="6">
        <v>46147.401828703703</v>
      </c>
    </row>
    <row r="391" spans="1:29" x14ac:dyDescent="0.25">
      <c r="A391" t="s">
        <v>8</v>
      </c>
      <c r="B391" s="5">
        <v>46168</v>
      </c>
      <c r="C391" t="s">
        <v>54</v>
      </c>
      <c r="D391" t="s">
        <v>447</v>
      </c>
      <c r="E391">
        <v>17092098</v>
      </c>
      <c r="F391" t="s">
        <v>56</v>
      </c>
      <c r="G391" t="s">
        <v>57</v>
      </c>
      <c r="H391">
        <v>51100</v>
      </c>
      <c r="I391" t="s">
        <v>60</v>
      </c>
      <c r="J391">
        <v>149.65</v>
      </c>
      <c r="K391">
        <v>-1.1885110597556838</v>
      </c>
      <c r="L391">
        <v>30</v>
      </c>
      <c r="M391">
        <v>176.96</v>
      </c>
      <c r="N391">
        <v>23760</v>
      </c>
      <c r="O391">
        <v>3660</v>
      </c>
      <c r="P391">
        <v>4890</v>
      </c>
      <c r="Q391">
        <v>14340</v>
      </c>
      <c r="R391">
        <v>14550</v>
      </c>
      <c r="S391">
        <v>10350</v>
      </c>
      <c r="T391">
        <v>177.9</v>
      </c>
      <c r="U391">
        <v>211.8</v>
      </c>
      <c r="V391">
        <v>136.4</v>
      </c>
      <c r="W391">
        <v>151.44999999999999</v>
      </c>
      <c r="X391">
        <v>146.25</v>
      </c>
      <c r="Y391">
        <v>540</v>
      </c>
      <c r="Z391">
        <v>148.30000000000001</v>
      </c>
      <c r="AA391">
        <v>30</v>
      </c>
      <c r="AB391" s="6">
        <v>46147.586527777778</v>
      </c>
      <c r="AC391" s="6">
        <v>46147.586099537039</v>
      </c>
    </row>
    <row r="392" spans="1:29" x14ac:dyDescent="0.25">
      <c r="A392" t="s">
        <v>8</v>
      </c>
      <c r="B392" s="5">
        <v>46168</v>
      </c>
      <c r="C392" t="s">
        <v>54</v>
      </c>
      <c r="D392" t="s">
        <v>448</v>
      </c>
      <c r="E392">
        <v>17092354</v>
      </c>
      <c r="F392" t="s">
        <v>56</v>
      </c>
      <c r="G392" t="s">
        <v>57</v>
      </c>
      <c r="H392">
        <v>51200</v>
      </c>
      <c r="I392" t="s">
        <v>58</v>
      </c>
      <c r="J392">
        <v>3723.7</v>
      </c>
      <c r="K392">
        <v>0</v>
      </c>
      <c r="L392">
        <v>30</v>
      </c>
      <c r="M392">
        <v>0</v>
      </c>
      <c r="N392">
        <v>0</v>
      </c>
      <c r="O392">
        <v>5550</v>
      </c>
      <c r="P392">
        <v>5580</v>
      </c>
      <c r="Q392">
        <v>540</v>
      </c>
      <c r="R392">
        <v>540</v>
      </c>
      <c r="S392">
        <v>540</v>
      </c>
      <c r="T392">
        <v>0</v>
      </c>
      <c r="U392">
        <v>0</v>
      </c>
      <c r="V392">
        <v>0</v>
      </c>
      <c r="W392">
        <v>3723.7</v>
      </c>
      <c r="X392">
        <v>3839.65</v>
      </c>
      <c r="Y392">
        <v>300</v>
      </c>
      <c r="Z392">
        <v>4010.45</v>
      </c>
      <c r="AA392">
        <v>330</v>
      </c>
      <c r="AB392" s="6">
        <v>46147.586180555554</v>
      </c>
      <c r="AC392" s="6">
        <v>46142.431030092594</v>
      </c>
    </row>
    <row r="393" spans="1:29" x14ac:dyDescent="0.25">
      <c r="A393" t="s">
        <v>8</v>
      </c>
      <c r="B393" s="5">
        <v>46168</v>
      </c>
      <c r="C393" t="s">
        <v>54</v>
      </c>
      <c r="D393" t="s">
        <v>449</v>
      </c>
      <c r="E393">
        <v>17092610</v>
      </c>
      <c r="F393" t="s">
        <v>56</v>
      </c>
      <c r="G393" t="s">
        <v>57</v>
      </c>
      <c r="H393">
        <v>51200</v>
      </c>
      <c r="I393" t="s">
        <v>60</v>
      </c>
      <c r="J393">
        <v>155.9</v>
      </c>
      <c r="K393">
        <v>-2.9265255292652483</v>
      </c>
      <c r="L393">
        <v>30</v>
      </c>
      <c r="M393">
        <v>194.06</v>
      </c>
      <c r="N393">
        <v>41610</v>
      </c>
      <c r="O393">
        <v>4320</v>
      </c>
      <c r="P393">
        <v>4440</v>
      </c>
      <c r="Q393">
        <v>23340</v>
      </c>
      <c r="R393">
        <v>23520</v>
      </c>
      <c r="S393">
        <v>18570</v>
      </c>
      <c r="T393">
        <v>174</v>
      </c>
      <c r="U393">
        <v>225.75</v>
      </c>
      <c r="V393">
        <v>148.65</v>
      </c>
      <c r="W393">
        <v>160.6</v>
      </c>
      <c r="X393">
        <v>158.05000000000001</v>
      </c>
      <c r="Y393">
        <v>360</v>
      </c>
      <c r="Z393">
        <v>160.55000000000001</v>
      </c>
      <c r="AA393">
        <v>120</v>
      </c>
      <c r="AB393" s="6">
        <v>46147.586180555554</v>
      </c>
      <c r="AC393" s="6">
        <v>46147.585439814815</v>
      </c>
    </row>
    <row r="394" spans="1:29" x14ac:dyDescent="0.25">
      <c r="A394" t="s">
        <v>8</v>
      </c>
      <c r="B394" s="5">
        <v>46168</v>
      </c>
      <c r="C394" t="s">
        <v>54</v>
      </c>
      <c r="D394" t="s">
        <v>450</v>
      </c>
      <c r="E394">
        <v>17092866</v>
      </c>
      <c r="F394" t="s">
        <v>56</v>
      </c>
      <c r="G394" t="s">
        <v>57</v>
      </c>
      <c r="H394">
        <v>51300</v>
      </c>
      <c r="I394" t="s">
        <v>58</v>
      </c>
      <c r="J394">
        <v>3753</v>
      </c>
      <c r="K394">
        <v>-6.2921348314606744</v>
      </c>
      <c r="L394">
        <v>30</v>
      </c>
      <c r="M394">
        <v>3588.76</v>
      </c>
      <c r="N394">
        <v>120</v>
      </c>
      <c r="O394">
        <v>5130</v>
      </c>
      <c r="P394">
        <v>4440</v>
      </c>
      <c r="Q394">
        <v>390</v>
      </c>
      <c r="R394">
        <v>450</v>
      </c>
      <c r="S394">
        <v>390</v>
      </c>
      <c r="T394">
        <v>3690</v>
      </c>
      <c r="U394">
        <v>3753</v>
      </c>
      <c r="V394">
        <v>3456</v>
      </c>
      <c r="W394">
        <v>4005</v>
      </c>
      <c r="X394">
        <v>3751.05</v>
      </c>
      <c r="Y394">
        <v>300</v>
      </c>
      <c r="Z394">
        <v>3920.35</v>
      </c>
      <c r="AA394">
        <v>60</v>
      </c>
      <c r="AB394" s="6">
        <v>46147.586192129631</v>
      </c>
      <c r="AC394" s="6">
        <v>46147.54178240741</v>
      </c>
    </row>
    <row r="395" spans="1:29" x14ac:dyDescent="0.25">
      <c r="A395" t="s">
        <v>8</v>
      </c>
      <c r="B395" s="5">
        <v>46168</v>
      </c>
      <c r="C395" t="s">
        <v>54</v>
      </c>
      <c r="D395" t="s">
        <v>451</v>
      </c>
      <c r="E395">
        <v>17093122</v>
      </c>
      <c r="F395" t="s">
        <v>56</v>
      </c>
      <c r="G395" t="s">
        <v>57</v>
      </c>
      <c r="H395">
        <v>51300</v>
      </c>
      <c r="I395" t="s">
        <v>60</v>
      </c>
      <c r="J395">
        <v>165.4</v>
      </c>
      <c r="K395">
        <v>-2.905782213090689</v>
      </c>
      <c r="L395">
        <v>30</v>
      </c>
      <c r="M395">
        <v>205.16</v>
      </c>
      <c r="N395">
        <v>22950</v>
      </c>
      <c r="O395">
        <v>4200</v>
      </c>
      <c r="P395">
        <v>5190</v>
      </c>
      <c r="Q395">
        <v>16290</v>
      </c>
      <c r="R395">
        <v>16860</v>
      </c>
      <c r="S395">
        <v>12720</v>
      </c>
      <c r="T395">
        <v>204.95</v>
      </c>
      <c r="U395">
        <v>236.1</v>
      </c>
      <c r="V395">
        <v>157.5</v>
      </c>
      <c r="W395">
        <v>170.35</v>
      </c>
      <c r="X395">
        <v>165.4</v>
      </c>
      <c r="Y395">
        <v>360</v>
      </c>
      <c r="Z395">
        <v>168.05</v>
      </c>
      <c r="AA395">
        <v>30</v>
      </c>
      <c r="AB395" s="6">
        <v>46147.586215277777</v>
      </c>
      <c r="AC395" s="6">
        <v>46147.585833333331</v>
      </c>
    </row>
    <row r="396" spans="1:29" x14ac:dyDescent="0.25">
      <c r="A396" t="s">
        <v>8</v>
      </c>
      <c r="B396" s="5">
        <v>46168</v>
      </c>
      <c r="C396" t="s">
        <v>54</v>
      </c>
      <c r="D396" t="s">
        <v>452</v>
      </c>
      <c r="E396">
        <v>17093378</v>
      </c>
      <c r="F396" t="s">
        <v>56</v>
      </c>
      <c r="G396" t="s">
        <v>57</v>
      </c>
      <c r="H396">
        <v>51400</v>
      </c>
      <c r="I396" t="s">
        <v>58</v>
      </c>
      <c r="J396">
        <v>3600</v>
      </c>
      <c r="K396">
        <v>0</v>
      </c>
      <c r="L396">
        <v>30</v>
      </c>
      <c r="M396">
        <v>0</v>
      </c>
      <c r="N396">
        <v>0</v>
      </c>
      <c r="O396">
        <v>1740</v>
      </c>
      <c r="P396">
        <v>5580</v>
      </c>
      <c r="Q396">
        <v>420</v>
      </c>
      <c r="R396">
        <v>420</v>
      </c>
      <c r="S396">
        <v>420</v>
      </c>
      <c r="T396">
        <v>0</v>
      </c>
      <c r="U396">
        <v>0</v>
      </c>
      <c r="V396">
        <v>0</v>
      </c>
      <c r="W396">
        <v>3600</v>
      </c>
      <c r="X396">
        <v>3669.9</v>
      </c>
      <c r="Y396">
        <v>60</v>
      </c>
      <c r="Z396">
        <v>3822</v>
      </c>
      <c r="AA396">
        <v>300</v>
      </c>
      <c r="AB396" s="6">
        <v>46147.586192129631</v>
      </c>
      <c r="AC396" s="6">
        <v>46142.429108796299</v>
      </c>
    </row>
    <row r="397" spans="1:29" x14ac:dyDescent="0.25">
      <c r="A397" t="s">
        <v>8</v>
      </c>
      <c r="B397" s="5">
        <v>46168</v>
      </c>
      <c r="C397" t="s">
        <v>54</v>
      </c>
      <c r="D397" t="s">
        <v>453</v>
      </c>
      <c r="E397">
        <v>17093634</v>
      </c>
      <c r="F397" t="s">
        <v>56</v>
      </c>
      <c r="G397" t="s">
        <v>57</v>
      </c>
      <c r="H397">
        <v>51400</v>
      </c>
      <c r="I397" t="s">
        <v>60</v>
      </c>
      <c r="J397">
        <v>176.7</v>
      </c>
      <c r="K397">
        <v>-0.36650690724556284</v>
      </c>
      <c r="L397">
        <v>30</v>
      </c>
      <c r="M397">
        <v>214.92</v>
      </c>
      <c r="N397">
        <v>33480</v>
      </c>
      <c r="O397">
        <v>4500</v>
      </c>
      <c r="P397">
        <v>5040</v>
      </c>
      <c r="Q397">
        <v>13980</v>
      </c>
      <c r="R397">
        <v>15150</v>
      </c>
      <c r="S397">
        <v>9630</v>
      </c>
      <c r="T397">
        <v>221.95</v>
      </c>
      <c r="U397">
        <v>250.15</v>
      </c>
      <c r="V397">
        <v>165.55</v>
      </c>
      <c r="W397">
        <v>177.35</v>
      </c>
      <c r="X397">
        <v>175.85</v>
      </c>
      <c r="Y397">
        <v>420</v>
      </c>
      <c r="Z397">
        <v>178.65</v>
      </c>
      <c r="AA397">
        <v>150</v>
      </c>
      <c r="AB397" s="6">
        <v>46147.586192129631</v>
      </c>
      <c r="AC397" s="6">
        <v>46147.585462962961</v>
      </c>
    </row>
    <row r="398" spans="1:29" x14ac:dyDescent="0.25">
      <c r="A398" t="s">
        <v>8</v>
      </c>
      <c r="B398" s="5">
        <v>46168</v>
      </c>
      <c r="C398" t="s">
        <v>54</v>
      </c>
      <c r="D398" t="s">
        <v>454</v>
      </c>
      <c r="E398">
        <v>17093890</v>
      </c>
      <c r="F398" t="s">
        <v>56</v>
      </c>
      <c r="G398" t="s">
        <v>57</v>
      </c>
      <c r="H398">
        <v>51500</v>
      </c>
      <c r="I398" t="s">
        <v>58</v>
      </c>
      <c r="J398">
        <v>3390</v>
      </c>
      <c r="K398">
        <v>-11.372549019607844</v>
      </c>
      <c r="L398">
        <v>30</v>
      </c>
      <c r="M398">
        <v>3415.32</v>
      </c>
      <c r="N398">
        <v>510</v>
      </c>
      <c r="O398">
        <v>6270</v>
      </c>
      <c r="P398">
        <v>5310</v>
      </c>
      <c r="Q398">
        <v>6960</v>
      </c>
      <c r="R398">
        <v>6960</v>
      </c>
      <c r="S398">
        <v>6960</v>
      </c>
      <c r="T398">
        <v>3435.6</v>
      </c>
      <c r="U398">
        <v>3435.6</v>
      </c>
      <c r="V398">
        <v>3390</v>
      </c>
      <c r="W398">
        <v>3825</v>
      </c>
      <c r="X398">
        <v>3633.5</v>
      </c>
      <c r="Y398">
        <v>240</v>
      </c>
      <c r="Z398">
        <v>3696.55</v>
      </c>
      <c r="AA398">
        <v>60</v>
      </c>
      <c r="AB398" s="6">
        <v>46147.586527777778</v>
      </c>
      <c r="AC398" s="6">
        <v>46147.471273148149</v>
      </c>
    </row>
    <row r="399" spans="1:29" x14ac:dyDescent="0.25">
      <c r="A399" t="s">
        <v>8</v>
      </c>
      <c r="B399" s="5">
        <v>46168</v>
      </c>
      <c r="C399" t="s">
        <v>54</v>
      </c>
      <c r="D399" t="s">
        <v>455</v>
      </c>
      <c r="E399">
        <v>17094146</v>
      </c>
      <c r="F399" t="s">
        <v>56</v>
      </c>
      <c r="G399" t="s">
        <v>57</v>
      </c>
      <c r="H399">
        <v>51500</v>
      </c>
      <c r="I399" t="s">
        <v>60</v>
      </c>
      <c r="J399">
        <v>183.4</v>
      </c>
      <c r="K399">
        <v>-2.0560747663551373</v>
      </c>
      <c r="L399">
        <v>30</v>
      </c>
      <c r="M399">
        <v>224.07</v>
      </c>
      <c r="N399">
        <v>267090</v>
      </c>
      <c r="O399">
        <v>7290</v>
      </c>
      <c r="P399">
        <v>12000</v>
      </c>
      <c r="Q399">
        <v>142980</v>
      </c>
      <c r="R399">
        <v>144870</v>
      </c>
      <c r="S399">
        <v>119520</v>
      </c>
      <c r="T399">
        <v>203.6</v>
      </c>
      <c r="U399">
        <v>263.75</v>
      </c>
      <c r="V399">
        <v>170.5</v>
      </c>
      <c r="W399">
        <v>187.25</v>
      </c>
      <c r="X399">
        <v>182.95</v>
      </c>
      <c r="Y399">
        <v>60</v>
      </c>
      <c r="Z399">
        <v>183.85</v>
      </c>
      <c r="AA399">
        <v>60</v>
      </c>
      <c r="AB399" s="6">
        <v>46147.586527777778</v>
      </c>
      <c r="AC399" s="6">
        <v>46147.586493055554</v>
      </c>
    </row>
    <row r="400" spans="1:29" x14ac:dyDescent="0.25">
      <c r="A400" t="s">
        <v>8</v>
      </c>
      <c r="B400" s="5">
        <v>46168</v>
      </c>
      <c r="C400" t="s">
        <v>54</v>
      </c>
      <c r="D400" t="s">
        <v>456</v>
      </c>
      <c r="E400">
        <v>17094402</v>
      </c>
      <c r="F400" t="s">
        <v>56</v>
      </c>
      <c r="G400" t="s">
        <v>57</v>
      </c>
      <c r="H400">
        <v>51600</v>
      </c>
      <c r="I400" t="s">
        <v>58</v>
      </c>
      <c r="J400">
        <v>4361.95</v>
      </c>
      <c r="K400">
        <v>0</v>
      </c>
      <c r="L400">
        <v>30</v>
      </c>
      <c r="M400">
        <v>0</v>
      </c>
      <c r="N400">
        <v>0</v>
      </c>
      <c r="O400">
        <v>2730</v>
      </c>
      <c r="P400">
        <v>4410</v>
      </c>
      <c r="Q400">
        <v>360</v>
      </c>
      <c r="R400">
        <v>360</v>
      </c>
      <c r="S400">
        <v>360</v>
      </c>
      <c r="T400">
        <v>0</v>
      </c>
      <c r="U400">
        <v>0</v>
      </c>
      <c r="V400">
        <v>0</v>
      </c>
      <c r="W400">
        <v>4361.95</v>
      </c>
      <c r="X400">
        <v>3490.6</v>
      </c>
      <c r="Y400">
        <v>120</v>
      </c>
      <c r="Z400">
        <v>3630.85</v>
      </c>
      <c r="AA400">
        <v>30</v>
      </c>
      <c r="AB400" s="6">
        <v>46147.586111111108</v>
      </c>
      <c r="AC400" s="6">
        <v>46125.435752314814</v>
      </c>
    </row>
    <row r="401" spans="1:29" x14ac:dyDescent="0.25">
      <c r="A401" t="s">
        <v>8</v>
      </c>
      <c r="B401" s="5">
        <v>46168</v>
      </c>
      <c r="C401" t="s">
        <v>54</v>
      </c>
      <c r="D401" t="s">
        <v>457</v>
      </c>
      <c r="E401">
        <v>17099778</v>
      </c>
      <c r="F401" t="s">
        <v>56</v>
      </c>
      <c r="G401" t="s">
        <v>57</v>
      </c>
      <c r="H401">
        <v>51600</v>
      </c>
      <c r="I401" t="s">
        <v>60</v>
      </c>
      <c r="J401">
        <v>196.6</v>
      </c>
      <c r="K401">
        <v>-0.40526849037487911</v>
      </c>
      <c r="L401">
        <v>30</v>
      </c>
      <c r="M401">
        <v>237.48</v>
      </c>
      <c r="N401">
        <v>31920</v>
      </c>
      <c r="O401">
        <v>5430</v>
      </c>
      <c r="P401">
        <v>5190</v>
      </c>
      <c r="Q401">
        <v>20520</v>
      </c>
      <c r="R401">
        <v>20940</v>
      </c>
      <c r="S401">
        <v>14760</v>
      </c>
      <c r="T401">
        <v>223.85</v>
      </c>
      <c r="U401">
        <v>277</v>
      </c>
      <c r="V401">
        <v>183.85</v>
      </c>
      <c r="W401">
        <v>197.4</v>
      </c>
      <c r="X401">
        <v>196.85</v>
      </c>
      <c r="Y401">
        <v>420</v>
      </c>
      <c r="Z401">
        <v>198.75</v>
      </c>
      <c r="AA401">
        <v>240</v>
      </c>
      <c r="AB401" s="6">
        <v>46147.5862037037</v>
      </c>
      <c r="AC401" s="6">
        <v>46147.585474537038</v>
      </c>
    </row>
    <row r="402" spans="1:29" x14ac:dyDescent="0.25">
      <c r="A402" t="s">
        <v>8</v>
      </c>
      <c r="B402" s="5">
        <v>46168</v>
      </c>
      <c r="C402" t="s">
        <v>54</v>
      </c>
      <c r="D402" t="s">
        <v>458</v>
      </c>
      <c r="E402">
        <v>17100034</v>
      </c>
      <c r="F402" t="s">
        <v>56</v>
      </c>
      <c r="G402" t="s">
        <v>57</v>
      </c>
      <c r="H402">
        <v>51700</v>
      </c>
      <c r="I402" t="s">
        <v>58</v>
      </c>
      <c r="J402">
        <v>6000</v>
      </c>
      <c r="K402">
        <v>0</v>
      </c>
      <c r="L402">
        <v>30</v>
      </c>
      <c r="M402">
        <v>0</v>
      </c>
      <c r="N402">
        <v>0</v>
      </c>
      <c r="O402">
        <v>2760</v>
      </c>
      <c r="P402">
        <v>4620</v>
      </c>
      <c r="Q402">
        <v>600</v>
      </c>
      <c r="R402">
        <v>600</v>
      </c>
      <c r="S402">
        <v>600</v>
      </c>
      <c r="T402">
        <v>0</v>
      </c>
      <c r="U402">
        <v>0</v>
      </c>
      <c r="V402">
        <v>0</v>
      </c>
      <c r="W402">
        <v>6000</v>
      </c>
      <c r="X402">
        <v>3393.75</v>
      </c>
      <c r="Y402">
        <v>120</v>
      </c>
      <c r="Z402">
        <v>3549.95</v>
      </c>
      <c r="AA402">
        <v>30</v>
      </c>
      <c r="AB402" s="6">
        <v>46147.586215277777</v>
      </c>
      <c r="AC402" s="6">
        <v>46134.603506944448</v>
      </c>
    </row>
    <row r="403" spans="1:29" x14ac:dyDescent="0.25">
      <c r="A403" t="s">
        <v>8</v>
      </c>
      <c r="B403" s="5">
        <v>46168</v>
      </c>
      <c r="C403" t="s">
        <v>54</v>
      </c>
      <c r="D403" t="s">
        <v>459</v>
      </c>
      <c r="E403">
        <v>17100290</v>
      </c>
      <c r="F403" t="s">
        <v>56</v>
      </c>
      <c r="G403" t="s">
        <v>57</v>
      </c>
      <c r="H403">
        <v>51700</v>
      </c>
      <c r="I403" t="s">
        <v>60</v>
      </c>
      <c r="J403">
        <v>200.05</v>
      </c>
      <c r="K403">
        <v>-4.5107398568019041</v>
      </c>
      <c r="L403">
        <v>30</v>
      </c>
      <c r="M403">
        <v>258.13</v>
      </c>
      <c r="N403">
        <v>29220</v>
      </c>
      <c r="O403">
        <v>3540</v>
      </c>
      <c r="P403">
        <v>4980</v>
      </c>
      <c r="Q403">
        <v>18210</v>
      </c>
      <c r="R403">
        <v>18690</v>
      </c>
      <c r="S403">
        <v>11400</v>
      </c>
      <c r="T403">
        <v>233.45</v>
      </c>
      <c r="U403">
        <v>291.25</v>
      </c>
      <c r="V403">
        <v>198.85</v>
      </c>
      <c r="W403">
        <v>209.5</v>
      </c>
      <c r="X403">
        <v>206.05</v>
      </c>
      <c r="Y403">
        <v>120</v>
      </c>
      <c r="Z403">
        <v>208.05</v>
      </c>
      <c r="AA403">
        <v>420</v>
      </c>
      <c r="AB403" s="6">
        <v>46147.586215277777</v>
      </c>
      <c r="AC403" s="6">
        <v>46147.581770833334</v>
      </c>
    </row>
    <row r="404" spans="1:29" x14ac:dyDescent="0.25">
      <c r="A404" t="s">
        <v>8</v>
      </c>
      <c r="B404" s="5">
        <v>46168</v>
      </c>
      <c r="C404" t="s">
        <v>54</v>
      </c>
      <c r="D404" t="s">
        <v>460</v>
      </c>
      <c r="E404">
        <v>17100546</v>
      </c>
      <c r="F404" t="s">
        <v>56</v>
      </c>
      <c r="G404" t="s">
        <v>57</v>
      </c>
      <c r="H404">
        <v>51800</v>
      </c>
      <c r="I404" t="s">
        <v>58</v>
      </c>
      <c r="J404">
        <v>3175.3</v>
      </c>
      <c r="K404">
        <v>-47.103459190217976</v>
      </c>
      <c r="L404">
        <v>30</v>
      </c>
      <c r="M404">
        <v>3175.3</v>
      </c>
      <c r="N404">
        <v>30</v>
      </c>
      <c r="O404">
        <v>4620</v>
      </c>
      <c r="P404">
        <v>4620</v>
      </c>
      <c r="Q404">
        <v>840</v>
      </c>
      <c r="R404">
        <v>840</v>
      </c>
      <c r="S404">
        <v>840</v>
      </c>
      <c r="T404">
        <v>3175.3</v>
      </c>
      <c r="U404">
        <v>3175.3</v>
      </c>
      <c r="V404">
        <v>3175.3</v>
      </c>
      <c r="W404">
        <v>6002.85</v>
      </c>
      <c r="X404">
        <v>3320.8</v>
      </c>
      <c r="Y404">
        <v>60</v>
      </c>
      <c r="Z404">
        <v>3434.55</v>
      </c>
      <c r="AA404">
        <v>30</v>
      </c>
      <c r="AB404" s="6">
        <v>46147.586215277777</v>
      </c>
      <c r="AC404" s="6">
        <v>46147.534837962965</v>
      </c>
    </row>
    <row r="405" spans="1:29" x14ac:dyDescent="0.25">
      <c r="A405" t="s">
        <v>8</v>
      </c>
      <c r="B405" s="5">
        <v>46168</v>
      </c>
      <c r="C405" t="s">
        <v>54</v>
      </c>
      <c r="D405" t="s">
        <v>461</v>
      </c>
      <c r="E405">
        <v>17100802</v>
      </c>
      <c r="F405" t="s">
        <v>56</v>
      </c>
      <c r="G405" t="s">
        <v>57</v>
      </c>
      <c r="H405">
        <v>51800</v>
      </c>
      <c r="I405" t="s">
        <v>60</v>
      </c>
      <c r="J405">
        <v>216.9</v>
      </c>
      <c r="K405">
        <v>0.41666666666666929</v>
      </c>
      <c r="L405">
        <v>30</v>
      </c>
      <c r="M405">
        <v>257.32</v>
      </c>
      <c r="N405">
        <v>40290</v>
      </c>
      <c r="O405">
        <v>5790</v>
      </c>
      <c r="P405">
        <v>3030</v>
      </c>
      <c r="Q405">
        <v>27780</v>
      </c>
      <c r="R405">
        <v>28440</v>
      </c>
      <c r="S405">
        <v>23220</v>
      </c>
      <c r="T405">
        <v>242.85</v>
      </c>
      <c r="U405">
        <v>307.39999999999998</v>
      </c>
      <c r="V405">
        <v>200</v>
      </c>
      <c r="W405">
        <v>216</v>
      </c>
      <c r="X405">
        <v>218.9</v>
      </c>
      <c r="Y405">
        <v>360</v>
      </c>
      <c r="Z405">
        <v>221.35</v>
      </c>
      <c r="AA405">
        <v>150</v>
      </c>
      <c r="AB405" s="6">
        <v>46147.586215277777</v>
      </c>
      <c r="AC405" s="6">
        <v>46147.583287037036</v>
      </c>
    </row>
    <row r="406" spans="1:29" x14ac:dyDescent="0.25">
      <c r="A406" t="s">
        <v>8</v>
      </c>
      <c r="B406" s="5">
        <v>46168</v>
      </c>
      <c r="C406" t="s">
        <v>54</v>
      </c>
      <c r="D406" t="s">
        <v>462</v>
      </c>
      <c r="E406">
        <v>17101058</v>
      </c>
      <c r="F406" t="s">
        <v>56</v>
      </c>
      <c r="G406" t="s">
        <v>57</v>
      </c>
      <c r="H406">
        <v>51900</v>
      </c>
      <c r="I406" t="s">
        <v>58</v>
      </c>
      <c r="J406">
        <v>3900</v>
      </c>
      <c r="K406">
        <v>0</v>
      </c>
      <c r="L406">
        <v>60</v>
      </c>
      <c r="M406">
        <v>0</v>
      </c>
      <c r="N406">
        <v>0</v>
      </c>
      <c r="O406">
        <v>2910</v>
      </c>
      <c r="P406">
        <v>4530</v>
      </c>
      <c r="Q406">
        <v>510</v>
      </c>
      <c r="R406">
        <v>510</v>
      </c>
      <c r="S406">
        <v>510</v>
      </c>
      <c r="T406">
        <v>0</v>
      </c>
      <c r="U406">
        <v>0</v>
      </c>
      <c r="V406">
        <v>0</v>
      </c>
      <c r="W406">
        <v>3900</v>
      </c>
      <c r="X406">
        <v>3209.85</v>
      </c>
      <c r="Y406">
        <v>30</v>
      </c>
      <c r="Z406">
        <v>3371.6</v>
      </c>
      <c r="AA406">
        <v>60</v>
      </c>
      <c r="AB406" s="6">
        <v>46147.586215277777</v>
      </c>
      <c r="AC406" s="6">
        <v>46141.637152777781</v>
      </c>
    </row>
    <row r="407" spans="1:29" x14ac:dyDescent="0.25">
      <c r="A407" t="s">
        <v>8</v>
      </c>
      <c r="B407" s="5">
        <v>46168</v>
      </c>
      <c r="C407" t="s">
        <v>54</v>
      </c>
      <c r="D407" t="s">
        <v>463</v>
      </c>
      <c r="E407">
        <v>17104642</v>
      </c>
      <c r="F407" t="s">
        <v>56</v>
      </c>
      <c r="G407" t="s">
        <v>57</v>
      </c>
      <c r="H407">
        <v>51900</v>
      </c>
      <c r="I407" t="s">
        <v>60</v>
      </c>
      <c r="J407">
        <v>232.55</v>
      </c>
      <c r="K407">
        <v>0.43187216583891164</v>
      </c>
      <c r="L407">
        <v>30</v>
      </c>
      <c r="M407">
        <v>277.37</v>
      </c>
      <c r="N407">
        <v>49200</v>
      </c>
      <c r="O407">
        <v>4470</v>
      </c>
      <c r="P407">
        <v>4230</v>
      </c>
      <c r="Q407">
        <v>17970</v>
      </c>
      <c r="R407">
        <v>18090</v>
      </c>
      <c r="S407">
        <v>11610</v>
      </c>
      <c r="T407">
        <v>286.95</v>
      </c>
      <c r="U407">
        <v>322.55</v>
      </c>
      <c r="V407">
        <v>215.85</v>
      </c>
      <c r="W407">
        <v>231.55</v>
      </c>
      <c r="X407">
        <v>225.5</v>
      </c>
      <c r="Y407">
        <v>150</v>
      </c>
      <c r="Z407">
        <v>227.55</v>
      </c>
      <c r="AA407">
        <v>420</v>
      </c>
      <c r="AB407" s="6">
        <v>46147.586527777778</v>
      </c>
      <c r="AC407" s="6">
        <v>46147.586122685185</v>
      </c>
    </row>
    <row r="408" spans="1:29" x14ac:dyDescent="0.25">
      <c r="A408" t="s">
        <v>8</v>
      </c>
      <c r="B408" s="5">
        <v>46168</v>
      </c>
      <c r="C408" t="s">
        <v>54</v>
      </c>
      <c r="D408" t="s">
        <v>464</v>
      </c>
      <c r="E408">
        <v>17104898</v>
      </c>
      <c r="F408" t="s">
        <v>56</v>
      </c>
      <c r="G408" t="s">
        <v>57</v>
      </c>
      <c r="H408">
        <v>52000</v>
      </c>
      <c r="I408" t="s">
        <v>58</v>
      </c>
      <c r="J408">
        <v>3181</v>
      </c>
      <c r="K408">
        <v>-6.1444272331636789</v>
      </c>
      <c r="L408">
        <v>30</v>
      </c>
      <c r="M408">
        <v>3047.34</v>
      </c>
      <c r="N408">
        <v>16230</v>
      </c>
      <c r="O408">
        <v>6690</v>
      </c>
      <c r="P408">
        <v>7800</v>
      </c>
      <c r="Q408">
        <v>71520</v>
      </c>
      <c r="R408">
        <v>71610</v>
      </c>
      <c r="S408">
        <v>64980</v>
      </c>
      <c r="T408">
        <v>3072.2</v>
      </c>
      <c r="U408">
        <v>3345</v>
      </c>
      <c r="V408">
        <v>2763</v>
      </c>
      <c r="W408">
        <v>3389.25</v>
      </c>
      <c r="X408">
        <v>3204.75</v>
      </c>
      <c r="Y408">
        <v>30</v>
      </c>
      <c r="Z408">
        <v>3256.85</v>
      </c>
      <c r="AA408">
        <v>30</v>
      </c>
      <c r="AB408" s="6">
        <v>46147.586516203701</v>
      </c>
      <c r="AC408" s="6">
        <v>46147.579270833332</v>
      </c>
    </row>
    <row r="409" spans="1:29" x14ac:dyDescent="0.25">
      <c r="A409" t="s">
        <v>8</v>
      </c>
      <c r="B409" s="5">
        <v>46168</v>
      </c>
      <c r="C409" t="s">
        <v>54</v>
      </c>
      <c r="D409" t="s">
        <v>465</v>
      </c>
      <c r="E409">
        <v>17105154</v>
      </c>
      <c r="F409" t="s">
        <v>56</v>
      </c>
      <c r="G409" t="s">
        <v>57</v>
      </c>
      <c r="H409">
        <v>52000</v>
      </c>
      <c r="I409" t="s">
        <v>60</v>
      </c>
      <c r="J409">
        <v>240</v>
      </c>
      <c r="K409">
        <v>-1.2345679012345678</v>
      </c>
      <c r="L409">
        <v>30</v>
      </c>
      <c r="M409">
        <v>288.58999999999997</v>
      </c>
      <c r="N409">
        <v>823590</v>
      </c>
      <c r="O409">
        <v>11280</v>
      </c>
      <c r="P409">
        <v>18870</v>
      </c>
      <c r="Q409">
        <v>471420</v>
      </c>
      <c r="R409">
        <v>475830</v>
      </c>
      <c r="S409">
        <v>403140</v>
      </c>
      <c r="T409">
        <v>262.05</v>
      </c>
      <c r="U409">
        <v>342.6</v>
      </c>
      <c r="V409">
        <v>220.9</v>
      </c>
      <c r="W409">
        <v>243</v>
      </c>
      <c r="X409">
        <v>238.7</v>
      </c>
      <c r="Y409">
        <v>60</v>
      </c>
      <c r="Z409">
        <v>239.55</v>
      </c>
      <c r="AA409">
        <v>30</v>
      </c>
      <c r="AB409" s="6">
        <v>46147.586527777778</v>
      </c>
      <c r="AC409" s="6">
        <v>46147.586446759262</v>
      </c>
    </row>
    <row r="410" spans="1:29" x14ac:dyDescent="0.25">
      <c r="A410" t="s">
        <v>8</v>
      </c>
      <c r="B410" s="5">
        <v>46168</v>
      </c>
      <c r="C410" t="s">
        <v>54</v>
      </c>
      <c r="D410" t="s">
        <v>466</v>
      </c>
      <c r="E410">
        <v>17169410</v>
      </c>
      <c r="F410" t="s">
        <v>56</v>
      </c>
      <c r="G410" t="s">
        <v>57</v>
      </c>
      <c r="H410">
        <v>52100</v>
      </c>
      <c r="I410" t="s">
        <v>58</v>
      </c>
      <c r="J410">
        <v>3222.3</v>
      </c>
      <c r="K410">
        <v>0</v>
      </c>
      <c r="L410">
        <v>30</v>
      </c>
      <c r="M410">
        <v>0</v>
      </c>
      <c r="N410">
        <v>0</v>
      </c>
      <c r="O410">
        <v>4650</v>
      </c>
      <c r="P410">
        <v>4440</v>
      </c>
      <c r="Q410">
        <v>600</v>
      </c>
      <c r="R410">
        <v>600</v>
      </c>
      <c r="S410">
        <v>600</v>
      </c>
      <c r="T410">
        <v>0</v>
      </c>
      <c r="U410">
        <v>0</v>
      </c>
      <c r="V410">
        <v>0</v>
      </c>
      <c r="W410">
        <v>3222.3</v>
      </c>
      <c r="X410">
        <v>3050.85</v>
      </c>
      <c r="Y410">
        <v>300</v>
      </c>
      <c r="Z410">
        <v>3182.15</v>
      </c>
      <c r="AA410">
        <v>30</v>
      </c>
      <c r="AB410" s="6">
        <v>46147.586226851854</v>
      </c>
      <c r="AC410" s="6">
        <v>46146.612407407411</v>
      </c>
    </row>
    <row r="411" spans="1:29" x14ac:dyDescent="0.25">
      <c r="A411" t="s">
        <v>8</v>
      </c>
      <c r="B411" s="5">
        <v>46168</v>
      </c>
      <c r="C411" t="s">
        <v>54</v>
      </c>
      <c r="D411" t="s">
        <v>467</v>
      </c>
      <c r="E411">
        <v>17169666</v>
      </c>
      <c r="F411" t="s">
        <v>56</v>
      </c>
      <c r="G411" t="s">
        <v>57</v>
      </c>
      <c r="H411">
        <v>52100</v>
      </c>
      <c r="I411" t="s">
        <v>60</v>
      </c>
      <c r="J411">
        <v>258</v>
      </c>
      <c r="K411">
        <v>3.8774718883296914E-2</v>
      </c>
      <c r="L411">
        <v>30</v>
      </c>
      <c r="M411">
        <v>303.62</v>
      </c>
      <c r="N411">
        <v>66480</v>
      </c>
      <c r="O411">
        <v>7650</v>
      </c>
      <c r="P411">
        <v>5310</v>
      </c>
      <c r="Q411">
        <v>23340</v>
      </c>
      <c r="R411">
        <v>25620</v>
      </c>
      <c r="S411">
        <v>21120</v>
      </c>
      <c r="T411">
        <v>297.14999999999998</v>
      </c>
      <c r="U411">
        <v>359.65</v>
      </c>
      <c r="V411">
        <v>239.5</v>
      </c>
      <c r="W411">
        <v>257.89999999999998</v>
      </c>
      <c r="X411">
        <v>249.35</v>
      </c>
      <c r="Y411">
        <v>630</v>
      </c>
      <c r="Z411">
        <v>252.35</v>
      </c>
      <c r="AA411">
        <v>60</v>
      </c>
      <c r="AB411" s="6">
        <v>46147.586516203701</v>
      </c>
      <c r="AC411" s="6">
        <v>46147.586053240739</v>
      </c>
    </row>
    <row r="412" spans="1:29" x14ac:dyDescent="0.25">
      <c r="A412" t="s">
        <v>8</v>
      </c>
      <c r="B412" s="5">
        <v>46168</v>
      </c>
      <c r="C412" t="s">
        <v>54</v>
      </c>
      <c r="D412" t="s">
        <v>468</v>
      </c>
      <c r="E412">
        <v>17169922</v>
      </c>
      <c r="F412" t="s">
        <v>56</v>
      </c>
      <c r="G412" t="s">
        <v>57</v>
      </c>
      <c r="H412">
        <v>52200</v>
      </c>
      <c r="I412" t="s">
        <v>58</v>
      </c>
      <c r="J412">
        <v>2769</v>
      </c>
      <c r="K412">
        <v>-18.363135162227103</v>
      </c>
      <c r="L412">
        <v>30</v>
      </c>
      <c r="M412">
        <v>2769</v>
      </c>
      <c r="N412">
        <v>30</v>
      </c>
      <c r="O412">
        <v>4440</v>
      </c>
      <c r="P412">
        <v>4470</v>
      </c>
      <c r="Q412">
        <v>540</v>
      </c>
      <c r="R412">
        <v>540</v>
      </c>
      <c r="S412">
        <v>540</v>
      </c>
      <c r="T412">
        <v>2769</v>
      </c>
      <c r="U412">
        <v>2769</v>
      </c>
      <c r="V412">
        <v>2769</v>
      </c>
      <c r="W412">
        <v>3391.85</v>
      </c>
      <c r="X412">
        <v>2964.65</v>
      </c>
      <c r="Y412">
        <v>30</v>
      </c>
      <c r="Z412">
        <v>3113.4</v>
      </c>
      <c r="AA412">
        <v>60</v>
      </c>
      <c r="AB412" s="6">
        <v>46147.586111111108</v>
      </c>
      <c r="AC412" s="6">
        <v>46147.45034722222</v>
      </c>
    </row>
    <row r="413" spans="1:29" x14ac:dyDescent="0.25">
      <c r="A413" t="s">
        <v>8</v>
      </c>
      <c r="B413" s="5">
        <v>46168</v>
      </c>
      <c r="C413" t="s">
        <v>54</v>
      </c>
      <c r="D413" t="s">
        <v>469</v>
      </c>
      <c r="E413">
        <v>17170178</v>
      </c>
      <c r="F413" t="s">
        <v>56</v>
      </c>
      <c r="G413" t="s">
        <v>57</v>
      </c>
      <c r="H413">
        <v>52200</v>
      </c>
      <c r="I413" t="s">
        <v>60</v>
      </c>
      <c r="J413">
        <v>260.3</v>
      </c>
      <c r="K413">
        <v>-4.3190589965079944</v>
      </c>
      <c r="L413">
        <v>30</v>
      </c>
      <c r="M413">
        <v>325.27999999999997</v>
      </c>
      <c r="N413">
        <v>43170</v>
      </c>
      <c r="O413">
        <v>6810</v>
      </c>
      <c r="P413">
        <v>4140</v>
      </c>
      <c r="Q413">
        <v>22440</v>
      </c>
      <c r="R413">
        <v>25110</v>
      </c>
      <c r="S413">
        <v>20580</v>
      </c>
      <c r="T413">
        <v>333.3</v>
      </c>
      <c r="U413">
        <v>376.7</v>
      </c>
      <c r="V413">
        <v>250.2</v>
      </c>
      <c r="W413">
        <v>272.05</v>
      </c>
      <c r="X413">
        <v>270.35000000000002</v>
      </c>
      <c r="Y413">
        <v>30</v>
      </c>
      <c r="Z413">
        <v>273</v>
      </c>
      <c r="AA413">
        <v>120</v>
      </c>
      <c r="AB413" s="6">
        <v>46147.586226851854</v>
      </c>
      <c r="AC413" s="6">
        <v>46147.583113425928</v>
      </c>
    </row>
    <row r="414" spans="1:29" x14ac:dyDescent="0.25">
      <c r="A414" t="s">
        <v>8</v>
      </c>
      <c r="B414" s="5">
        <v>46168</v>
      </c>
      <c r="C414" t="s">
        <v>54</v>
      </c>
      <c r="D414" t="s">
        <v>470</v>
      </c>
      <c r="E414">
        <v>17172482</v>
      </c>
      <c r="F414" t="s">
        <v>56</v>
      </c>
      <c r="G414" t="s">
        <v>57</v>
      </c>
      <c r="H414">
        <v>52300</v>
      </c>
      <c r="I414" t="s">
        <v>58</v>
      </c>
      <c r="J414">
        <v>4548.75</v>
      </c>
      <c r="K414">
        <v>0</v>
      </c>
      <c r="L414">
        <v>30</v>
      </c>
      <c r="M414">
        <v>0</v>
      </c>
      <c r="N414">
        <v>0</v>
      </c>
      <c r="O414">
        <v>3210</v>
      </c>
      <c r="P414">
        <v>4410</v>
      </c>
      <c r="Q414">
        <v>870</v>
      </c>
      <c r="R414">
        <v>870</v>
      </c>
      <c r="S414">
        <v>870</v>
      </c>
      <c r="T414">
        <v>0</v>
      </c>
      <c r="U414">
        <v>0</v>
      </c>
      <c r="V414">
        <v>0</v>
      </c>
      <c r="W414">
        <v>4548.75</v>
      </c>
      <c r="X414">
        <v>2873.75</v>
      </c>
      <c r="Y414">
        <v>30</v>
      </c>
      <c r="Z414">
        <v>3035.4</v>
      </c>
      <c r="AA414">
        <v>60</v>
      </c>
      <c r="AB414" s="6">
        <v>46147.586238425924</v>
      </c>
      <c r="AC414" s="6">
        <v>46135.629444444443</v>
      </c>
    </row>
    <row r="415" spans="1:29" x14ac:dyDescent="0.25">
      <c r="A415" t="s">
        <v>8</v>
      </c>
      <c r="B415" s="5">
        <v>46168</v>
      </c>
      <c r="C415" t="s">
        <v>54</v>
      </c>
      <c r="D415" t="s">
        <v>471</v>
      </c>
      <c r="E415">
        <v>17172738</v>
      </c>
      <c r="F415" t="s">
        <v>56</v>
      </c>
      <c r="G415" t="s">
        <v>57</v>
      </c>
      <c r="H415">
        <v>52300</v>
      </c>
      <c r="I415" t="s">
        <v>60</v>
      </c>
      <c r="J415">
        <v>278.89999999999998</v>
      </c>
      <c r="K415">
        <v>-1.7438788092302431</v>
      </c>
      <c r="L415">
        <v>30</v>
      </c>
      <c r="M415">
        <v>335.67</v>
      </c>
      <c r="N415">
        <v>47280</v>
      </c>
      <c r="O415">
        <v>6390</v>
      </c>
      <c r="P415">
        <v>3660</v>
      </c>
      <c r="Q415">
        <v>18750</v>
      </c>
      <c r="R415">
        <v>18870</v>
      </c>
      <c r="S415">
        <v>16380</v>
      </c>
      <c r="T415">
        <v>329</v>
      </c>
      <c r="U415">
        <v>397.35</v>
      </c>
      <c r="V415">
        <v>263.89999999999998</v>
      </c>
      <c r="W415">
        <v>283.85000000000002</v>
      </c>
      <c r="X415">
        <v>277.95</v>
      </c>
      <c r="Y415">
        <v>240</v>
      </c>
      <c r="Z415">
        <v>280.60000000000002</v>
      </c>
      <c r="AA415">
        <v>30</v>
      </c>
      <c r="AB415" s="6">
        <v>46147.586527777778</v>
      </c>
      <c r="AC415" s="6">
        <v>46147.58390046296</v>
      </c>
    </row>
    <row r="416" spans="1:29" x14ac:dyDescent="0.25">
      <c r="A416" t="s">
        <v>8</v>
      </c>
      <c r="B416" s="5">
        <v>46168</v>
      </c>
      <c r="C416" t="s">
        <v>54</v>
      </c>
      <c r="D416" t="s">
        <v>472</v>
      </c>
      <c r="E416">
        <v>17173506</v>
      </c>
      <c r="F416" t="s">
        <v>56</v>
      </c>
      <c r="G416" t="s">
        <v>57</v>
      </c>
      <c r="H416">
        <v>52400</v>
      </c>
      <c r="I416" t="s">
        <v>58</v>
      </c>
      <c r="J416">
        <v>4183.5</v>
      </c>
      <c r="K416">
        <v>0</v>
      </c>
      <c r="L416">
        <v>30</v>
      </c>
      <c r="M416">
        <v>0</v>
      </c>
      <c r="N416">
        <v>0</v>
      </c>
      <c r="O416">
        <v>3090</v>
      </c>
      <c r="P416">
        <v>4560</v>
      </c>
      <c r="Q416">
        <v>960</v>
      </c>
      <c r="R416">
        <v>960</v>
      </c>
      <c r="S416">
        <v>960</v>
      </c>
      <c r="T416">
        <v>0</v>
      </c>
      <c r="U416">
        <v>0</v>
      </c>
      <c r="V416">
        <v>0</v>
      </c>
      <c r="W416">
        <v>4183.5</v>
      </c>
      <c r="X416">
        <v>2821.2</v>
      </c>
      <c r="Y416">
        <v>60</v>
      </c>
      <c r="Z416">
        <v>2927.6</v>
      </c>
      <c r="AA416">
        <v>30</v>
      </c>
      <c r="AB416" s="6">
        <v>46147.586238425924</v>
      </c>
      <c r="AC416" s="6">
        <v>46120.604456018518</v>
      </c>
    </row>
    <row r="417" spans="1:29" x14ac:dyDescent="0.25">
      <c r="A417" t="s">
        <v>8</v>
      </c>
      <c r="B417" s="5">
        <v>46168</v>
      </c>
      <c r="C417" t="s">
        <v>54</v>
      </c>
      <c r="D417" t="s">
        <v>473</v>
      </c>
      <c r="E417">
        <v>17173762</v>
      </c>
      <c r="F417" t="s">
        <v>56</v>
      </c>
      <c r="G417" t="s">
        <v>57</v>
      </c>
      <c r="H417">
        <v>52400</v>
      </c>
      <c r="I417" t="s">
        <v>60</v>
      </c>
      <c r="J417">
        <v>288.39999999999998</v>
      </c>
      <c r="K417">
        <v>-3.1564808596373517</v>
      </c>
      <c r="L417">
        <v>30</v>
      </c>
      <c r="M417">
        <v>358.42</v>
      </c>
      <c r="N417">
        <v>54660</v>
      </c>
      <c r="O417">
        <v>6960</v>
      </c>
      <c r="P417">
        <v>4050</v>
      </c>
      <c r="Q417">
        <v>20100</v>
      </c>
      <c r="R417">
        <v>20160</v>
      </c>
      <c r="S417">
        <v>16710</v>
      </c>
      <c r="T417">
        <v>368.95</v>
      </c>
      <c r="U417">
        <v>417.85</v>
      </c>
      <c r="V417">
        <v>278.55</v>
      </c>
      <c r="W417">
        <v>297.8</v>
      </c>
      <c r="X417">
        <v>292.89999999999998</v>
      </c>
      <c r="Y417">
        <v>240</v>
      </c>
      <c r="Z417">
        <v>296.05</v>
      </c>
      <c r="AA417">
        <v>330</v>
      </c>
      <c r="AB417" s="6">
        <v>46147.586527777778</v>
      </c>
      <c r="AC417" s="6">
        <v>46147.582881944443</v>
      </c>
    </row>
    <row r="418" spans="1:29" x14ac:dyDescent="0.25">
      <c r="A418" t="s">
        <v>8</v>
      </c>
      <c r="B418" s="5">
        <v>46168</v>
      </c>
      <c r="C418" t="s">
        <v>54</v>
      </c>
      <c r="D418" t="s">
        <v>474</v>
      </c>
      <c r="E418">
        <v>17174274</v>
      </c>
      <c r="F418" t="s">
        <v>56</v>
      </c>
      <c r="G418" t="s">
        <v>57</v>
      </c>
      <c r="H418">
        <v>52500</v>
      </c>
      <c r="I418" t="s">
        <v>58</v>
      </c>
      <c r="J418">
        <v>2860</v>
      </c>
      <c r="K418">
        <v>-3.1083255695773695</v>
      </c>
      <c r="L418">
        <v>30</v>
      </c>
      <c r="M418">
        <v>2587.39</v>
      </c>
      <c r="N418">
        <v>6270</v>
      </c>
      <c r="O418">
        <v>5520</v>
      </c>
      <c r="P418">
        <v>7200</v>
      </c>
      <c r="Q418">
        <v>10500</v>
      </c>
      <c r="R418">
        <v>10500</v>
      </c>
      <c r="S418">
        <v>7680</v>
      </c>
      <c r="T418">
        <v>2665.6</v>
      </c>
      <c r="U418">
        <v>2870</v>
      </c>
      <c r="V418">
        <v>2371.9</v>
      </c>
      <c r="W418">
        <v>2951.75</v>
      </c>
      <c r="X418">
        <v>2753.7</v>
      </c>
      <c r="Y418">
        <v>30</v>
      </c>
      <c r="Z418">
        <v>2820.35</v>
      </c>
      <c r="AA418">
        <v>60</v>
      </c>
      <c r="AB418" s="6">
        <v>46147.586527777778</v>
      </c>
      <c r="AC418" s="6">
        <v>46147.556944444441</v>
      </c>
    </row>
    <row r="419" spans="1:29" x14ac:dyDescent="0.25">
      <c r="A419" t="s">
        <v>8</v>
      </c>
      <c r="B419" s="5">
        <v>46168</v>
      </c>
      <c r="C419" t="s">
        <v>54</v>
      </c>
      <c r="D419" t="s">
        <v>475</v>
      </c>
      <c r="E419">
        <v>17174530</v>
      </c>
      <c r="F419" t="s">
        <v>56</v>
      </c>
      <c r="G419" t="s">
        <v>57</v>
      </c>
      <c r="H419">
        <v>52500</v>
      </c>
      <c r="I419" t="s">
        <v>60</v>
      </c>
      <c r="J419">
        <v>313.55</v>
      </c>
      <c r="K419">
        <v>-0.22275258552107832</v>
      </c>
      <c r="L419">
        <v>30</v>
      </c>
      <c r="M419">
        <v>369.73</v>
      </c>
      <c r="N419">
        <v>289260</v>
      </c>
      <c r="O419">
        <v>9600</v>
      </c>
      <c r="P419">
        <v>8970</v>
      </c>
      <c r="Q419">
        <v>165120</v>
      </c>
      <c r="R419">
        <v>166590</v>
      </c>
      <c r="S419">
        <v>155460</v>
      </c>
      <c r="T419">
        <v>366.95</v>
      </c>
      <c r="U419">
        <v>439.25</v>
      </c>
      <c r="V419">
        <v>286.10000000000002</v>
      </c>
      <c r="W419">
        <v>314.25</v>
      </c>
      <c r="X419">
        <v>309.45</v>
      </c>
      <c r="Y419">
        <v>30</v>
      </c>
      <c r="Z419">
        <v>310.8</v>
      </c>
      <c r="AA419">
        <v>60</v>
      </c>
      <c r="AB419" s="6">
        <v>46147.586516203701</v>
      </c>
      <c r="AC419" s="6">
        <v>46147.586273148147</v>
      </c>
    </row>
    <row r="420" spans="1:29" x14ac:dyDescent="0.25">
      <c r="A420" t="s">
        <v>8</v>
      </c>
      <c r="B420" s="5">
        <v>46168</v>
      </c>
      <c r="C420" t="s">
        <v>54</v>
      </c>
      <c r="D420" t="s">
        <v>476</v>
      </c>
      <c r="E420">
        <v>17174786</v>
      </c>
      <c r="F420" t="s">
        <v>56</v>
      </c>
      <c r="G420" t="s">
        <v>57</v>
      </c>
      <c r="H420">
        <v>52600</v>
      </c>
      <c r="I420" t="s">
        <v>58</v>
      </c>
      <c r="J420">
        <v>2600</v>
      </c>
      <c r="K420">
        <v>-1.8867924528301887</v>
      </c>
      <c r="L420">
        <v>30</v>
      </c>
      <c r="M420">
        <v>2475.23</v>
      </c>
      <c r="N420">
        <v>90</v>
      </c>
      <c r="O420">
        <v>4380</v>
      </c>
      <c r="P420">
        <v>4770</v>
      </c>
      <c r="Q420">
        <v>1200</v>
      </c>
      <c r="R420">
        <v>1230</v>
      </c>
      <c r="S420">
        <v>1200</v>
      </c>
      <c r="T420">
        <v>2450.6999999999998</v>
      </c>
      <c r="U420">
        <v>2600</v>
      </c>
      <c r="V420">
        <v>2375</v>
      </c>
      <c r="W420">
        <v>2650</v>
      </c>
      <c r="X420">
        <v>2658.4</v>
      </c>
      <c r="Y420">
        <v>60</v>
      </c>
      <c r="Z420">
        <v>2753.9</v>
      </c>
      <c r="AA420">
        <v>60</v>
      </c>
      <c r="AB420" s="6">
        <v>46147.58625</v>
      </c>
      <c r="AC420" s="6">
        <v>46147.541134259256</v>
      </c>
    </row>
    <row r="421" spans="1:29" x14ac:dyDescent="0.25">
      <c r="A421" t="s">
        <v>8</v>
      </c>
      <c r="B421" s="5">
        <v>46168</v>
      </c>
      <c r="C421" t="s">
        <v>54</v>
      </c>
      <c r="D421" t="s">
        <v>477</v>
      </c>
      <c r="E421">
        <v>17175042</v>
      </c>
      <c r="F421" t="s">
        <v>56</v>
      </c>
      <c r="G421" t="s">
        <v>57</v>
      </c>
      <c r="H421">
        <v>52600</v>
      </c>
      <c r="I421" t="s">
        <v>60</v>
      </c>
      <c r="J421">
        <v>328.2</v>
      </c>
      <c r="K421">
        <v>-7.6115086010047198E-2</v>
      </c>
      <c r="L421">
        <v>60</v>
      </c>
      <c r="M421">
        <v>398.18</v>
      </c>
      <c r="N421">
        <v>58950</v>
      </c>
      <c r="O421">
        <v>6840</v>
      </c>
      <c r="P421">
        <v>5610</v>
      </c>
      <c r="Q421">
        <v>21600</v>
      </c>
      <c r="R421">
        <v>21960</v>
      </c>
      <c r="S421">
        <v>17940</v>
      </c>
      <c r="T421">
        <v>420.7</v>
      </c>
      <c r="U421">
        <v>464.9</v>
      </c>
      <c r="V421">
        <v>312</v>
      </c>
      <c r="W421">
        <v>328.45</v>
      </c>
      <c r="X421">
        <v>326.2</v>
      </c>
      <c r="Y421">
        <v>30</v>
      </c>
      <c r="Z421">
        <v>327.9</v>
      </c>
      <c r="AA421">
        <v>30</v>
      </c>
      <c r="AB421" s="6">
        <v>46147.586516203701</v>
      </c>
      <c r="AC421" s="6">
        <v>46147.586354166669</v>
      </c>
    </row>
    <row r="422" spans="1:29" x14ac:dyDescent="0.25">
      <c r="A422" t="s">
        <v>8</v>
      </c>
      <c r="B422" s="5">
        <v>46168</v>
      </c>
      <c r="C422" t="s">
        <v>54</v>
      </c>
      <c r="D422" t="s">
        <v>478</v>
      </c>
      <c r="E422">
        <v>17175298</v>
      </c>
      <c r="F422" t="s">
        <v>56</v>
      </c>
      <c r="G422" t="s">
        <v>57</v>
      </c>
      <c r="H422">
        <v>52700</v>
      </c>
      <c r="I422" t="s">
        <v>58</v>
      </c>
      <c r="J422">
        <v>2650</v>
      </c>
      <c r="K422">
        <v>-2.2717214928455491</v>
      </c>
      <c r="L422">
        <v>30</v>
      </c>
      <c r="M422">
        <v>2650</v>
      </c>
      <c r="N422">
        <v>30</v>
      </c>
      <c r="O422">
        <v>4470</v>
      </c>
      <c r="P422">
        <v>4920</v>
      </c>
      <c r="Q422">
        <v>1290</v>
      </c>
      <c r="R422">
        <v>1290</v>
      </c>
      <c r="S422">
        <v>1290</v>
      </c>
      <c r="T422">
        <v>2650</v>
      </c>
      <c r="U422">
        <v>2650</v>
      </c>
      <c r="V422">
        <v>2650</v>
      </c>
      <c r="W422">
        <v>2711.6</v>
      </c>
      <c r="X422">
        <v>2561.75</v>
      </c>
      <c r="Y422">
        <v>60</v>
      </c>
      <c r="Z422">
        <v>2643.55</v>
      </c>
      <c r="AA422">
        <v>60</v>
      </c>
      <c r="AB422" s="6">
        <v>46147.58625</v>
      </c>
      <c r="AC422" s="6">
        <v>46147.549247685187</v>
      </c>
    </row>
    <row r="423" spans="1:29" x14ac:dyDescent="0.25">
      <c r="A423" t="s">
        <v>8</v>
      </c>
      <c r="B423" s="5">
        <v>46168</v>
      </c>
      <c r="C423" t="s">
        <v>54</v>
      </c>
      <c r="D423" t="s">
        <v>479</v>
      </c>
      <c r="E423">
        <v>17176578</v>
      </c>
      <c r="F423" t="s">
        <v>56</v>
      </c>
      <c r="G423" t="s">
        <v>57</v>
      </c>
      <c r="H423">
        <v>52700</v>
      </c>
      <c r="I423" t="s">
        <v>60</v>
      </c>
      <c r="J423">
        <v>345.45</v>
      </c>
      <c r="K423">
        <v>-0.34617048896581243</v>
      </c>
      <c r="L423">
        <v>30</v>
      </c>
      <c r="M423">
        <v>424.83</v>
      </c>
      <c r="N423">
        <v>186300</v>
      </c>
      <c r="O423">
        <v>9840</v>
      </c>
      <c r="P423">
        <v>10350</v>
      </c>
      <c r="Q423">
        <v>17490</v>
      </c>
      <c r="R423">
        <v>36210</v>
      </c>
      <c r="S423">
        <v>17160</v>
      </c>
      <c r="T423">
        <v>375.25</v>
      </c>
      <c r="U423">
        <v>485</v>
      </c>
      <c r="V423">
        <v>319.05</v>
      </c>
      <c r="W423">
        <v>346.65</v>
      </c>
      <c r="X423">
        <v>343.35</v>
      </c>
      <c r="Y423">
        <v>150</v>
      </c>
      <c r="Z423">
        <v>345</v>
      </c>
      <c r="AA423">
        <v>30</v>
      </c>
      <c r="AB423" s="6">
        <v>46147.586527777778</v>
      </c>
      <c r="AC423" s="6">
        <v>46147.585405092592</v>
      </c>
    </row>
    <row r="424" spans="1:29" x14ac:dyDescent="0.25">
      <c r="A424" t="s">
        <v>8</v>
      </c>
      <c r="B424" s="5">
        <v>46168</v>
      </c>
      <c r="C424" t="s">
        <v>54</v>
      </c>
      <c r="D424" t="s">
        <v>480</v>
      </c>
      <c r="E424">
        <v>17176834</v>
      </c>
      <c r="F424" t="s">
        <v>56</v>
      </c>
      <c r="G424" t="s">
        <v>57</v>
      </c>
      <c r="H424">
        <v>52800</v>
      </c>
      <c r="I424" t="s">
        <v>58</v>
      </c>
      <c r="J424">
        <v>2561.0500000000002</v>
      </c>
      <c r="K424">
        <v>2.927819307129667</v>
      </c>
      <c r="L424">
        <v>30</v>
      </c>
      <c r="M424">
        <v>2462.7600000000002</v>
      </c>
      <c r="N424">
        <v>90</v>
      </c>
      <c r="O424">
        <v>5370</v>
      </c>
      <c r="P424">
        <v>5790</v>
      </c>
      <c r="Q424">
        <v>2670</v>
      </c>
      <c r="R424">
        <v>2670</v>
      </c>
      <c r="S424">
        <v>2640</v>
      </c>
      <c r="T424">
        <v>2200</v>
      </c>
      <c r="U424">
        <v>2627.25</v>
      </c>
      <c r="V424">
        <v>2200</v>
      </c>
      <c r="W424">
        <v>2488.1999999999998</v>
      </c>
      <c r="X424">
        <v>2475.9</v>
      </c>
      <c r="Y424">
        <v>30</v>
      </c>
      <c r="Z424">
        <v>2579.0500000000002</v>
      </c>
      <c r="AA424">
        <v>60</v>
      </c>
      <c r="AB424" s="6">
        <v>46147.586261574077</v>
      </c>
      <c r="AC424" s="6">
        <v>46147.570243055554</v>
      </c>
    </row>
    <row r="425" spans="1:29" x14ac:dyDescent="0.25">
      <c r="A425" t="s">
        <v>8</v>
      </c>
      <c r="B425" s="5">
        <v>46168</v>
      </c>
      <c r="C425" t="s">
        <v>54</v>
      </c>
      <c r="D425" t="s">
        <v>481</v>
      </c>
      <c r="E425">
        <v>17177090</v>
      </c>
      <c r="F425" t="s">
        <v>56</v>
      </c>
      <c r="G425" t="s">
        <v>57</v>
      </c>
      <c r="H425">
        <v>52800</v>
      </c>
      <c r="I425" t="s">
        <v>60</v>
      </c>
      <c r="J425">
        <v>366.8</v>
      </c>
      <c r="K425">
        <v>1.0607521697203535</v>
      </c>
      <c r="L425">
        <v>30</v>
      </c>
      <c r="M425">
        <v>443.11</v>
      </c>
      <c r="N425">
        <v>98850</v>
      </c>
      <c r="O425">
        <v>10380</v>
      </c>
      <c r="P425">
        <v>8820</v>
      </c>
      <c r="Q425">
        <v>21570</v>
      </c>
      <c r="R425">
        <v>26130</v>
      </c>
      <c r="S425">
        <v>19620</v>
      </c>
      <c r="T425">
        <v>395</v>
      </c>
      <c r="U425">
        <v>510</v>
      </c>
      <c r="V425">
        <v>340</v>
      </c>
      <c r="W425">
        <v>362.95</v>
      </c>
      <c r="X425">
        <v>361.15</v>
      </c>
      <c r="Y425">
        <v>300</v>
      </c>
      <c r="Z425">
        <v>363.9</v>
      </c>
      <c r="AA425">
        <v>30</v>
      </c>
      <c r="AB425" s="6">
        <v>46147.586539351854</v>
      </c>
      <c r="AC425" s="6">
        <v>46147.585879629631</v>
      </c>
    </row>
    <row r="426" spans="1:29" x14ac:dyDescent="0.25">
      <c r="A426" t="s">
        <v>8</v>
      </c>
      <c r="B426" s="5">
        <v>46168</v>
      </c>
      <c r="C426" t="s">
        <v>54</v>
      </c>
      <c r="D426" t="s">
        <v>482</v>
      </c>
      <c r="E426">
        <v>17177346</v>
      </c>
      <c r="F426" t="s">
        <v>56</v>
      </c>
      <c r="G426" t="s">
        <v>57</v>
      </c>
      <c r="H426">
        <v>52900</v>
      </c>
      <c r="I426" t="s">
        <v>58</v>
      </c>
      <c r="J426">
        <v>2525</v>
      </c>
      <c r="K426">
        <v>-7.001583735405692</v>
      </c>
      <c r="L426">
        <v>30</v>
      </c>
      <c r="M426">
        <v>2512.5</v>
      </c>
      <c r="N426">
        <v>60</v>
      </c>
      <c r="O426">
        <v>3750</v>
      </c>
      <c r="P426">
        <v>4830</v>
      </c>
      <c r="Q426">
        <v>540</v>
      </c>
      <c r="R426">
        <v>540</v>
      </c>
      <c r="S426">
        <v>510</v>
      </c>
      <c r="T426">
        <v>2500</v>
      </c>
      <c r="U426">
        <v>2525</v>
      </c>
      <c r="V426">
        <v>2500</v>
      </c>
      <c r="W426">
        <v>2715.1</v>
      </c>
      <c r="X426">
        <v>2402.8000000000002</v>
      </c>
      <c r="Y426">
        <v>120</v>
      </c>
      <c r="Z426">
        <v>2496.4499999999998</v>
      </c>
      <c r="AA426">
        <v>60</v>
      </c>
      <c r="AB426" s="6">
        <v>46147.586261574077</v>
      </c>
      <c r="AC426" s="6">
        <v>46147.55027777778</v>
      </c>
    </row>
    <row r="427" spans="1:29" x14ac:dyDescent="0.25">
      <c r="A427" t="s">
        <v>8</v>
      </c>
      <c r="B427" s="5">
        <v>46168</v>
      </c>
      <c r="C427" t="s">
        <v>54</v>
      </c>
      <c r="D427" t="s">
        <v>483</v>
      </c>
      <c r="E427">
        <v>17178114</v>
      </c>
      <c r="F427" t="s">
        <v>56</v>
      </c>
      <c r="G427" t="s">
        <v>57</v>
      </c>
      <c r="H427">
        <v>52900</v>
      </c>
      <c r="I427" t="s">
        <v>60</v>
      </c>
      <c r="J427">
        <v>388.05</v>
      </c>
      <c r="K427">
        <v>1.6502946954813389</v>
      </c>
      <c r="L427">
        <v>30</v>
      </c>
      <c r="M427">
        <v>454.5</v>
      </c>
      <c r="N427">
        <v>43380</v>
      </c>
      <c r="O427">
        <v>10500</v>
      </c>
      <c r="P427">
        <v>8280</v>
      </c>
      <c r="Q427">
        <v>20100</v>
      </c>
      <c r="R427">
        <v>21510</v>
      </c>
      <c r="S427">
        <v>18360</v>
      </c>
      <c r="T427">
        <v>447.95</v>
      </c>
      <c r="U427">
        <v>537.6</v>
      </c>
      <c r="V427">
        <v>355.55</v>
      </c>
      <c r="W427">
        <v>381.75</v>
      </c>
      <c r="X427">
        <v>379.9</v>
      </c>
      <c r="Y427">
        <v>30</v>
      </c>
      <c r="Z427">
        <v>382.45</v>
      </c>
      <c r="AA427">
        <v>90</v>
      </c>
      <c r="AB427" s="6">
        <v>46147.586527777778</v>
      </c>
      <c r="AC427" s="6">
        <v>46147.585879629631</v>
      </c>
    </row>
    <row r="428" spans="1:29" x14ac:dyDescent="0.25">
      <c r="A428" t="s">
        <v>8</v>
      </c>
      <c r="B428" s="5">
        <v>46168</v>
      </c>
      <c r="C428" t="s">
        <v>54</v>
      </c>
      <c r="D428" t="s">
        <v>484</v>
      </c>
      <c r="E428">
        <v>17181186</v>
      </c>
      <c r="F428" t="s">
        <v>56</v>
      </c>
      <c r="G428" t="s">
        <v>57</v>
      </c>
      <c r="H428">
        <v>53000</v>
      </c>
      <c r="I428" t="s">
        <v>58</v>
      </c>
      <c r="J428">
        <v>2409.9499999999998</v>
      </c>
      <c r="K428">
        <v>-5.3771251325140472</v>
      </c>
      <c r="L428">
        <v>30</v>
      </c>
      <c r="M428">
        <v>2195.23</v>
      </c>
      <c r="N428">
        <v>37350</v>
      </c>
      <c r="O428">
        <v>5730</v>
      </c>
      <c r="P428">
        <v>6990</v>
      </c>
      <c r="Q428">
        <v>111360</v>
      </c>
      <c r="R428">
        <v>111360</v>
      </c>
      <c r="S428">
        <v>103950</v>
      </c>
      <c r="T428">
        <v>2400</v>
      </c>
      <c r="U428">
        <v>2500</v>
      </c>
      <c r="V428">
        <v>1986.85</v>
      </c>
      <c r="W428">
        <v>2546.9</v>
      </c>
      <c r="X428">
        <v>2374.15</v>
      </c>
      <c r="Y428">
        <v>30</v>
      </c>
      <c r="Z428">
        <v>2403.1</v>
      </c>
      <c r="AA428">
        <v>30</v>
      </c>
      <c r="AB428" s="6">
        <v>46147.586527777778</v>
      </c>
      <c r="AC428" s="6">
        <v>46147.585104166668</v>
      </c>
    </row>
    <row r="429" spans="1:29" x14ac:dyDescent="0.25">
      <c r="A429" t="s">
        <v>8</v>
      </c>
      <c r="B429" s="5">
        <v>46168</v>
      </c>
      <c r="C429" t="s">
        <v>54</v>
      </c>
      <c r="D429" t="s">
        <v>485</v>
      </c>
      <c r="E429">
        <v>17181442</v>
      </c>
      <c r="F429" t="s">
        <v>56</v>
      </c>
      <c r="G429" t="s">
        <v>57</v>
      </c>
      <c r="H429">
        <v>53000</v>
      </c>
      <c r="I429" t="s">
        <v>60</v>
      </c>
      <c r="J429">
        <v>400.2</v>
      </c>
      <c r="K429">
        <v>-1.2095778820044516</v>
      </c>
      <c r="L429">
        <v>30</v>
      </c>
      <c r="M429">
        <v>478.72</v>
      </c>
      <c r="N429">
        <v>804210</v>
      </c>
      <c r="O429">
        <v>17370</v>
      </c>
      <c r="P429">
        <v>22590</v>
      </c>
      <c r="Q429">
        <v>369840</v>
      </c>
      <c r="R429">
        <v>369840</v>
      </c>
      <c r="S429">
        <v>324600</v>
      </c>
      <c r="T429">
        <v>454</v>
      </c>
      <c r="U429">
        <v>562.95000000000005</v>
      </c>
      <c r="V429">
        <v>372.6</v>
      </c>
      <c r="W429">
        <v>405.1</v>
      </c>
      <c r="X429">
        <v>399.75</v>
      </c>
      <c r="Y429">
        <v>60</v>
      </c>
      <c r="Z429">
        <v>401.8</v>
      </c>
      <c r="AA429">
        <v>30</v>
      </c>
      <c r="AB429" s="6">
        <v>46147.586527777778</v>
      </c>
      <c r="AC429" s="6">
        <v>46147.586481481485</v>
      </c>
    </row>
    <row r="430" spans="1:29" x14ac:dyDescent="0.25">
      <c r="A430" t="s">
        <v>8</v>
      </c>
      <c r="B430" s="5">
        <v>46168</v>
      </c>
      <c r="C430" t="s">
        <v>54</v>
      </c>
      <c r="D430" t="s">
        <v>486</v>
      </c>
      <c r="E430">
        <v>17181698</v>
      </c>
      <c r="F430" t="s">
        <v>56</v>
      </c>
      <c r="G430" t="s">
        <v>57</v>
      </c>
      <c r="H430">
        <v>53100</v>
      </c>
      <c r="I430" t="s">
        <v>58</v>
      </c>
      <c r="J430">
        <v>2639.35</v>
      </c>
      <c r="K430">
        <v>0</v>
      </c>
      <c r="L430">
        <v>30</v>
      </c>
      <c r="M430">
        <v>0</v>
      </c>
      <c r="N430">
        <v>0</v>
      </c>
      <c r="O430">
        <v>3660</v>
      </c>
      <c r="P430">
        <v>4380</v>
      </c>
      <c r="Q430">
        <v>930</v>
      </c>
      <c r="R430">
        <v>930</v>
      </c>
      <c r="S430">
        <v>930</v>
      </c>
      <c r="T430">
        <v>0</v>
      </c>
      <c r="U430">
        <v>0</v>
      </c>
      <c r="V430">
        <v>0</v>
      </c>
      <c r="W430">
        <v>2639.35</v>
      </c>
      <c r="X430">
        <v>2276.65</v>
      </c>
      <c r="Y430">
        <v>60</v>
      </c>
      <c r="Z430">
        <v>2365.85</v>
      </c>
      <c r="AA430">
        <v>120</v>
      </c>
      <c r="AB430" s="6">
        <v>46147.585729166669</v>
      </c>
      <c r="AC430" s="6">
        <v>46142.645624999997</v>
      </c>
    </row>
    <row r="431" spans="1:29" x14ac:dyDescent="0.25">
      <c r="A431" t="s">
        <v>8</v>
      </c>
      <c r="B431" s="5">
        <v>46168</v>
      </c>
      <c r="C431" t="s">
        <v>54</v>
      </c>
      <c r="D431" t="s">
        <v>487</v>
      </c>
      <c r="E431">
        <v>17181954</v>
      </c>
      <c r="F431" t="s">
        <v>56</v>
      </c>
      <c r="G431" t="s">
        <v>57</v>
      </c>
      <c r="H431">
        <v>53100</v>
      </c>
      <c r="I431" t="s">
        <v>60</v>
      </c>
      <c r="J431">
        <v>424.5</v>
      </c>
      <c r="K431">
        <v>1.6401292948641262</v>
      </c>
      <c r="L431">
        <v>30</v>
      </c>
      <c r="M431">
        <v>510.56</v>
      </c>
      <c r="N431">
        <v>76320</v>
      </c>
      <c r="O431">
        <v>11460</v>
      </c>
      <c r="P431">
        <v>9780</v>
      </c>
      <c r="Q431">
        <v>20130</v>
      </c>
      <c r="R431">
        <v>23790</v>
      </c>
      <c r="S431">
        <v>19530</v>
      </c>
      <c r="T431">
        <v>450</v>
      </c>
      <c r="U431">
        <v>588</v>
      </c>
      <c r="V431">
        <v>399.9</v>
      </c>
      <c r="W431">
        <v>417.65</v>
      </c>
      <c r="X431">
        <v>420.55</v>
      </c>
      <c r="Y431">
        <v>30</v>
      </c>
      <c r="Z431">
        <v>424.2</v>
      </c>
      <c r="AA431">
        <v>450</v>
      </c>
      <c r="AB431" s="6">
        <v>46147.586527777778</v>
      </c>
      <c r="AC431" s="6">
        <v>46147.58630787037</v>
      </c>
    </row>
    <row r="432" spans="1:29" x14ac:dyDescent="0.25">
      <c r="A432" t="s">
        <v>8</v>
      </c>
      <c r="B432" s="5">
        <v>46168</v>
      </c>
      <c r="C432" t="s">
        <v>54</v>
      </c>
      <c r="D432" t="s">
        <v>488</v>
      </c>
      <c r="E432">
        <v>17182210</v>
      </c>
      <c r="F432" t="s">
        <v>56</v>
      </c>
      <c r="G432" t="s">
        <v>57</v>
      </c>
      <c r="H432">
        <v>53200</v>
      </c>
      <c r="I432" t="s">
        <v>58</v>
      </c>
      <c r="J432">
        <v>2308.85</v>
      </c>
      <c r="K432">
        <v>0</v>
      </c>
      <c r="L432">
        <v>30</v>
      </c>
      <c r="M432">
        <v>0</v>
      </c>
      <c r="N432">
        <v>0</v>
      </c>
      <c r="O432">
        <v>3750</v>
      </c>
      <c r="P432">
        <v>4410</v>
      </c>
      <c r="Q432">
        <v>630</v>
      </c>
      <c r="R432">
        <v>630</v>
      </c>
      <c r="S432">
        <v>630</v>
      </c>
      <c r="T432">
        <v>0</v>
      </c>
      <c r="U432">
        <v>0</v>
      </c>
      <c r="V432">
        <v>0</v>
      </c>
      <c r="W432">
        <v>2308.85</v>
      </c>
      <c r="X432">
        <v>2182.65</v>
      </c>
      <c r="Y432">
        <v>120</v>
      </c>
      <c r="Z432">
        <v>2284.9</v>
      </c>
      <c r="AA432">
        <v>120</v>
      </c>
      <c r="AB432" s="6">
        <v>46147.586273148147</v>
      </c>
      <c r="AC432" s="6">
        <v>46142.510821759257</v>
      </c>
    </row>
    <row r="433" spans="1:29" x14ac:dyDescent="0.25">
      <c r="A433" t="s">
        <v>8</v>
      </c>
      <c r="B433" s="5">
        <v>46168</v>
      </c>
      <c r="C433" t="s">
        <v>54</v>
      </c>
      <c r="D433" t="s">
        <v>489</v>
      </c>
      <c r="E433">
        <v>17182466</v>
      </c>
      <c r="F433" t="s">
        <v>56</v>
      </c>
      <c r="G433" t="s">
        <v>57</v>
      </c>
      <c r="H433">
        <v>53200</v>
      </c>
      <c r="I433" t="s">
        <v>60</v>
      </c>
      <c r="J433">
        <v>444.95</v>
      </c>
      <c r="K433">
        <v>0.99875156054930814</v>
      </c>
      <c r="L433">
        <v>30</v>
      </c>
      <c r="M433">
        <v>541.24</v>
      </c>
      <c r="N433">
        <v>64080</v>
      </c>
      <c r="O433">
        <v>11220</v>
      </c>
      <c r="P433">
        <v>10890</v>
      </c>
      <c r="Q433">
        <v>18210</v>
      </c>
      <c r="R433">
        <v>19590</v>
      </c>
      <c r="S433">
        <v>17100</v>
      </c>
      <c r="T433">
        <v>534.85</v>
      </c>
      <c r="U433">
        <v>617.79999999999995</v>
      </c>
      <c r="V433">
        <v>418</v>
      </c>
      <c r="W433">
        <v>440.55</v>
      </c>
      <c r="X433">
        <v>440.7</v>
      </c>
      <c r="Y433">
        <v>120</v>
      </c>
      <c r="Z433">
        <v>445.2</v>
      </c>
      <c r="AA433">
        <v>120</v>
      </c>
      <c r="AB433" s="6">
        <v>46147.586516203701</v>
      </c>
      <c r="AC433" s="6">
        <v>46147.586493055554</v>
      </c>
    </row>
    <row r="434" spans="1:29" x14ac:dyDescent="0.25">
      <c r="A434" t="s">
        <v>8</v>
      </c>
      <c r="B434" s="5">
        <v>46168</v>
      </c>
      <c r="C434" t="s">
        <v>54</v>
      </c>
      <c r="D434" t="s">
        <v>490</v>
      </c>
      <c r="E434">
        <v>17182722</v>
      </c>
      <c r="F434" t="s">
        <v>56</v>
      </c>
      <c r="G434" t="s">
        <v>57</v>
      </c>
      <c r="H434">
        <v>53300</v>
      </c>
      <c r="I434" t="s">
        <v>58</v>
      </c>
      <c r="J434">
        <v>2170</v>
      </c>
      <c r="K434">
        <v>-8.5487915376024581</v>
      </c>
      <c r="L434">
        <v>30</v>
      </c>
      <c r="M434">
        <v>1965.16</v>
      </c>
      <c r="N434">
        <v>990</v>
      </c>
      <c r="O434">
        <v>2730</v>
      </c>
      <c r="P434">
        <v>5340</v>
      </c>
      <c r="Q434">
        <v>3540</v>
      </c>
      <c r="R434">
        <v>3630</v>
      </c>
      <c r="S434">
        <v>3000</v>
      </c>
      <c r="T434">
        <v>2013.6</v>
      </c>
      <c r="U434">
        <v>2292.5500000000002</v>
      </c>
      <c r="V434">
        <v>1784.2</v>
      </c>
      <c r="W434">
        <v>2372.85</v>
      </c>
      <c r="X434">
        <v>2130.85</v>
      </c>
      <c r="Y434">
        <v>90</v>
      </c>
      <c r="Z434">
        <v>2197</v>
      </c>
      <c r="AA434">
        <v>30</v>
      </c>
      <c r="AB434" s="6">
        <v>46147.586527777778</v>
      </c>
      <c r="AC434" s="6">
        <v>46147.58085648148</v>
      </c>
    </row>
    <row r="435" spans="1:29" x14ac:dyDescent="0.25">
      <c r="A435" t="s">
        <v>8</v>
      </c>
      <c r="B435" s="5">
        <v>46168</v>
      </c>
      <c r="C435" t="s">
        <v>54</v>
      </c>
      <c r="D435" t="s">
        <v>491</v>
      </c>
      <c r="E435">
        <v>17197058</v>
      </c>
      <c r="F435" t="s">
        <v>56</v>
      </c>
      <c r="G435" t="s">
        <v>57</v>
      </c>
      <c r="H435">
        <v>53300</v>
      </c>
      <c r="I435" t="s">
        <v>60</v>
      </c>
      <c r="J435">
        <v>466.05</v>
      </c>
      <c r="K435">
        <v>-0.17136125093713428</v>
      </c>
      <c r="L435">
        <v>60</v>
      </c>
      <c r="M435">
        <v>568.38</v>
      </c>
      <c r="N435">
        <v>59700</v>
      </c>
      <c r="O435">
        <v>10230</v>
      </c>
      <c r="P435">
        <v>8910</v>
      </c>
      <c r="Q435">
        <v>23850</v>
      </c>
      <c r="R435">
        <v>24900</v>
      </c>
      <c r="S435">
        <v>21360</v>
      </c>
      <c r="T435">
        <v>518.75</v>
      </c>
      <c r="U435">
        <v>649.1</v>
      </c>
      <c r="V435">
        <v>439.8</v>
      </c>
      <c r="W435">
        <v>466.85</v>
      </c>
      <c r="X435">
        <v>463</v>
      </c>
      <c r="Y435">
        <v>120</v>
      </c>
      <c r="Z435">
        <v>467.9</v>
      </c>
      <c r="AA435">
        <v>30</v>
      </c>
      <c r="AB435" s="6">
        <v>46147.586527777778</v>
      </c>
      <c r="AC435" s="6">
        <v>46147.584224537037</v>
      </c>
    </row>
    <row r="436" spans="1:29" x14ac:dyDescent="0.25">
      <c r="A436" t="s">
        <v>8</v>
      </c>
      <c r="B436" s="5">
        <v>46168</v>
      </c>
      <c r="C436" t="s">
        <v>54</v>
      </c>
      <c r="D436" t="s">
        <v>492</v>
      </c>
      <c r="E436">
        <v>17197314</v>
      </c>
      <c r="F436" t="s">
        <v>56</v>
      </c>
      <c r="G436" t="s">
        <v>57</v>
      </c>
      <c r="H436">
        <v>53400</v>
      </c>
      <c r="I436" t="s">
        <v>58</v>
      </c>
      <c r="J436">
        <v>2090.5500000000002</v>
      </c>
      <c r="K436">
        <v>-4.2415775370450914</v>
      </c>
      <c r="L436">
        <v>30</v>
      </c>
      <c r="M436">
        <v>2030.7</v>
      </c>
      <c r="N436">
        <v>210</v>
      </c>
      <c r="O436">
        <v>2520</v>
      </c>
      <c r="P436">
        <v>3540</v>
      </c>
      <c r="Q436">
        <v>1050</v>
      </c>
      <c r="R436">
        <v>1050</v>
      </c>
      <c r="S436">
        <v>960</v>
      </c>
      <c r="T436">
        <v>1946.5</v>
      </c>
      <c r="U436">
        <v>2090.5500000000002</v>
      </c>
      <c r="V436">
        <v>1946.5</v>
      </c>
      <c r="W436">
        <v>2183.15</v>
      </c>
      <c r="X436">
        <v>2044.05</v>
      </c>
      <c r="Y436">
        <v>90</v>
      </c>
      <c r="Z436">
        <v>2084</v>
      </c>
      <c r="AA436">
        <v>60</v>
      </c>
      <c r="AB436" s="6">
        <v>46147.586284722223</v>
      </c>
      <c r="AC436" s="6">
        <v>46147.578645833331</v>
      </c>
    </row>
    <row r="437" spans="1:29" x14ac:dyDescent="0.25">
      <c r="A437" t="s">
        <v>8</v>
      </c>
      <c r="B437" s="5">
        <v>46168</v>
      </c>
      <c r="C437" t="s">
        <v>54</v>
      </c>
      <c r="D437" t="s">
        <v>493</v>
      </c>
      <c r="E437">
        <v>17198594</v>
      </c>
      <c r="F437" t="s">
        <v>56</v>
      </c>
      <c r="G437" t="s">
        <v>57</v>
      </c>
      <c r="H437">
        <v>53400</v>
      </c>
      <c r="I437" t="s">
        <v>60</v>
      </c>
      <c r="J437">
        <v>490</v>
      </c>
      <c r="K437">
        <v>0.79193664506839923</v>
      </c>
      <c r="L437">
        <v>30</v>
      </c>
      <c r="M437">
        <v>587.26</v>
      </c>
      <c r="N437">
        <v>94770</v>
      </c>
      <c r="O437">
        <v>8760</v>
      </c>
      <c r="P437">
        <v>10980</v>
      </c>
      <c r="Q437">
        <v>22470</v>
      </c>
      <c r="R437">
        <v>23670</v>
      </c>
      <c r="S437">
        <v>16620</v>
      </c>
      <c r="T437">
        <v>559.95000000000005</v>
      </c>
      <c r="U437">
        <v>683.1</v>
      </c>
      <c r="V437">
        <v>464.8</v>
      </c>
      <c r="W437">
        <v>486.15</v>
      </c>
      <c r="X437">
        <v>488.4</v>
      </c>
      <c r="Y437">
        <v>60</v>
      </c>
      <c r="Z437">
        <v>491.3</v>
      </c>
      <c r="AA437">
        <v>60</v>
      </c>
      <c r="AB437" s="6">
        <v>46147.586504629631</v>
      </c>
      <c r="AC437" s="6">
        <v>46147.586469907408</v>
      </c>
    </row>
    <row r="438" spans="1:29" x14ac:dyDescent="0.25">
      <c r="A438" t="s">
        <v>8</v>
      </c>
      <c r="B438" s="5">
        <v>46168</v>
      </c>
      <c r="C438" t="s">
        <v>54</v>
      </c>
      <c r="D438" t="s">
        <v>494</v>
      </c>
      <c r="E438">
        <v>17199106</v>
      </c>
      <c r="F438" t="s">
        <v>56</v>
      </c>
      <c r="G438" t="s">
        <v>57</v>
      </c>
      <c r="H438">
        <v>53500</v>
      </c>
      <c r="I438" t="s">
        <v>58</v>
      </c>
      <c r="J438">
        <v>2000.35</v>
      </c>
      <c r="K438">
        <v>-7.8179723502304181</v>
      </c>
      <c r="L438">
        <v>30</v>
      </c>
      <c r="M438">
        <v>1873.93</v>
      </c>
      <c r="N438">
        <v>23040</v>
      </c>
      <c r="O438">
        <v>3510</v>
      </c>
      <c r="P438">
        <v>7920</v>
      </c>
      <c r="Q438">
        <v>20940</v>
      </c>
      <c r="R438">
        <v>21180</v>
      </c>
      <c r="S438">
        <v>15300</v>
      </c>
      <c r="T438">
        <v>1855.75</v>
      </c>
      <c r="U438">
        <v>2090</v>
      </c>
      <c r="V438">
        <v>1647.45</v>
      </c>
      <c r="W438">
        <v>2170</v>
      </c>
      <c r="X438">
        <v>2001.95</v>
      </c>
      <c r="Y438">
        <v>30</v>
      </c>
      <c r="Z438">
        <v>2022.7</v>
      </c>
      <c r="AA438">
        <v>30</v>
      </c>
      <c r="AB438" s="6">
        <v>46147.586527777778</v>
      </c>
      <c r="AC438" s="6">
        <v>46147.586238425924</v>
      </c>
    </row>
    <row r="439" spans="1:29" x14ac:dyDescent="0.25">
      <c r="A439" t="s">
        <v>8</v>
      </c>
      <c r="B439" s="5">
        <v>46168</v>
      </c>
      <c r="C439" t="s">
        <v>54</v>
      </c>
      <c r="D439" t="s">
        <v>495</v>
      </c>
      <c r="E439">
        <v>17199874</v>
      </c>
      <c r="F439" t="s">
        <v>56</v>
      </c>
      <c r="G439" t="s">
        <v>57</v>
      </c>
      <c r="H439">
        <v>53500</v>
      </c>
      <c r="I439" t="s">
        <v>60</v>
      </c>
      <c r="J439">
        <v>517.1</v>
      </c>
      <c r="K439">
        <v>1.7913385826771697</v>
      </c>
      <c r="L439">
        <v>30</v>
      </c>
      <c r="M439">
        <v>605.32000000000005</v>
      </c>
      <c r="N439">
        <v>453840</v>
      </c>
      <c r="O439">
        <v>33090</v>
      </c>
      <c r="P439">
        <v>13620</v>
      </c>
      <c r="Q439">
        <v>234330</v>
      </c>
      <c r="R439">
        <v>238740</v>
      </c>
      <c r="S439">
        <v>217380</v>
      </c>
      <c r="T439">
        <v>600</v>
      </c>
      <c r="U439">
        <v>714.25</v>
      </c>
      <c r="V439">
        <v>477.65</v>
      </c>
      <c r="W439">
        <v>508</v>
      </c>
      <c r="X439">
        <v>514.5</v>
      </c>
      <c r="Y439">
        <v>60</v>
      </c>
      <c r="Z439">
        <v>516.75</v>
      </c>
      <c r="AA439">
        <v>30</v>
      </c>
      <c r="AB439" s="6">
        <v>46147.586527777778</v>
      </c>
      <c r="AC439" s="6">
        <v>46147.586400462962</v>
      </c>
    </row>
    <row r="440" spans="1:29" x14ac:dyDescent="0.25">
      <c r="A440" t="s">
        <v>8</v>
      </c>
      <c r="B440" s="5">
        <v>46168</v>
      </c>
      <c r="C440" t="s">
        <v>54</v>
      </c>
      <c r="D440" t="s">
        <v>496</v>
      </c>
      <c r="E440">
        <v>17200130</v>
      </c>
      <c r="F440" t="s">
        <v>56</v>
      </c>
      <c r="G440" t="s">
        <v>57</v>
      </c>
      <c r="H440">
        <v>53600</v>
      </c>
      <c r="I440" t="s">
        <v>58</v>
      </c>
      <c r="J440">
        <v>1694.1</v>
      </c>
      <c r="K440">
        <v>-20.96017915879348</v>
      </c>
      <c r="L440">
        <v>30</v>
      </c>
      <c r="M440">
        <v>1713.73</v>
      </c>
      <c r="N440">
        <v>150</v>
      </c>
      <c r="O440">
        <v>1950</v>
      </c>
      <c r="P440">
        <v>4950</v>
      </c>
      <c r="Q440">
        <v>840</v>
      </c>
      <c r="R440">
        <v>840</v>
      </c>
      <c r="S440">
        <v>780</v>
      </c>
      <c r="T440">
        <v>1855</v>
      </c>
      <c r="U440">
        <v>1855</v>
      </c>
      <c r="V440">
        <v>1599.95</v>
      </c>
      <c r="W440">
        <v>2143.35</v>
      </c>
      <c r="X440">
        <v>1900</v>
      </c>
      <c r="Y440">
        <v>30</v>
      </c>
      <c r="Z440">
        <v>1961.5</v>
      </c>
      <c r="AA440">
        <v>30</v>
      </c>
      <c r="AB440" s="6">
        <v>46147.586296296293</v>
      </c>
      <c r="AC440" s="6">
        <v>46147.519143518519</v>
      </c>
    </row>
    <row r="441" spans="1:29" x14ac:dyDescent="0.25">
      <c r="A441" t="s">
        <v>8</v>
      </c>
      <c r="B441" s="5">
        <v>46168</v>
      </c>
      <c r="C441" t="s">
        <v>54</v>
      </c>
      <c r="D441" t="s">
        <v>497</v>
      </c>
      <c r="E441">
        <v>17200386</v>
      </c>
      <c r="F441" t="s">
        <v>56</v>
      </c>
      <c r="G441" t="s">
        <v>57</v>
      </c>
      <c r="H441">
        <v>53600</v>
      </c>
      <c r="I441" t="s">
        <v>60</v>
      </c>
      <c r="J441">
        <v>545.1</v>
      </c>
      <c r="K441">
        <v>0.30361578802097289</v>
      </c>
      <c r="L441">
        <v>30</v>
      </c>
      <c r="M441">
        <v>645.15</v>
      </c>
      <c r="N441">
        <v>137130</v>
      </c>
      <c r="O441">
        <v>9150</v>
      </c>
      <c r="P441">
        <v>10560</v>
      </c>
      <c r="Q441">
        <v>26850</v>
      </c>
      <c r="R441">
        <v>26850</v>
      </c>
      <c r="S441">
        <v>15600</v>
      </c>
      <c r="T441">
        <v>587.54999999999995</v>
      </c>
      <c r="U441">
        <v>745.15</v>
      </c>
      <c r="V441">
        <v>513.04999999999995</v>
      </c>
      <c r="W441">
        <v>543.45000000000005</v>
      </c>
      <c r="X441">
        <v>537.75</v>
      </c>
      <c r="Y441">
        <v>240</v>
      </c>
      <c r="Z441">
        <v>541.75</v>
      </c>
      <c r="AA441">
        <v>60</v>
      </c>
      <c r="AB441" s="6">
        <v>46147.586539351854</v>
      </c>
      <c r="AC441" s="6">
        <v>46147.586354166669</v>
      </c>
    </row>
    <row r="442" spans="1:29" x14ac:dyDescent="0.25">
      <c r="A442" t="s">
        <v>8</v>
      </c>
      <c r="B442" s="5">
        <v>46168</v>
      </c>
      <c r="C442" t="s">
        <v>54</v>
      </c>
      <c r="D442" t="s">
        <v>498</v>
      </c>
      <c r="E442">
        <v>17200642</v>
      </c>
      <c r="F442" t="s">
        <v>56</v>
      </c>
      <c r="G442" t="s">
        <v>57</v>
      </c>
      <c r="H442">
        <v>53700</v>
      </c>
      <c r="I442" t="s">
        <v>58</v>
      </c>
      <c r="J442">
        <v>1676.85</v>
      </c>
      <c r="K442">
        <v>-17.223250647908184</v>
      </c>
      <c r="L442">
        <v>30</v>
      </c>
      <c r="M442">
        <v>1607.57</v>
      </c>
      <c r="N442">
        <v>1200</v>
      </c>
      <c r="O442">
        <v>3150</v>
      </c>
      <c r="P442">
        <v>4710</v>
      </c>
      <c r="Q442">
        <v>4710</v>
      </c>
      <c r="R442">
        <v>4710</v>
      </c>
      <c r="S442">
        <v>3990</v>
      </c>
      <c r="T442">
        <v>1775</v>
      </c>
      <c r="U442">
        <v>1848</v>
      </c>
      <c r="V442">
        <v>1510</v>
      </c>
      <c r="W442">
        <v>2025.75</v>
      </c>
      <c r="X442">
        <v>1832</v>
      </c>
      <c r="Y442">
        <v>30</v>
      </c>
      <c r="Z442">
        <v>1879.45</v>
      </c>
      <c r="AA442">
        <v>30</v>
      </c>
      <c r="AB442" s="6">
        <v>46147.586296296293</v>
      </c>
      <c r="AC442" s="6">
        <v>46147.538541666669</v>
      </c>
    </row>
    <row r="443" spans="1:29" x14ac:dyDescent="0.25">
      <c r="A443" t="s">
        <v>8</v>
      </c>
      <c r="B443" s="5">
        <v>46168</v>
      </c>
      <c r="C443" t="s">
        <v>54</v>
      </c>
      <c r="D443" t="s">
        <v>499</v>
      </c>
      <c r="E443">
        <v>17200898</v>
      </c>
      <c r="F443" t="s">
        <v>56</v>
      </c>
      <c r="G443" t="s">
        <v>57</v>
      </c>
      <c r="H443">
        <v>53700</v>
      </c>
      <c r="I443" t="s">
        <v>60</v>
      </c>
      <c r="J443">
        <v>578.6</v>
      </c>
      <c r="K443">
        <v>2.0818630910374152</v>
      </c>
      <c r="L443">
        <v>30</v>
      </c>
      <c r="M443">
        <v>660.08</v>
      </c>
      <c r="N443">
        <v>94110</v>
      </c>
      <c r="O443">
        <v>10320</v>
      </c>
      <c r="P443">
        <v>10680</v>
      </c>
      <c r="Q443">
        <v>28740</v>
      </c>
      <c r="R443">
        <v>30510</v>
      </c>
      <c r="S443">
        <v>26130</v>
      </c>
      <c r="T443">
        <v>612.1</v>
      </c>
      <c r="U443">
        <v>782</v>
      </c>
      <c r="V443">
        <v>535.29999999999995</v>
      </c>
      <c r="W443">
        <v>566.79999999999995</v>
      </c>
      <c r="X443">
        <v>566.20000000000005</v>
      </c>
      <c r="Y443">
        <v>30</v>
      </c>
      <c r="Z443">
        <v>569.95000000000005</v>
      </c>
      <c r="AA443">
        <v>90</v>
      </c>
      <c r="AB443" s="6">
        <v>46147.586516203701</v>
      </c>
      <c r="AC443" s="6">
        <v>46147.586157407408</v>
      </c>
    </row>
    <row r="444" spans="1:29" x14ac:dyDescent="0.25">
      <c r="A444" t="s">
        <v>8</v>
      </c>
      <c r="B444" s="5">
        <v>46168</v>
      </c>
      <c r="C444" t="s">
        <v>54</v>
      </c>
      <c r="D444" t="s">
        <v>500</v>
      </c>
      <c r="E444">
        <v>17202178</v>
      </c>
      <c r="F444" t="s">
        <v>56</v>
      </c>
      <c r="G444" t="s">
        <v>57</v>
      </c>
      <c r="H444">
        <v>53800</v>
      </c>
      <c r="I444" t="s">
        <v>58</v>
      </c>
      <c r="J444">
        <v>1800</v>
      </c>
      <c r="K444">
        <v>-9.7947831316244471</v>
      </c>
      <c r="L444">
        <v>30</v>
      </c>
      <c r="M444">
        <v>1661.42</v>
      </c>
      <c r="N444">
        <v>1950</v>
      </c>
      <c r="O444">
        <v>2280</v>
      </c>
      <c r="P444">
        <v>4890</v>
      </c>
      <c r="Q444">
        <v>3870</v>
      </c>
      <c r="R444">
        <v>3960</v>
      </c>
      <c r="S444">
        <v>3510</v>
      </c>
      <c r="T444">
        <v>1750.4</v>
      </c>
      <c r="U444">
        <v>1906.45</v>
      </c>
      <c r="V444">
        <v>1450.05</v>
      </c>
      <c r="W444">
        <v>1995.45</v>
      </c>
      <c r="X444">
        <v>1760</v>
      </c>
      <c r="Y444">
        <v>30</v>
      </c>
      <c r="Z444">
        <v>1785.7</v>
      </c>
      <c r="AA444">
        <v>90</v>
      </c>
      <c r="AB444" s="6">
        <v>46147.58630787037</v>
      </c>
      <c r="AC444" s="6">
        <v>46147.571469907409</v>
      </c>
    </row>
    <row r="445" spans="1:29" x14ac:dyDescent="0.25">
      <c r="A445" t="s">
        <v>8</v>
      </c>
      <c r="B445" s="5">
        <v>46168</v>
      </c>
      <c r="C445" t="s">
        <v>54</v>
      </c>
      <c r="D445" t="s">
        <v>501</v>
      </c>
      <c r="E445">
        <v>17202434</v>
      </c>
      <c r="F445" t="s">
        <v>56</v>
      </c>
      <c r="G445" t="s">
        <v>57</v>
      </c>
      <c r="H445">
        <v>53800</v>
      </c>
      <c r="I445" t="s">
        <v>60</v>
      </c>
      <c r="J445">
        <v>603.15</v>
      </c>
      <c r="K445">
        <v>2.3502460546411035</v>
      </c>
      <c r="L445">
        <v>30</v>
      </c>
      <c r="M445">
        <v>705.33</v>
      </c>
      <c r="N445">
        <v>212220</v>
      </c>
      <c r="O445">
        <v>10590</v>
      </c>
      <c r="P445">
        <v>12030</v>
      </c>
      <c r="Q445">
        <v>30420</v>
      </c>
      <c r="R445">
        <v>31620</v>
      </c>
      <c r="S445">
        <v>21300</v>
      </c>
      <c r="T445">
        <v>660</v>
      </c>
      <c r="U445">
        <v>819.7</v>
      </c>
      <c r="V445">
        <v>555.6</v>
      </c>
      <c r="W445">
        <v>589.29999999999995</v>
      </c>
      <c r="X445">
        <v>594.35</v>
      </c>
      <c r="Y445">
        <v>150</v>
      </c>
      <c r="Z445">
        <v>597.5</v>
      </c>
      <c r="AA445">
        <v>60</v>
      </c>
      <c r="AB445" s="6">
        <v>46147.586527777778</v>
      </c>
      <c r="AC445" s="6">
        <v>46147.586354166669</v>
      </c>
    </row>
    <row r="446" spans="1:29" x14ac:dyDescent="0.25">
      <c r="A446" t="s">
        <v>8</v>
      </c>
      <c r="B446" s="5">
        <v>46168</v>
      </c>
      <c r="C446" t="s">
        <v>54</v>
      </c>
      <c r="D446" t="s">
        <v>502</v>
      </c>
      <c r="E446">
        <v>17202690</v>
      </c>
      <c r="F446" t="s">
        <v>56</v>
      </c>
      <c r="G446" t="s">
        <v>57</v>
      </c>
      <c r="H446">
        <v>53900</v>
      </c>
      <c r="I446" t="s">
        <v>58</v>
      </c>
      <c r="J446">
        <v>1692.1</v>
      </c>
      <c r="K446">
        <v>-9.9443838313952018</v>
      </c>
      <c r="L446">
        <v>30</v>
      </c>
      <c r="M446">
        <v>1562.55</v>
      </c>
      <c r="N446">
        <v>2430</v>
      </c>
      <c r="O446">
        <v>2850</v>
      </c>
      <c r="P446">
        <v>4320</v>
      </c>
      <c r="Q446">
        <v>2820</v>
      </c>
      <c r="R446">
        <v>2940</v>
      </c>
      <c r="S446">
        <v>2430</v>
      </c>
      <c r="T446">
        <v>1650</v>
      </c>
      <c r="U446">
        <v>1780.15</v>
      </c>
      <c r="V446">
        <v>1384.15</v>
      </c>
      <c r="W446">
        <v>1878.95</v>
      </c>
      <c r="X446">
        <v>1706.55</v>
      </c>
      <c r="Y446">
        <v>30</v>
      </c>
      <c r="Z446">
        <v>1735.8</v>
      </c>
      <c r="AA446">
        <v>30</v>
      </c>
      <c r="AB446" s="6">
        <v>46147.586527777778</v>
      </c>
      <c r="AC446" s="6">
        <v>46147.577627314815</v>
      </c>
    </row>
    <row r="447" spans="1:29" x14ac:dyDescent="0.25">
      <c r="A447" t="s">
        <v>8</v>
      </c>
      <c r="B447" s="5">
        <v>46168</v>
      </c>
      <c r="C447" t="s">
        <v>54</v>
      </c>
      <c r="D447" t="s">
        <v>503</v>
      </c>
      <c r="E447">
        <v>17202946</v>
      </c>
      <c r="F447" t="s">
        <v>56</v>
      </c>
      <c r="G447" t="s">
        <v>57</v>
      </c>
      <c r="H447">
        <v>53900</v>
      </c>
      <c r="I447" t="s">
        <v>60</v>
      </c>
      <c r="J447">
        <v>628.1</v>
      </c>
      <c r="K447">
        <v>0.55230929320420163</v>
      </c>
      <c r="L447">
        <v>30</v>
      </c>
      <c r="M447">
        <v>752.8</v>
      </c>
      <c r="N447">
        <v>127260</v>
      </c>
      <c r="O447">
        <v>10530</v>
      </c>
      <c r="P447">
        <v>10170</v>
      </c>
      <c r="Q447">
        <v>29940</v>
      </c>
      <c r="R447">
        <v>32970</v>
      </c>
      <c r="S447">
        <v>19620</v>
      </c>
      <c r="T447">
        <v>700</v>
      </c>
      <c r="U447">
        <v>856.05</v>
      </c>
      <c r="V447">
        <v>585.4</v>
      </c>
      <c r="W447">
        <v>624.65</v>
      </c>
      <c r="X447">
        <v>622.75</v>
      </c>
      <c r="Y447">
        <v>30</v>
      </c>
      <c r="Z447">
        <v>628.15</v>
      </c>
      <c r="AA447">
        <v>30</v>
      </c>
      <c r="AB447" s="6">
        <v>46147.586527777778</v>
      </c>
      <c r="AC447" s="6">
        <v>46147.586388888885</v>
      </c>
    </row>
    <row r="448" spans="1:29" x14ac:dyDescent="0.25">
      <c r="A448" t="s">
        <v>8</v>
      </c>
      <c r="B448" s="5">
        <v>46168</v>
      </c>
      <c r="C448" t="s">
        <v>54</v>
      </c>
      <c r="D448" t="s">
        <v>504</v>
      </c>
      <c r="E448">
        <v>17203202</v>
      </c>
      <c r="F448" t="s">
        <v>56</v>
      </c>
      <c r="G448" t="s">
        <v>57</v>
      </c>
      <c r="H448">
        <v>54000</v>
      </c>
      <c r="I448" t="s">
        <v>58</v>
      </c>
      <c r="J448">
        <v>1655.05</v>
      </c>
      <c r="K448">
        <v>-8.180305131761445</v>
      </c>
      <c r="L448">
        <v>60</v>
      </c>
      <c r="M448">
        <v>1515.16</v>
      </c>
      <c r="N448">
        <v>299550</v>
      </c>
      <c r="O448">
        <v>8310</v>
      </c>
      <c r="P448">
        <v>10110</v>
      </c>
      <c r="Q448">
        <v>170250</v>
      </c>
      <c r="R448">
        <v>171720</v>
      </c>
      <c r="S448">
        <v>132510</v>
      </c>
      <c r="T448">
        <v>1621.05</v>
      </c>
      <c r="U448">
        <v>1762</v>
      </c>
      <c r="V448">
        <v>1328.05</v>
      </c>
      <c r="W448">
        <v>1802.5</v>
      </c>
      <c r="X448">
        <v>1650.35</v>
      </c>
      <c r="Y448">
        <v>60</v>
      </c>
      <c r="Z448">
        <v>1657.2</v>
      </c>
      <c r="AA448">
        <v>180</v>
      </c>
      <c r="AB448" s="6">
        <v>46147.586527777778</v>
      </c>
      <c r="AC448" s="6">
        <v>46147.586412037039</v>
      </c>
    </row>
    <row r="449" spans="1:29" x14ac:dyDescent="0.25">
      <c r="A449" t="s">
        <v>8</v>
      </c>
      <c r="B449" s="5">
        <v>46168</v>
      </c>
      <c r="C449" t="s">
        <v>54</v>
      </c>
      <c r="D449" t="s">
        <v>505</v>
      </c>
      <c r="E449">
        <v>17203458</v>
      </c>
      <c r="F449" t="s">
        <v>56</v>
      </c>
      <c r="G449" t="s">
        <v>57</v>
      </c>
      <c r="H449">
        <v>54000</v>
      </c>
      <c r="I449" t="s">
        <v>60</v>
      </c>
      <c r="J449">
        <v>656.85</v>
      </c>
      <c r="K449">
        <v>0.84440009211637368</v>
      </c>
      <c r="L449">
        <v>30</v>
      </c>
      <c r="M449">
        <v>772.88</v>
      </c>
      <c r="N449">
        <v>1469520</v>
      </c>
      <c r="O449">
        <v>23400</v>
      </c>
      <c r="P449">
        <v>37140</v>
      </c>
      <c r="Q449">
        <v>487650</v>
      </c>
      <c r="R449">
        <v>498540</v>
      </c>
      <c r="S449">
        <v>428520</v>
      </c>
      <c r="T449">
        <v>714.95</v>
      </c>
      <c r="U449">
        <v>896.1</v>
      </c>
      <c r="V449">
        <v>611</v>
      </c>
      <c r="W449">
        <v>651.35</v>
      </c>
      <c r="X449">
        <v>656.65</v>
      </c>
      <c r="Y449">
        <v>60</v>
      </c>
      <c r="Z449">
        <v>658.95</v>
      </c>
      <c r="AA449">
        <v>60</v>
      </c>
      <c r="AB449" s="6">
        <v>46147.586516203701</v>
      </c>
      <c r="AC449" s="6">
        <v>46147.586481481485</v>
      </c>
    </row>
    <row r="450" spans="1:29" x14ac:dyDescent="0.25">
      <c r="A450" t="s">
        <v>8</v>
      </c>
      <c r="B450" s="5">
        <v>46168</v>
      </c>
      <c r="C450" t="s">
        <v>54</v>
      </c>
      <c r="D450" t="s">
        <v>506</v>
      </c>
      <c r="E450">
        <v>17203714</v>
      </c>
      <c r="F450" t="s">
        <v>56</v>
      </c>
      <c r="G450" t="s">
        <v>57</v>
      </c>
      <c r="H450">
        <v>54100</v>
      </c>
      <c r="I450" t="s">
        <v>58</v>
      </c>
      <c r="J450">
        <v>1556.1</v>
      </c>
      <c r="K450">
        <v>-7.6964142717323609</v>
      </c>
      <c r="L450">
        <v>30</v>
      </c>
      <c r="M450">
        <v>1421.54</v>
      </c>
      <c r="N450">
        <v>23190</v>
      </c>
      <c r="O450">
        <v>4590</v>
      </c>
      <c r="P450">
        <v>6720</v>
      </c>
      <c r="Q450">
        <v>8100</v>
      </c>
      <c r="R450">
        <v>9060</v>
      </c>
      <c r="S450">
        <v>4680</v>
      </c>
      <c r="T450">
        <v>1567.9</v>
      </c>
      <c r="U450">
        <v>1639.3</v>
      </c>
      <c r="V450">
        <v>1270</v>
      </c>
      <c r="W450">
        <v>1685.85</v>
      </c>
      <c r="X450">
        <v>1576.6</v>
      </c>
      <c r="Y450">
        <v>30</v>
      </c>
      <c r="Z450">
        <v>1601.2</v>
      </c>
      <c r="AA450">
        <v>60</v>
      </c>
      <c r="AB450" s="6">
        <v>46147.586516203701</v>
      </c>
      <c r="AC450" s="6">
        <v>46147.5862037037</v>
      </c>
    </row>
    <row r="451" spans="1:29" x14ac:dyDescent="0.25">
      <c r="A451" t="s">
        <v>8</v>
      </c>
      <c r="B451" s="5">
        <v>46168</v>
      </c>
      <c r="C451" t="s">
        <v>54</v>
      </c>
      <c r="D451" t="s">
        <v>507</v>
      </c>
      <c r="E451">
        <v>17203970</v>
      </c>
      <c r="F451" t="s">
        <v>56</v>
      </c>
      <c r="G451" t="s">
        <v>57</v>
      </c>
      <c r="H451">
        <v>54100</v>
      </c>
      <c r="I451" t="s">
        <v>60</v>
      </c>
      <c r="J451">
        <v>700.5</v>
      </c>
      <c r="K451">
        <v>3.7393557941503146</v>
      </c>
      <c r="L451">
        <v>90</v>
      </c>
      <c r="M451">
        <v>808.92</v>
      </c>
      <c r="N451">
        <v>164820</v>
      </c>
      <c r="O451">
        <v>9930</v>
      </c>
      <c r="P451">
        <v>10680</v>
      </c>
      <c r="Q451">
        <v>34800</v>
      </c>
      <c r="R451">
        <v>36000</v>
      </c>
      <c r="S451">
        <v>25440</v>
      </c>
      <c r="T451">
        <v>737.3</v>
      </c>
      <c r="U451">
        <v>935</v>
      </c>
      <c r="V451">
        <v>640.79999999999995</v>
      </c>
      <c r="W451">
        <v>675.25</v>
      </c>
      <c r="X451">
        <v>687.35</v>
      </c>
      <c r="Y451">
        <v>30</v>
      </c>
      <c r="Z451">
        <v>691.65</v>
      </c>
      <c r="AA451">
        <v>30</v>
      </c>
      <c r="AB451" s="6">
        <v>46147.586527777778</v>
      </c>
      <c r="AC451" s="6">
        <v>46147.586168981485</v>
      </c>
    </row>
    <row r="452" spans="1:29" x14ac:dyDescent="0.25">
      <c r="A452" t="s">
        <v>8</v>
      </c>
      <c r="B452" s="5">
        <v>46168</v>
      </c>
      <c r="C452" t="s">
        <v>54</v>
      </c>
      <c r="D452" t="s">
        <v>508</v>
      </c>
      <c r="E452">
        <v>17204226</v>
      </c>
      <c r="F452" t="s">
        <v>56</v>
      </c>
      <c r="G452" t="s">
        <v>57</v>
      </c>
      <c r="H452">
        <v>54200</v>
      </c>
      <c r="I452" t="s">
        <v>58</v>
      </c>
      <c r="J452">
        <v>1525</v>
      </c>
      <c r="K452">
        <v>-7.6317383403997576</v>
      </c>
      <c r="L452">
        <v>30</v>
      </c>
      <c r="M452">
        <v>1333.35</v>
      </c>
      <c r="N452">
        <v>132060</v>
      </c>
      <c r="O452">
        <v>4830</v>
      </c>
      <c r="P452">
        <v>6810</v>
      </c>
      <c r="Q452">
        <v>15420</v>
      </c>
      <c r="R452">
        <v>24870</v>
      </c>
      <c r="S452">
        <v>5160</v>
      </c>
      <c r="T452">
        <v>1516.4</v>
      </c>
      <c r="U452">
        <v>1631.35</v>
      </c>
      <c r="V452">
        <v>1209</v>
      </c>
      <c r="W452">
        <v>1651</v>
      </c>
      <c r="X452">
        <v>1512.5</v>
      </c>
      <c r="Y452">
        <v>60</v>
      </c>
      <c r="Z452">
        <v>1531.55</v>
      </c>
      <c r="AA452">
        <v>150</v>
      </c>
      <c r="AB452" s="6">
        <v>46147.586539351854</v>
      </c>
      <c r="AC452" s="6">
        <v>46147.586469907408</v>
      </c>
    </row>
    <row r="453" spans="1:29" x14ac:dyDescent="0.25">
      <c r="A453" t="s">
        <v>8</v>
      </c>
      <c r="B453" s="5">
        <v>46168</v>
      </c>
      <c r="C453" t="s">
        <v>54</v>
      </c>
      <c r="D453" t="s">
        <v>509</v>
      </c>
      <c r="E453">
        <v>17204482</v>
      </c>
      <c r="F453" t="s">
        <v>56</v>
      </c>
      <c r="G453" t="s">
        <v>57</v>
      </c>
      <c r="H453">
        <v>54200</v>
      </c>
      <c r="I453" t="s">
        <v>60</v>
      </c>
      <c r="J453">
        <v>725</v>
      </c>
      <c r="K453">
        <v>1.8759221527436272</v>
      </c>
      <c r="L453">
        <v>30</v>
      </c>
      <c r="M453">
        <v>857.66</v>
      </c>
      <c r="N453">
        <v>385890</v>
      </c>
      <c r="O453">
        <v>10260</v>
      </c>
      <c r="P453">
        <v>13830</v>
      </c>
      <c r="Q453">
        <v>62580</v>
      </c>
      <c r="R453">
        <v>63420</v>
      </c>
      <c r="S453">
        <v>28950</v>
      </c>
      <c r="T453">
        <v>788.6</v>
      </c>
      <c r="U453">
        <v>980.35</v>
      </c>
      <c r="V453">
        <v>676</v>
      </c>
      <c r="W453">
        <v>711.65</v>
      </c>
      <c r="X453">
        <v>720.95</v>
      </c>
      <c r="Y453">
        <v>120</v>
      </c>
      <c r="Z453">
        <v>723.95</v>
      </c>
      <c r="AA453">
        <v>60</v>
      </c>
      <c r="AB453" s="6">
        <v>46147.586527777778</v>
      </c>
      <c r="AC453" s="6">
        <v>46147.586412037039</v>
      </c>
    </row>
    <row r="454" spans="1:29" x14ac:dyDescent="0.25">
      <c r="A454" t="s">
        <v>8</v>
      </c>
      <c r="B454" s="5">
        <v>46168</v>
      </c>
      <c r="C454" t="s">
        <v>54</v>
      </c>
      <c r="D454" t="s">
        <v>510</v>
      </c>
      <c r="E454">
        <v>17204738</v>
      </c>
      <c r="F454" t="s">
        <v>56</v>
      </c>
      <c r="G454" t="s">
        <v>57</v>
      </c>
      <c r="H454">
        <v>54300</v>
      </c>
      <c r="I454" t="s">
        <v>58</v>
      </c>
      <c r="J454">
        <v>1443.8</v>
      </c>
      <c r="K454">
        <v>-9.5986475486819849</v>
      </c>
      <c r="L454">
        <v>30</v>
      </c>
      <c r="M454">
        <v>1287.1099999999999</v>
      </c>
      <c r="N454">
        <v>279810</v>
      </c>
      <c r="O454">
        <v>8760</v>
      </c>
      <c r="P454">
        <v>8760</v>
      </c>
      <c r="Q454">
        <v>19950</v>
      </c>
      <c r="R454">
        <v>40740</v>
      </c>
      <c r="S454">
        <v>6390</v>
      </c>
      <c r="T454">
        <v>1378.65</v>
      </c>
      <c r="U454">
        <v>1555</v>
      </c>
      <c r="V454">
        <v>1154.6500000000001</v>
      </c>
      <c r="W454">
        <v>1597.1</v>
      </c>
      <c r="X454">
        <v>1450.15</v>
      </c>
      <c r="Y454">
        <v>30</v>
      </c>
      <c r="Z454">
        <v>1460.4</v>
      </c>
      <c r="AA454">
        <v>60</v>
      </c>
      <c r="AB454" s="6">
        <v>46147.586527777778</v>
      </c>
      <c r="AC454" s="6">
        <v>46147.586238425924</v>
      </c>
    </row>
    <row r="455" spans="1:29" x14ac:dyDescent="0.25">
      <c r="A455" t="s">
        <v>8</v>
      </c>
      <c r="B455" s="5">
        <v>46168</v>
      </c>
      <c r="C455" t="s">
        <v>54</v>
      </c>
      <c r="D455" t="s">
        <v>511</v>
      </c>
      <c r="E455">
        <v>17206786</v>
      </c>
      <c r="F455" t="s">
        <v>56</v>
      </c>
      <c r="G455" t="s">
        <v>57</v>
      </c>
      <c r="H455">
        <v>54300</v>
      </c>
      <c r="I455" t="s">
        <v>60</v>
      </c>
      <c r="J455">
        <v>756.45</v>
      </c>
      <c r="K455">
        <v>1.0958904109589103</v>
      </c>
      <c r="L455">
        <v>30</v>
      </c>
      <c r="M455">
        <v>913.31</v>
      </c>
      <c r="N455">
        <v>533880</v>
      </c>
      <c r="O455">
        <v>12000</v>
      </c>
      <c r="P455">
        <v>13170</v>
      </c>
      <c r="Q455">
        <v>52080</v>
      </c>
      <c r="R455">
        <v>64950</v>
      </c>
      <c r="S455">
        <v>28980</v>
      </c>
      <c r="T455">
        <v>869.9</v>
      </c>
      <c r="U455">
        <v>1025</v>
      </c>
      <c r="V455">
        <v>705.05</v>
      </c>
      <c r="W455">
        <v>748.25</v>
      </c>
      <c r="X455">
        <v>756.6</v>
      </c>
      <c r="Y455">
        <v>60</v>
      </c>
      <c r="Z455">
        <v>759.3</v>
      </c>
      <c r="AA455">
        <v>60</v>
      </c>
      <c r="AB455" s="6">
        <v>46147.586527777778</v>
      </c>
      <c r="AC455" s="6">
        <v>46147.586458333331</v>
      </c>
    </row>
    <row r="456" spans="1:29" x14ac:dyDescent="0.25">
      <c r="A456" t="s">
        <v>8</v>
      </c>
      <c r="B456" s="5">
        <v>46168</v>
      </c>
      <c r="C456" t="s">
        <v>54</v>
      </c>
      <c r="D456" t="s">
        <v>512</v>
      </c>
      <c r="E456">
        <v>17207042</v>
      </c>
      <c r="F456" t="s">
        <v>56</v>
      </c>
      <c r="G456" t="s">
        <v>57</v>
      </c>
      <c r="H456">
        <v>54400</v>
      </c>
      <c r="I456" t="s">
        <v>58</v>
      </c>
      <c r="J456">
        <v>1392.35</v>
      </c>
      <c r="K456">
        <v>-9.7400492674705053</v>
      </c>
      <c r="L456">
        <v>30</v>
      </c>
      <c r="M456">
        <v>1249.51</v>
      </c>
      <c r="N456">
        <v>506970</v>
      </c>
      <c r="O456">
        <v>24300</v>
      </c>
      <c r="P456">
        <v>10800</v>
      </c>
      <c r="Q456">
        <v>35130</v>
      </c>
      <c r="R456">
        <v>69960</v>
      </c>
      <c r="S456">
        <v>14400</v>
      </c>
      <c r="T456">
        <v>1271.3499999999999</v>
      </c>
      <c r="U456">
        <v>1493</v>
      </c>
      <c r="V456">
        <v>1103.4000000000001</v>
      </c>
      <c r="W456">
        <v>1542.6</v>
      </c>
      <c r="X456">
        <v>1389.45</v>
      </c>
      <c r="Y456">
        <v>60</v>
      </c>
      <c r="Z456">
        <v>1397.55</v>
      </c>
      <c r="AA456">
        <v>120</v>
      </c>
      <c r="AB456" s="6">
        <v>46147.586516203701</v>
      </c>
      <c r="AC456" s="6">
        <v>46147.586504629631</v>
      </c>
    </row>
    <row r="457" spans="1:29" x14ac:dyDescent="0.25">
      <c r="A457" t="s">
        <v>8</v>
      </c>
      <c r="B457" s="5">
        <v>46168</v>
      </c>
      <c r="C457" t="s">
        <v>54</v>
      </c>
      <c r="D457" t="s">
        <v>513</v>
      </c>
      <c r="E457">
        <v>17209346</v>
      </c>
      <c r="F457" t="s">
        <v>56</v>
      </c>
      <c r="G457" t="s">
        <v>57</v>
      </c>
      <c r="H457">
        <v>54400</v>
      </c>
      <c r="I457" t="s">
        <v>60</v>
      </c>
      <c r="J457">
        <v>800.65</v>
      </c>
      <c r="K457">
        <v>3.4632034632034574</v>
      </c>
      <c r="L457">
        <v>30</v>
      </c>
      <c r="M457">
        <v>945.32</v>
      </c>
      <c r="N457">
        <v>865710</v>
      </c>
      <c r="O457">
        <v>9570</v>
      </c>
      <c r="P457">
        <v>15990</v>
      </c>
      <c r="Q457">
        <v>69780</v>
      </c>
      <c r="R457">
        <v>82230</v>
      </c>
      <c r="S457">
        <v>35610</v>
      </c>
      <c r="T457">
        <v>865</v>
      </c>
      <c r="U457">
        <v>1071.3</v>
      </c>
      <c r="V457">
        <v>741.15</v>
      </c>
      <c r="W457">
        <v>773.85</v>
      </c>
      <c r="X457">
        <v>792.25</v>
      </c>
      <c r="Y457">
        <v>60</v>
      </c>
      <c r="Z457">
        <v>795.55</v>
      </c>
      <c r="AA457">
        <v>30</v>
      </c>
      <c r="AB457" s="6">
        <v>46147.586527777778</v>
      </c>
      <c r="AC457" s="6">
        <v>46147.586377314816</v>
      </c>
    </row>
    <row r="458" spans="1:29" x14ac:dyDescent="0.25">
      <c r="A458" t="s">
        <v>8</v>
      </c>
      <c r="B458" s="5">
        <v>46168</v>
      </c>
      <c r="C458" t="s">
        <v>54</v>
      </c>
      <c r="D458" t="s">
        <v>514</v>
      </c>
      <c r="E458">
        <v>17209602</v>
      </c>
      <c r="F458" t="s">
        <v>56</v>
      </c>
      <c r="G458" t="s">
        <v>57</v>
      </c>
      <c r="H458">
        <v>54500</v>
      </c>
      <c r="I458" t="s">
        <v>58</v>
      </c>
      <c r="J458">
        <v>1337.2</v>
      </c>
      <c r="K458">
        <v>-9.8162198617433791</v>
      </c>
      <c r="L458">
        <v>30</v>
      </c>
      <c r="M458">
        <v>1220.6199999999999</v>
      </c>
      <c r="N458">
        <v>1263120</v>
      </c>
      <c r="O458">
        <v>476970</v>
      </c>
      <c r="P458">
        <v>16740</v>
      </c>
      <c r="Q458">
        <v>189570</v>
      </c>
      <c r="R458">
        <v>207510</v>
      </c>
      <c r="S458">
        <v>93780</v>
      </c>
      <c r="T458">
        <v>1362.7</v>
      </c>
      <c r="U458">
        <v>1436.5</v>
      </c>
      <c r="V458">
        <v>1048</v>
      </c>
      <c r="W458">
        <v>1482.75</v>
      </c>
      <c r="X458">
        <v>1330.85</v>
      </c>
      <c r="Y458">
        <v>150</v>
      </c>
      <c r="Z458">
        <v>1334.6</v>
      </c>
      <c r="AA458">
        <v>30</v>
      </c>
      <c r="AB458" s="6">
        <v>46147.586516203701</v>
      </c>
      <c r="AC458" s="6">
        <v>46147.586493055554</v>
      </c>
    </row>
    <row r="459" spans="1:29" x14ac:dyDescent="0.25">
      <c r="A459" t="s">
        <v>8</v>
      </c>
      <c r="B459" s="5">
        <v>46168</v>
      </c>
      <c r="C459" t="s">
        <v>54</v>
      </c>
      <c r="D459" t="s">
        <v>515</v>
      </c>
      <c r="E459">
        <v>17209858</v>
      </c>
      <c r="F459" t="s">
        <v>56</v>
      </c>
      <c r="G459" t="s">
        <v>57</v>
      </c>
      <c r="H459">
        <v>54500</v>
      </c>
      <c r="I459" t="s">
        <v>60</v>
      </c>
      <c r="J459">
        <v>828.2</v>
      </c>
      <c r="K459">
        <v>1.0677893709195192</v>
      </c>
      <c r="L459">
        <v>30</v>
      </c>
      <c r="M459">
        <v>970.6</v>
      </c>
      <c r="N459">
        <v>1885590</v>
      </c>
      <c r="O459">
        <v>14940</v>
      </c>
      <c r="P459">
        <v>27660</v>
      </c>
      <c r="Q459">
        <v>304500</v>
      </c>
      <c r="R459">
        <v>305220</v>
      </c>
      <c r="S459">
        <v>255990</v>
      </c>
      <c r="T459">
        <v>864</v>
      </c>
      <c r="U459">
        <v>1118.55</v>
      </c>
      <c r="V459">
        <v>771.9</v>
      </c>
      <c r="W459">
        <v>819.45</v>
      </c>
      <c r="X459">
        <v>830.2</v>
      </c>
      <c r="Y459">
        <v>90</v>
      </c>
      <c r="Z459">
        <v>833</v>
      </c>
      <c r="AA459">
        <v>60</v>
      </c>
      <c r="AB459" s="6">
        <v>46147.586527777778</v>
      </c>
      <c r="AC459" s="6">
        <v>46147.586469907408</v>
      </c>
    </row>
    <row r="460" spans="1:29" x14ac:dyDescent="0.25">
      <c r="A460" t="s">
        <v>8</v>
      </c>
      <c r="B460" s="5">
        <v>46168</v>
      </c>
      <c r="C460" t="s">
        <v>54</v>
      </c>
      <c r="D460" t="s">
        <v>516</v>
      </c>
      <c r="E460">
        <v>17210114</v>
      </c>
      <c r="F460" t="s">
        <v>56</v>
      </c>
      <c r="G460" t="s">
        <v>57</v>
      </c>
      <c r="H460">
        <v>54600</v>
      </c>
      <c r="I460" t="s">
        <v>58</v>
      </c>
      <c r="J460">
        <v>1275</v>
      </c>
      <c r="K460">
        <v>-9.9290028610787306</v>
      </c>
      <c r="L460">
        <v>60</v>
      </c>
      <c r="M460">
        <v>1183.6600000000001</v>
      </c>
      <c r="N460">
        <v>733680</v>
      </c>
      <c r="O460">
        <v>11760</v>
      </c>
      <c r="P460">
        <v>13320</v>
      </c>
      <c r="Q460">
        <v>66660</v>
      </c>
      <c r="R460">
        <v>90900</v>
      </c>
      <c r="S460">
        <v>28500</v>
      </c>
      <c r="T460">
        <v>1300</v>
      </c>
      <c r="U460">
        <v>1375.8</v>
      </c>
      <c r="V460">
        <v>997.15</v>
      </c>
      <c r="W460">
        <v>1415.55</v>
      </c>
      <c r="X460">
        <v>1269.0999999999999</v>
      </c>
      <c r="Y460">
        <v>60</v>
      </c>
      <c r="Z460">
        <v>1274.55</v>
      </c>
      <c r="AA460">
        <v>120</v>
      </c>
      <c r="AB460" s="6">
        <v>46147.586527777778</v>
      </c>
      <c r="AC460" s="6">
        <v>46147.586469907408</v>
      </c>
    </row>
    <row r="461" spans="1:29" x14ac:dyDescent="0.25">
      <c r="A461" t="s">
        <v>8</v>
      </c>
      <c r="B461" s="5">
        <v>46168</v>
      </c>
      <c r="C461" t="s">
        <v>54</v>
      </c>
      <c r="D461" t="s">
        <v>517</v>
      </c>
      <c r="E461">
        <v>17215746</v>
      </c>
      <c r="F461" t="s">
        <v>56</v>
      </c>
      <c r="G461" t="s">
        <v>57</v>
      </c>
      <c r="H461">
        <v>54600</v>
      </c>
      <c r="I461" t="s">
        <v>60</v>
      </c>
      <c r="J461">
        <v>870.3</v>
      </c>
      <c r="K461">
        <v>1.9504480759093279</v>
      </c>
      <c r="L461">
        <v>30</v>
      </c>
      <c r="M461">
        <v>1007.75</v>
      </c>
      <c r="N461">
        <v>1076010</v>
      </c>
      <c r="O461">
        <v>10500</v>
      </c>
      <c r="P461">
        <v>16170</v>
      </c>
      <c r="Q461">
        <v>81690</v>
      </c>
      <c r="R461">
        <v>105960</v>
      </c>
      <c r="S461">
        <v>41970</v>
      </c>
      <c r="T461">
        <v>939.25</v>
      </c>
      <c r="U461">
        <v>1167.4000000000001</v>
      </c>
      <c r="V461">
        <v>810.95</v>
      </c>
      <c r="W461">
        <v>853.65</v>
      </c>
      <c r="X461">
        <v>868.45</v>
      </c>
      <c r="Y461">
        <v>60</v>
      </c>
      <c r="Z461">
        <v>871.5</v>
      </c>
      <c r="AA461">
        <v>60</v>
      </c>
      <c r="AB461" s="6">
        <v>46147.586504629631</v>
      </c>
      <c r="AC461" s="6">
        <v>46147.586504629631</v>
      </c>
    </row>
    <row r="462" spans="1:29" x14ac:dyDescent="0.25">
      <c r="A462" t="s">
        <v>8</v>
      </c>
      <c r="B462" s="5">
        <v>46168</v>
      </c>
      <c r="C462" t="s">
        <v>54</v>
      </c>
      <c r="D462" t="s">
        <v>518</v>
      </c>
      <c r="E462">
        <v>17216002</v>
      </c>
      <c r="F462" t="s">
        <v>56</v>
      </c>
      <c r="G462" t="s">
        <v>57</v>
      </c>
      <c r="H462">
        <v>54700</v>
      </c>
      <c r="I462" t="s">
        <v>58</v>
      </c>
      <c r="J462">
        <v>1217.5</v>
      </c>
      <c r="K462">
        <v>-9.7312326227988883</v>
      </c>
      <c r="L462">
        <v>30</v>
      </c>
      <c r="M462">
        <v>1147.17</v>
      </c>
      <c r="N462">
        <v>644010</v>
      </c>
      <c r="O462">
        <v>11100</v>
      </c>
      <c r="P462">
        <v>16680</v>
      </c>
      <c r="Q462">
        <v>81840</v>
      </c>
      <c r="R462">
        <v>81840</v>
      </c>
      <c r="S462">
        <v>28230</v>
      </c>
      <c r="T462">
        <v>1200.05</v>
      </c>
      <c r="U462">
        <v>1311.3</v>
      </c>
      <c r="V462">
        <v>949.2</v>
      </c>
      <c r="W462">
        <v>1348.75</v>
      </c>
      <c r="X462">
        <v>1212.3499999999999</v>
      </c>
      <c r="Y462">
        <v>60</v>
      </c>
      <c r="Z462">
        <v>1216</v>
      </c>
      <c r="AA462">
        <v>120</v>
      </c>
      <c r="AB462" s="6">
        <v>46147.586527777778</v>
      </c>
      <c r="AC462" s="6">
        <v>46147.586504629631</v>
      </c>
    </row>
    <row r="463" spans="1:29" x14ac:dyDescent="0.25">
      <c r="A463" t="s">
        <v>8</v>
      </c>
      <c r="B463" s="5">
        <v>46168</v>
      </c>
      <c r="C463" t="s">
        <v>54</v>
      </c>
      <c r="D463" t="s">
        <v>519</v>
      </c>
      <c r="E463">
        <v>17216514</v>
      </c>
      <c r="F463" t="s">
        <v>56</v>
      </c>
      <c r="G463" t="s">
        <v>57</v>
      </c>
      <c r="H463">
        <v>54700</v>
      </c>
      <c r="I463" t="s">
        <v>60</v>
      </c>
      <c r="J463">
        <v>910</v>
      </c>
      <c r="K463">
        <v>0.57471264367816599</v>
      </c>
      <c r="L463">
        <v>90</v>
      </c>
      <c r="M463">
        <v>1035.3499999999999</v>
      </c>
      <c r="N463">
        <v>965310</v>
      </c>
      <c r="O463">
        <v>13110</v>
      </c>
      <c r="P463">
        <v>15570</v>
      </c>
      <c r="Q463">
        <v>77760</v>
      </c>
      <c r="R463">
        <v>111120</v>
      </c>
      <c r="S463">
        <v>48150</v>
      </c>
      <c r="T463">
        <v>996.95</v>
      </c>
      <c r="U463">
        <v>1215.0999999999999</v>
      </c>
      <c r="V463">
        <v>849.05</v>
      </c>
      <c r="W463">
        <v>904.8</v>
      </c>
      <c r="X463">
        <v>910.15</v>
      </c>
      <c r="Y463">
        <v>90</v>
      </c>
      <c r="Z463">
        <v>912.6</v>
      </c>
      <c r="AA463">
        <v>30</v>
      </c>
      <c r="AB463" s="6">
        <v>46147.586527777778</v>
      </c>
      <c r="AC463" s="6">
        <v>46147.586469907408</v>
      </c>
    </row>
    <row r="464" spans="1:29" x14ac:dyDescent="0.25">
      <c r="A464" t="s">
        <v>8</v>
      </c>
      <c r="B464" s="5">
        <v>46168</v>
      </c>
      <c r="C464" t="s">
        <v>54</v>
      </c>
      <c r="D464" t="s">
        <v>520</v>
      </c>
      <c r="E464">
        <v>17217282</v>
      </c>
      <c r="F464" t="s">
        <v>56</v>
      </c>
      <c r="G464" t="s">
        <v>57</v>
      </c>
      <c r="H464">
        <v>54800</v>
      </c>
      <c r="I464" t="s">
        <v>58</v>
      </c>
      <c r="J464">
        <v>1159</v>
      </c>
      <c r="K464">
        <v>-10.248964262206211</v>
      </c>
      <c r="L464">
        <v>30</v>
      </c>
      <c r="M464">
        <v>1092.01</v>
      </c>
      <c r="N464">
        <v>642450</v>
      </c>
      <c r="O464">
        <v>14190</v>
      </c>
      <c r="P464">
        <v>16980</v>
      </c>
      <c r="Q464">
        <v>113910</v>
      </c>
      <c r="R464">
        <v>113910</v>
      </c>
      <c r="S464">
        <v>40110</v>
      </c>
      <c r="T464">
        <v>1200</v>
      </c>
      <c r="U464">
        <v>1250</v>
      </c>
      <c r="V464">
        <v>901.65</v>
      </c>
      <c r="W464">
        <v>1291.3499999999999</v>
      </c>
      <c r="X464">
        <v>1155.6500000000001</v>
      </c>
      <c r="Y464">
        <v>30</v>
      </c>
      <c r="Z464">
        <v>1158.9000000000001</v>
      </c>
      <c r="AA464">
        <v>30</v>
      </c>
      <c r="AB464" s="6">
        <v>46147.586516203701</v>
      </c>
      <c r="AC464" s="6">
        <v>46147.586481481485</v>
      </c>
    </row>
    <row r="465" spans="1:29" x14ac:dyDescent="0.25">
      <c r="A465" t="s">
        <v>8</v>
      </c>
      <c r="B465" s="5">
        <v>46168</v>
      </c>
      <c r="C465" t="s">
        <v>54</v>
      </c>
      <c r="D465" t="s">
        <v>521</v>
      </c>
      <c r="E465">
        <v>17217538</v>
      </c>
      <c r="F465" t="s">
        <v>56</v>
      </c>
      <c r="G465" t="s">
        <v>57</v>
      </c>
      <c r="H465">
        <v>54800</v>
      </c>
      <c r="I465" t="s">
        <v>60</v>
      </c>
      <c r="J465">
        <v>951.05</v>
      </c>
      <c r="K465">
        <v>0.86435465054618488</v>
      </c>
      <c r="L465">
        <v>30</v>
      </c>
      <c r="M465">
        <v>1066.4100000000001</v>
      </c>
      <c r="N465">
        <v>672390</v>
      </c>
      <c r="O465">
        <v>13800</v>
      </c>
      <c r="P465">
        <v>15210</v>
      </c>
      <c r="Q465">
        <v>73620</v>
      </c>
      <c r="R465">
        <v>76800</v>
      </c>
      <c r="S465">
        <v>55080</v>
      </c>
      <c r="T465">
        <v>994.65</v>
      </c>
      <c r="U465">
        <v>1266.5</v>
      </c>
      <c r="V465">
        <v>886.7</v>
      </c>
      <c r="W465">
        <v>942.9</v>
      </c>
      <c r="X465">
        <v>951.75</v>
      </c>
      <c r="Y465">
        <v>60</v>
      </c>
      <c r="Z465">
        <v>954.8</v>
      </c>
      <c r="AA465">
        <v>60</v>
      </c>
      <c r="AB465" s="6">
        <v>46147.586527777778</v>
      </c>
      <c r="AC465" s="6">
        <v>46147.586481481485</v>
      </c>
    </row>
    <row r="466" spans="1:29" x14ac:dyDescent="0.25">
      <c r="A466" t="s">
        <v>8</v>
      </c>
      <c r="B466" s="5">
        <v>46168</v>
      </c>
      <c r="C466" t="s">
        <v>54</v>
      </c>
      <c r="D466" t="s">
        <v>522</v>
      </c>
      <c r="E466">
        <v>17217794</v>
      </c>
      <c r="F466" t="s">
        <v>56</v>
      </c>
      <c r="G466" t="s">
        <v>57</v>
      </c>
      <c r="H466">
        <v>54900</v>
      </c>
      <c r="I466" t="s">
        <v>58</v>
      </c>
      <c r="J466">
        <v>1103.3</v>
      </c>
      <c r="K466">
        <v>-10.869653027426585</v>
      </c>
      <c r="L466">
        <v>30</v>
      </c>
      <c r="M466">
        <v>1032</v>
      </c>
      <c r="N466">
        <v>353850</v>
      </c>
      <c r="O466">
        <v>12030</v>
      </c>
      <c r="P466">
        <v>17520</v>
      </c>
      <c r="Q466">
        <v>77880</v>
      </c>
      <c r="R466">
        <v>77880</v>
      </c>
      <c r="S466">
        <v>55320</v>
      </c>
      <c r="T466">
        <v>1209.55</v>
      </c>
      <c r="U466">
        <v>1209.55</v>
      </c>
      <c r="V466">
        <v>856.05</v>
      </c>
      <c r="W466">
        <v>1237.8499999999999</v>
      </c>
      <c r="X466">
        <v>1100</v>
      </c>
      <c r="Y466">
        <v>60</v>
      </c>
      <c r="Z466">
        <v>1103.4000000000001</v>
      </c>
      <c r="AA466">
        <v>150</v>
      </c>
      <c r="AB466" s="6">
        <v>46147.586527777778</v>
      </c>
      <c r="AC466" s="6">
        <v>46147.586527777778</v>
      </c>
    </row>
    <row r="467" spans="1:29" x14ac:dyDescent="0.25">
      <c r="A467" t="s">
        <v>8</v>
      </c>
      <c r="B467" s="5">
        <v>46168</v>
      </c>
      <c r="C467" t="s">
        <v>54</v>
      </c>
      <c r="D467" t="s">
        <v>523</v>
      </c>
      <c r="E467">
        <v>17218050</v>
      </c>
      <c r="F467" t="s">
        <v>56</v>
      </c>
      <c r="G467" t="s">
        <v>57</v>
      </c>
      <c r="H467">
        <v>54900</v>
      </c>
      <c r="I467" t="s">
        <v>60</v>
      </c>
      <c r="J467">
        <v>1000.5</v>
      </c>
      <c r="K467">
        <v>2.1961184882533198</v>
      </c>
      <c r="L467">
        <v>30</v>
      </c>
      <c r="M467">
        <v>1111.46</v>
      </c>
      <c r="N467">
        <v>379890</v>
      </c>
      <c r="O467">
        <v>9780</v>
      </c>
      <c r="P467">
        <v>17310</v>
      </c>
      <c r="Q467">
        <v>65190</v>
      </c>
      <c r="R467">
        <v>71700</v>
      </c>
      <c r="S467">
        <v>53820</v>
      </c>
      <c r="T467">
        <v>1087.75</v>
      </c>
      <c r="U467">
        <v>1318.2</v>
      </c>
      <c r="V467">
        <v>928.5</v>
      </c>
      <c r="W467">
        <v>979</v>
      </c>
      <c r="X467">
        <v>993.35</v>
      </c>
      <c r="Y467">
        <v>90</v>
      </c>
      <c r="Z467">
        <v>996.55</v>
      </c>
      <c r="AA467">
        <v>120</v>
      </c>
      <c r="AB467" s="6">
        <v>46147.586504629631</v>
      </c>
      <c r="AC467" s="6">
        <v>46147.586458333331</v>
      </c>
    </row>
    <row r="468" spans="1:29" x14ac:dyDescent="0.25">
      <c r="A468" t="s">
        <v>8</v>
      </c>
      <c r="B468" s="5">
        <v>46168</v>
      </c>
      <c r="C468" t="s">
        <v>54</v>
      </c>
      <c r="D468" t="s">
        <v>524</v>
      </c>
      <c r="E468">
        <v>17218306</v>
      </c>
      <c r="F468" t="s">
        <v>56</v>
      </c>
      <c r="G468" t="s">
        <v>57</v>
      </c>
      <c r="H468">
        <v>55000</v>
      </c>
      <c r="I468" t="s">
        <v>58</v>
      </c>
      <c r="J468">
        <v>1046.4000000000001</v>
      </c>
      <c r="K468">
        <v>-11.513255253477642</v>
      </c>
      <c r="L468">
        <v>30</v>
      </c>
      <c r="M468">
        <v>979.67</v>
      </c>
      <c r="N468">
        <v>2052480</v>
      </c>
      <c r="O468">
        <v>265890</v>
      </c>
      <c r="P468">
        <v>46590</v>
      </c>
      <c r="Q468">
        <v>527250</v>
      </c>
      <c r="R468">
        <v>538890</v>
      </c>
      <c r="S468">
        <v>484800</v>
      </c>
      <c r="T468">
        <v>1080</v>
      </c>
      <c r="U468">
        <v>1137.1500000000001</v>
      </c>
      <c r="V468">
        <v>813</v>
      </c>
      <c r="W468">
        <v>1182.55</v>
      </c>
      <c r="X468">
        <v>1046.4000000000001</v>
      </c>
      <c r="Y468">
        <v>30</v>
      </c>
      <c r="Z468">
        <v>1048.75</v>
      </c>
      <c r="AA468">
        <v>30</v>
      </c>
      <c r="AB468" s="6">
        <v>46147.586527777778</v>
      </c>
      <c r="AC468" s="6">
        <v>46147.586527777778</v>
      </c>
    </row>
    <row r="469" spans="1:29" x14ac:dyDescent="0.25">
      <c r="A469" t="s">
        <v>8</v>
      </c>
      <c r="B469" s="5">
        <v>46168</v>
      </c>
      <c r="C469" t="s">
        <v>54</v>
      </c>
      <c r="D469" t="s">
        <v>525</v>
      </c>
      <c r="E469">
        <v>17218562</v>
      </c>
      <c r="F469" t="s">
        <v>56</v>
      </c>
      <c r="G469" t="s">
        <v>57</v>
      </c>
      <c r="H469">
        <v>55000</v>
      </c>
      <c r="I469" t="s">
        <v>60</v>
      </c>
      <c r="J469">
        <v>1041.25</v>
      </c>
      <c r="K469">
        <v>1.6002341806118059</v>
      </c>
      <c r="L469">
        <v>30</v>
      </c>
      <c r="M469">
        <v>1171.3900000000001</v>
      </c>
      <c r="N469">
        <v>1392240</v>
      </c>
      <c r="O469">
        <v>19650</v>
      </c>
      <c r="P469">
        <v>23790</v>
      </c>
      <c r="Q469">
        <v>582150</v>
      </c>
      <c r="R469">
        <v>631800</v>
      </c>
      <c r="S469">
        <v>548220</v>
      </c>
      <c r="T469">
        <v>1108.05</v>
      </c>
      <c r="U469">
        <v>1373.2</v>
      </c>
      <c r="V469">
        <v>971.55</v>
      </c>
      <c r="W469">
        <v>1024.8499999999999</v>
      </c>
      <c r="X469">
        <v>1041.1500000000001</v>
      </c>
      <c r="Y469">
        <v>30</v>
      </c>
      <c r="Z469">
        <v>1044.4000000000001</v>
      </c>
      <c r="AA469">
        <v>60</v>
      </c>
      <c r="AB469" s="6">
        <v>46147.586527777778</v>
      </c>
      <c r="AC469" s="6">
        <v>46147.586527777778</v>
      </c>
    </row>
    <row r="470" spans="1:29" x14ac:dyDescent="0.25">
      <c r="A470" t="s">
        <v>8</v>
      </c>
      <c r="B470" s="5">
        <v>46168</v>
      </c>
      <c r="C470" t="s">
        <v>54</v>
      </c>
      <c r="D470" t="s">
        <v>526</v>
      </c>
      <c r="E470">
        <v>17219330</v>
      </c>
      <c r="F470" t="s">
        <v>56</v>
      </c>
      <c r="G470" t="s">
        <v>57</v>
      </c>
      <c r="H470">
        <v>55100</v>
      </c>
      <c r="I470" t="s">
        <v>58</v>
      </c>
      <c r="J470">
        <v>993.35</v>
      </c>
      <c r="K470">
        <v>-12.015057573073515</v>
      </c>
      <c r="L470">
        <v>30</v>
      </c>
      <c r="M470">
        <v>937</v>
      </c>
      <c r="N470">
        <v>268470</v>
      </c>
      <c r="O470">
        <v>12150</v>
      </c>
      <c r="P470">
        <v>12270</v>
      </c>
      <c r="Q470">
        <v>61470</v>
      </c>
      <c r="R470">
        <v>61470</v>
      </c>
      <c r="S470">
        <v>46140</v>
      </c>
      <c r="T470">
        <v>997.85</v>
      </c>
      <c r="U470">
        <v>1081.2</v>
      </c>
      <c r="V470">
        <v>768</v>
      </c>
      <c r="W470">
        <v>1129</v>
      </c>
      <c r="X470">
        <v>994.45</v>
      </c>
      <c r="Y470">
        <v>30</v>
      </c>
      <c r="Z470">
        <v>997.35</v>
      </c>
      <c r="AA470">
        <v>60</v>
      </c>
      <c r="AB470" s="6">
        <v>46147.586516203701</v>
      </c>
      <c r="AC470" s="6">
        <v>46147.586423611108</v>
      </c>
    </row>
    <row r="471" spans="1:29" x14ac:dyDescent="0.25">
      <c r="A471" t="s">
        <v>8</v>
      </c>
      <c r="B471" s="5">
        <v>46168</v>
      </c>
      <c r="C471" t="s">
        <v>54</v>
      </c>
      <c r="D471" t="s">
        <v>527</v>
      </c>
      <c r="E471">
        <v>17219586</v>
      </c>
      <c r="F471" t="s">
        <v>56</v>
      </c>
      <c r="G471" t="s">
        <v>57</v>
      </c>
      <c r="H471">
        <v>55100</v>
      </c>
      <c r="I471" t="s">
        <v>60</v>
      </c>
      <c r="J471">
        <v>1092.95</v>
      </c>
      <c r="K471">
        <v>2.8368460669928579</v>
      </c>
      <c r="L471">
        <v>30</v>
      </c>
      <c r="M471">
        <v>1188.8399999999999</v>
      </c>
      <c r="N471">
        <v>139590</v>
      </c>
      <c r="O471">
        <v>7500</v>
      </c>
      <c r="P471">
        <v>11010</v>
      </c>
      <c r="Q471">
        <v>51720</v>
      </c>
      <c r="R471">
        <v>52800</v>
      </c>
      <c r="S471">
        <v>42930</v>
      </c>
      <c r="T471">
        <v>1275.4000000000001</v>
      </c>
      <c r="U471">
        <v>1420</v>
      </c>
      <c r="V471">
        <v>1017.9</v>
      </c>
      <c r="W471">
        <v>1062.8</v>
      </c>
      <c r="X471">
        <v>1085.8</v>
      </c>
      <c r="Y471">
        <v>30</v>
      </c>
      <c r="Z471">
        <v>1090.1500000000001</v>
      </c>
      <c r="AA471">
        <v>30</v>
      </c>
      <c r="AB471" s="6">
        <v>46147.586527777778</v>
      </c>
      <c r="AC471" s="6">
        <v>46147.586423611108</v>
      </c>
    </row>
    <row r="472" spans="1:29" x14ac:dyDescent="0.25">
      <c r="A472" t="s">
        <v>8</v>
      </c>
      <c r="B472" s="5">
        <v>46168</v>
      </c>
      <c r="C472" t="s">
        <v>54</v>
      </c>
      <c r="D472" t="s">
        <v>528</v>
      </c>
      <c r="E472">
        <v>17220354</v>
      </c>
      <c r="F472" t="s">
        <v>56</v>
      </c>
      <c r="G472" t="s">
        <v>57</v>
      </c>
      <c r="H472">
        <v>55200</v>
      </c>
      <c r="I472" t="s">
        <v>58</v>
      </c>
      <c r="J472">
        <v>944.45</v>
      </c>
      <c r="K472">
        <v>-11.984530077815565</v>
      </c>
      <c r="L472">
        <v>30</v>
      </c>
      <c r="M472">
        <v>877.91</v>
      </c>
      <c r="N472">
        <v>230130</v>
      </c>
      <c r="O472">
        <v>12600</v>
      </c>
      <c r="P472">
        <v>18210</v>
      </c>
      <c r="Q472">
        <v>72360</v>
      </c>
      <c r="R472">
        <v>80880</v>
      </c>
      <c r="S472">
        <v>72300</v>
      </c>
      <c r="T472">
        <v>801.5</v>
      </c>
      <c r="U472">
        <v>1029.9000000000001</v>
      </c>
      <c r="V472">
        <v>729.7</v>
      </c>
      <c r="W472">
        <v>1073.05</v>
      </c>
      <c r="X472">
        <v>944.4</v>
      </c>
      <c r="Y472">
        <v>90</v>
      </c>
      <c r="Z472">
        <v>947.95</v>
      </c>
      <c r="AA472">
        <v>180</v>
      </c>
      <c r="AB472" s="6">
        <v>46147.586516203701</v>
      </c>
      <c r="AC472" s="6">
        <v>46147.586354166669</v>
      </c>
    </row>
    <row r="473" spans="1:29" x14ac:dyDescent="0.25">
      <c r="A473" t="s">
        <v>8</v>
      </c>
      <c r="B473" s="5">
        <v>46168</v>
      </c>
      <c r="C473" t="s">
        <v>54</v>
      </c>
      <c r="D473" t="s">
        <v>529</v>
      </c>
      <c r="E473">
        <v>17220610</v>
      </c>
      <c r="F473" t="s">
        <v>56</v>
      </c>
      <c r="G473" t="s">
        <v>57</v>
      </c>
      <c r="H473">
        <v>55200</v>
      </c>
      <c r="I473" t="s">
        <v>60</v>
      </c>
      <c r="J473">
        <v>1158.75</v>
      </c>
      <c r="K473">
        <v>5.6627000410340491</v>
      </c>
      <c r="L473">
        <v>60</v>
      </c>
      <c r="M473">
        <v>1271.8800000000001</v>
      </c>
      <c r="N473">
        <v>101460</v>
      </c>
      <c r="O473">
        <v>8760</v>
      </c>
      <c r="P473">
        <v>10710</v>
      </c>
      <c r="Q473">
        <v>59550</v>
      </c>
      <c r="R473">
        <v>71340</v>
      </c>
      <c r="S473">
        <v>59220</v>
      </c>
      <c r="T473">
        <v>1230.9000000000001</v>
      </c>
      <c r="U473">
        <v>1487.85</v>
      </c>
      <c r="V473">
        <v>1060.55</v>
      </c>
      <c r="W473">
        <v>1096.6500000000001</v>
      </c>
      <c r="X473">
        <v>1133.25</v>
      </c>
      <c r="Y473">
        <v>30</v>
      </c>
      <c r="Z473">
        <v>1139.55</v>
      </c>
      <c r="AA473">
        <v>30</v>
      </c>
      <c r="AB473" s="6">
        <v>46147.586527777778</v>
      </c>
      <c r="AC473" s="6">
        <v>46147.586134259262</v>
      </c>
    </row>
    <row r="474" spans="1:29" x14ac:dyDescent="0.25">
      <c r="A474" t="s">
        <v>8</v>
      </c>
      <c r="B474" s="5">
        <v>46168</v>
      </c>
      <c r="C474" t="s">
        <v>54</v>
      </c>
      <c r="D474" t="s">
        <v>530</v>
      </c>
      <c r="E474">
        <v>17220866</v>
      </c>
      <c r="F474" t="s">
        <v>56</v>
      </c>
      <c r="G474" t="s">
        <v>57</v>
      </c>
      <c r="H474">
        <v>55300</v>
      </c>
      <c r="I474" t="s">
        <v>58</v>
      </c>
      <c r="J474">
        <v>891.45</v>
      </c>
      <c r="K474">
        <v>-12.999560825647784</v>
      </c>
      <c r="L474">
        <v>30</v>
      </c>
      <c r="M474">
        <v>825.66</v>
      </c>
      <c r="N474">
        <v>180420</v>
      </c>
      <c r="O474">
        <v>11610</v>
      </c>
      <c r="P474">
        <v>17070</v>
      </c>
      <c r="Q474">
        <v>70920</v>
      </c>
      <c r="R474">
        <v>73950</v>
      </c>
      <c r="S474">
        <v>67830</v>
      </c>
      <c r="T474">
        <v>851.25</v>
      </c>
      <c r="U474">
        <v>975</v>
      </c>
      <c r="V474">
        <v>688.4</v>
      </c>
      <c r="W474">
        <v>1024.6500000000001</v>
      </c>
      <c r="X474">
        <v>895.05</v>
      </c>
      <c r="Y474">
        <v>60</v>
      </c>
      <c r="Z474">
        <v>898.55</v>
      </c>
      <c r="AA474">
        <v>120</v>
      </c>
      <c r="AB474" s="6">
        <v>46147.586504629631</v>
      </c>
      <c r="AC474" s="6">
        <v>46147.586400462962</v>
      </c>
    </row>
    <row r="475" spans="1:29" x14ac:dyDescent="0.25">
      <c r="A475" t="s">
        <v>8</v>
      </c>
      <c r="B475" s="5">
        <v>46168</v>
      </c>
      <c r="C475" t="s">
        <v>54</v>
      </c>
      <c r="D475" t="s">
        <v>531</v>
      </c>
      <c r="E475">
        <v>17221122</v>
      </c>
      <c r="F475" t="s">
        <v>56</v>
      </c>
      <c r="G475" t="s">
        <v>57</v>
      </c>
      <c r="H475">
        <v>55300</v>
      </c>
      <c r="I475" t="s">
        <v>60</v>
      </c>
      <c r="J475">
        <v>1210</v>
      </c>
      <c r="K475">
        <v>5.423654977129166</v>
      </c>
      <c r="L475">
        <v>30</v>
      </c>
      <c r="M475">
        <v>1356.53</v>
      </c>
      <c r="N475">
        <v>95280</v>
      </c>
      <c r="O475">
        <v>6810</v>
      </c>
      <c r="P475">
        <v>10260</v>
      </c>
      <c r="Q475">
        <v>47130</v>
      </c>
      <c r="R475">
        <v>79710</v>
      </c>
      <c r="S475">
        <v>47130</v>
      </c>
      <c r="T475">
        <v>1359.1</v>
      </c>
      <c r="U475">
        <v>1541.6</v>
      </c>
      <c r="V475">
        <v>1107.95</v>
      </c>
      <c r="W475">
        <v>1147.75</v>
      </c>
      <c r="X475">
        <v>1180.5999999999999</v>
      </c>
      <c r="Y475">
        <v>30</v>
      </c>
      <c r="Z475">
        <v>1190.8</v>
      </c>
      <c r="AA475">
        <v>120</v>
      </c>
      <c r="AB475" s="6">
        <v>46147.586504629631</v>
      </c>
      <c r="AC475" s="6">
        <v>46147.586122685185</v>
      </c>
    </row>
    <row r="476" spans="1:29" x14ac:dyDescent="0.25">
      <c r="A476" t="s">
        <v>8</v>
      </c>
      <c r="B476" s="5">
        <v>46168</v>
      </c>
      <c r="C476" t="s">
        <v>54</v>
      </c>
      <c r="D476" t="s">
        <v>532</v>
      </c>
      <c r="E476">
        <v>17223170</v>
      </c>
      <c r="F476" t="s">
        <v>56</v>
      </c>
      <c r="G476" t="s">
        <v>57</v>
      </c>
      <c r="H476">
        <v>55400</v>
      </c>
      <c r="I476" t="s">
        <v>58</v>
      </c>
      <c r="J476">
        <v>839.2</v>
      </c>
      <c r="K476">
        <v>-14.139553918559436</v>
      </c>
      <c r="L476">
        <v>30</v>
      </c>
      <c r="M476">
        <v>776.98</v>
      </c>
      <c r="N476">
        <v>244290</v>
      </c>
      <c r="O476">
        <v>8970</v>
      </c>
      <c r="P476">
        <v>16050</v>
      </c>
      <c r="Q476">
        <v>96990</v>
      </c>
      <c r="R476">
        <v>100440</v>
      </c>
      <c r="S476">
        <v>84720</v>
      </c>
      <c r="T476">
        <v>912.2</v>
      </c>
      <c r="U476">
        <v>917</v>
      </c>
      <c r="V476">
        <v>650</v>
      </c>
      <c r="W476">
        <v>977.4</v>
      </c>
      <c r="X476">
        <v>846.65</v>
      </c>
      <c r="Y476">
        <v>30</v>
      </c>
      <c r="Z476">
        <v>849.85</v>
      </c>
      <c r="AA476">
        <v>150</v>
      </c>
      <c r="AB476" s="6">
        <v>46147.586527777778</v>
      </c>
      <c r="AC476" s="6">
        <v>46147.585925925923</v>
      </c>
    </row>
    <row r="477" spans="1:29" x14ac:dyDescent="0.25">
      <c r="A477" t="s">
        <v>8</v>
      </c>
      <c r="B477" s="5">
        <v>46168</v>
      </c>
      <c r="C477" t="s">
        <v>54</v>
      </c>
      <c r="D477" t="s">
        <v>533</v>
      </c>
      <c r="E477">
        <v>17223426</v>
      </c>
      <c r="F477" t="s">
        <v>56</v>
      </c>
      <c r="G477" t="s">
        <v>57</v>
      </c>
      <c r="H477">
        <v>55400</v>
      </c>
      <c r="I477" t="s">
        <v>60</v>
      </c>
      <c r="J477">
        <v>1253.8</v>
      </c>
      <c r="K477">
        <v>3.7141202746298174</v>
      </c>
      <c r="L477">
        <v>30</v>
      </c>
      <c r="M477">
        <v>1403.27</v>
      </c>
      <c r="N477">
        <v>66780</v>
      </c>
      <c r="O477">
        <v>7230</v>
      </c>
      <c r="P477">
        <v>9330</v>
      </c>
      <c r="Q477">
        <v>40740</v>
      </c>
      <c r="R477">
        <v>57720</v>
      </c>
      <c r="S477">
        <v>40740</v>
      </c>
      <c r="T477">
        <v>1409.7</v>
      </c>
      <c r="U477">
        <v>1605.6</v>
      </c>
      <c r="V477">
        <v>1172.3</v>
      </c>
      <c r="W477">
        <v>1208.9000000000001</v>
      </c>
      <c r="X477">
        <v>1233.55</v>
      </c>
      <c r="Y477">
        <v>120</v>
      </c>
      <c r="Z477">
        <v>1241.95</v>
      </c>
      <c r="AA477">
        <v>60</v>
      </c>
      <c r="AB477" s="6">
        <v>46147.586527777778</v>
      </c>
      <c r="AC477" s="6">
        <v>46147.586238425924</v>
      </c>
    </row>
    <row r="478" spans="1:29" x14ac:dyDescent="0.25">
      <c r="A478" t="s">
        <v>8</v>
      </c>
      <c r="B478" s="5">
        <v>46168</v>
      </c>
      <c r="C478" t="s">
        <v>54</v>
      </c>
      <c r="D478" t="s">
        <v>534</v>
      </c>
      <c r="E478">
        <v>17223682</v>
      </c>
      <c r="F478" t="s">
        <v>56</v>
      </c>
      <c r="G478" t="s">
        <v>57</v>
      </c>
      <c r="H478">
        <v>55500</v>
      </c>
      <c r="I478" t="s">
        <v>58</v>
      </c>
      <c r="J478">
        <v>805</v>
      </c>
      <c r="K478">
        <v>-13.244961741566977</v>
      </c>
      <c r="L478">
        <v>30</v>
      </c>
      <c r="M478">
        <v>736.36</v>
      </c>
      <c r="N478">
        <v>775410</v>
      </c>
      <c r="O478">
        <v>21750</v>
      </c>
      <c r="P478">
        <v>33000</v>
      </c>
      <c r="Q478">
        <v>335490</v>
      </c>
      <c r="R478">
        <v>354720</v>
      </c>
      <c r="S478">
        <v>323100</v>
      </c>
      <c r="T478">
        <v>840</v>
      </c>
      <c r="U478">
        <v>878.2</v>
      </c>
      <c r="V478">
        <v>613.70000000000005</v>
      </c>
      <c r="W478">
        <v>927.9</v>
      </c>
      <c r="X478">
        <v>802.5</v>
      </c>
      <c r="Y478">
        <v>60</v>
      </c>
      <c r="Z478">
        <v>805.1</v>
      </c>
      <c r="AA478">
        <v>60</v>
      </c>
      <c r="AB478" s="6">
        <v>46147.586504629631</v>
      </c>
      <c r="AC478" s="6">
        <v>46147.586493055554</v>
      </c>
    </row>
    <row r="479" spans="1:29" x14ac:dyDescent="0.25">
      <c r="A479" t="s">
        <v>8</v>
      </c>
      <c r="B479" s="5">
        <v>46168</v>
      </c>
      <c r="C479" t="s">
        <v>54</v>
      </c>
      <c r="D479" t="s">
        <v>535</v>
      </c>
      <c r="E479">
        <v>17223938</v>
      </c>
      <c r="F479" t="s">
        <v>56</v>
      </c>
      <c r="G479" t="s">
        <v>57</v>
      </c>
      <c r="H479">
        <v>55500</v>
      </c>
      <c r="I479" t="s">
        <v>60</v>
      </c>
      <c r="J479">
        <v>1291.7</v>
      </c>
      <c r="K479">
        <v>2.8546402834733557</v>
      </c>
      <c r="L479">
        <v>30</v>
      </c>
      <c r="M479">
        <v>1447.84</v>
      </c>
      <c r="N479">
        <v>317010</v>
      </c>
      <c r="O479">
        <v>8640</v>
      </c>
      <c r="P479">
        <v>11580</v>
      </c>
      <c r="Q479">
        <v>270810</v>
      </c>
      <c r="R479">
        <v>318480</v>
      </c>
      <c r="S479">
        <v>270810</v>
      </c>
      <c r="T479">
        <v>1420</v>
      </c>
      <c r="U479">
        <v>1672.45</v>
      </c>
      <c r="V479">
        <v>1210</v>
      </c>
      <c r="W479">
        <v>1255.8499999999999</v>
      </c>
      <c r="X479">
        <v>1287.8</v>
      </c>
      <c r="Y479">
        <v>180</v>
      </c>
      <c r="Z479">
        <v>1293.1500000000001</v>
      </c>
      <c r="AA479">
        <v>120</v>
      </c>
      <c r="AB479" s="6">
        <v>46147.586504629631</v>
      </c>
      <c r="AC479" s="6">
        <v>46147.586493055554</v>
      </c>
    </row>
    <row r="480" spans="1:29" x14ac:dyDescent="0.25">
      <c r="A480" t="s">
        <v>8</v>
      </c>
      <c r="B480" s="5">
        <v>46168</v>
      </c>
      <c r="C480" t="s">
        <v>54</v>
      </c>
      <c r="D480" t="s">
        <v>536</v>
      </c>
      <c r="E480">
        <v>17224194</v>
      </c>
      <c r="F480" t="s">
        <v>56</v>
      </c>
      <c r="G480" t="s">
        <v>57</v>
      </c>
      <c r="H480">
        <v>55600</v>
      </c>
      <c r="I480" t="s">
        <v>58</v>
      </c>
      <c r="J480">
        <v>756</v>
      </c>
      <c r="K480">
        <v>-13.944223107569721</v>
      </c>
      <c r="L480">
        <v>30</v>
      </c>
      <c r="M480">
        <v>686.07</v>
      </c>
      <c r="N480">
        <v>242310</v>
      </c>
      <c r="O480">
        <v>10260</v>
      </c>
      <c r="P480">
        <v>13380</v>
      </c>
      <c r="Q480">
        <v>97380</v>
      </c>
      <c r="R480">
        <v>108450</v>
      </c>
      <c r="S480">
        <v>89190</v>
      </c>
      <c r="T480">
        <v>700.3</v>
      </c>
      <c r="U480">
        <v>827.35</v>
      </c>
      <c r="V480">
        <v>577.45000000000005</v>
      </c>
      <c r="W480">
        <v>878.5</v>
      </c>
      <c r="X480">
        <v>757.5</v>
      </c>
      <c r="Y480">
        <v>60</v>
      </c>
      <c r="Z480">
        <v>760.55</v>
      </c>
      <c r="AA480">
        <v>150</v>
      </c>
      <c r="AB480" s="6">
        <v>46147.586516203701</v>
      </c>
      <c r="AC480" s="6">
        <v>46147.586446759262</v>
      </c>
    </row>
    <row r="481" spans="1:29" x14ac:dyDescent="0.25">
      <c r="A481" t="s">
        <v>8</v>
      </c>
      <c r="B481" s="5">
        <v>46168</v>
      </c>
      <c r="C481" t="s">
        <v>54</v>
      </c>
      <c r="D481" t="s">
        <v>537</v>
      </c>
      <c r="E481">
        <v>17224450</v>
      </c>
      <c r="F481" t="s">
        <v>56</v>
      </c>
      <c r="G481" t="s">
        <v>57</v>
      </c>
      <c r="H481">
        <v>55600</v>
      </c>
      <c r="I481" t="s">
        <v>60</v>
      </c>
      <c r="J481">
        <v>1320.35</v>
      </c>
      <c r="K481">
        <v>0.42593648982695637</v>
      </c>
      <c r="L481">
        <v>30</v>
      </c>
      <c r="M481">
        <v>1500.63</v>
      </c>
      <c r="N481">
        <v>24840</v>
      </c>
      <c r="O481">
        <v>5730</v>
      </c>
      <c r="P481">
        <v>9480</v>
      </c>
      <c r="Q481">
        <v>42120</v>
      </c>
      <c r="R481">
        <v>45300</v>
      </c>
      <c r="S481">
        <v>41940</v>
      </c>
      <c r="T481">
        <v>1538.25</v>
      </c>
      <c r="U481">
        <v>1732</v>
      </c>
      <c r="V481">
        <v>1270</v>
      </c>
      <c r="W481">
        <v>1314.75</v>
      </c>
      <c r="X481">
        <v>1339</v>
      </c>
      <c r="Y481">
        <v>60</v>
      </c>
      <c r="Z481">
        <v>1350.05</v>
      </c>
      <c r="AA481">
        <v>30</v>
      </c>
      <c r="AB481" s="6">
        <v>46147.586516203701</v>
      </c>
      <c r="AC481" s="6">
        <v>46147.583067129628</v>
      </c>
    </row>
    <row r="482" spans="1:29" x14ac:dyDescent="0.25">
      <c r="A482" t="s">
        <v>8</v>
      </c>
      <c r="B482" s="5">
        <v>46168</v>
      </c>
      <c r="C482" t="s">
        <v>54</v>
      </c>
      <c r="D482" t="s">
        <v>538</v>
      </c>
      <c r="E482">
        <v>17224706</v>
      </c>
      <c r="F482" t="s">
        <v>56</v>
      </c>
      <c r="G482" t="s">
        <v>57</v>
      </c>
      <c r="H482">
        <v>55700</v>
      </c>
      <c r="I482" t="s">
        <v>58</v>
      </c>
      <c r="J482">
        <v>706.55</v>
      </c>
      <c r="K482">
        <v>-14.950346072825765</v>
      </c>
      <c r="L482">
        <v>30</v>
      </c>
      <c r="M482">
        <v>668.36</v>
      </c>
      <c r="N482">
        <v>249630</v>
      </c>
      <c r="O482">
        <v>9960</v>
      </c>
      <c r="P482">
        <v>11940</v>
      </c>
      <c r="Q482">
        <v>70170</v>
      </c>
      <c r="R482">
        <v>78690</v>
      </c>
      <c r="S482">
        <v>68040</v>
      </c>
      <c r="T482">
        <v>799.9</v>
      </c>
      <c r="U482">
        <v>799.9</v>
      </c>
      <c r="V482">
        <v>544.54999999999995</v>
      </c>
      <c r="W482">
        <v>830.75</v>
      </c>
      <c r="X482">
        <v>715.8</v>
      </c>
      <c r="Y482">
        <v>30</v>
      </c>
      <c r="Z482">
        <v>718.7</v>
      </c>
      <c r="AA482">
        <v>30</v>
      </c>
      <c r="AB482" s="6">
        <v>46147.586504629631</v>
      </c>
      <c r="AC482" s="6">
        <v>46147.586342592593</v>
      </c>
    </row>
    <row r="483" spans="1:29" x14ac:dyDescent="0.25">
      <c r="A483" t="s">
        <v>8</v>
      </c>
      <c r="B483" s="5">
        <v>46168</v>
      </c>
      <c r="C483" t="s">
        <v>54</v>
      </c>
      <c r="D483" t="s">
        <v>539</v>
      </c>
      <c r="E483">
        <v>17224962</v>
      </c>
      <c r="F483" t="s">
        <v>56</v>
      </c>
      <c r="G483" t="s">
        <v>57</v>
      </c>
      <c r="H483">
        <v>55700</v>
      </c>
      <c r="I483" t="s">
        <v>60</v>
      </c>
      <c r="J483">
        <v>1423.2</v>
      </c>
      <c r="K483">
        <v>4.6701478267264838</v>
      </c>
      <c r="L483">
        <v>60</v>
      </c>
      <c r="M483">
        <v>1569.7</v>
      </c>
      <c r="N483">
        <v>55080</v>
      </c>
      <c r="O483">
        <v>5580</v>
      </c>
      <c r="P483">
        <v>10050</v>
      </c>
      <c r="Q483">
        <v>48750</v>
      </c>
      <c r="R483">
        <v>59940</v>
      </c>
      <c r="S483">
        <v>48600</v>
      </c>
      <c r="T483">
        <v>1588.75</v>
      </c>
      <c r="U483">
        <v>1799</v>
      </c>
      <c r="V483">
        <v>1334.4</v>
      </c>
      <c r="W483">
        <v>1359.7</v>
      </c>
      <c r="X483">
        <v>1396.55</v>
      </c>
      <c r="Y483">
        <v>120</v>
      </c>
      <c r="Z483">
        <v>1412</v>
      </c>
      <c r="AA483">
        <v>450</v>
      </c>
      <c r="AB483" s="6">
        <v>46147.586527777778</v>
      </c>
      <c r="AC483" s="6">
        <v>46147.586076388892</v>
      </c>
    </row>
    <row r="484" spans="1:29" x14ac:dyDescent="0.25">
      <c r="A484" t="s">
        <v>8</v>
      </c>
      <c r="B484" s="5">
        <v>46168</v>
      </c>
      <c r="C484" t="s">
        <v>54</v>
      </c>
      <c r="D484" t="s">
        <v>540</v>
      </c>
      <c r="E484">
        <v>17225218</v>
      </c>
      <c r="F484" t="s">
        <v>56</v>
      </c>
      <c r="G484" t="s">
        <v>57</v>
      </c>
      <c r="H484">
        <v>55800</v>
      </c>
      <c r="I484" t="s">
        <v>58</v>
      </c>
      <c r="J484">
        <v>676</v>
      </c>
      <c r="K484">
        <v>-14.387031408308006</v>
      </c>
      <c r="L484">
        <v>30</v>
      </c>
      <c r="M484">
        <v>626.85</v>
      </c>
      <c r="N484">
        <v>198930</v>
      </c>
      <c r="O484">
        <v>11100</v>
      </c>
      <c r="P484">
        <v>12780</v>
      </c>
      <c r="Q484">
        <v>94200</v>
      </c>
      <c r="R484">
        <v>94200</v>
      </c>
      <c r="S484">
        <v>83700</v>
      </c>
      <c r="T484">
        <v>680.55</v>
      </c>
      <c r="U484">
        <v>741.15</v>
      </c>
      <c r="V484">
        <v>512.65</v>
      </c>
      <c r="W484">
        <v>789.6</v>
      </c>
      <c r="X484">
        <v>674.5</v>
      </c>
      <c r="Y484">
        <v>60</v>
      </c>
      <c r="Z484">
        <v>677.3</v>
      </c>
      <c r="AA484">
        <v>120</v>
      </c>
      <c r="AB484" s="6">
        <v>46147.586527777778</v>
      </c>
      <c r="AC484" s="6">
        <v>46147.586493055554</v>
      </c>
    </row>
    <row r="485" spans="1:29" x14ac:dyDescent="0.25">
      <c r="A485" t="s">
        <v>8</v>
      </c>
      <c r="B485" s="5">
        <v>46168</v>
      </c>
      <c r="C485" t="s">
        <v>54</v>
      </c>
      <c r="D485" t="s">
        <v>541</v>
      </c>
      <c r="E485">
        <v>17225474</v>
      </c>
      <c r="F485" t="s">
        <v>56</v>
      </c>
      <c r="G485" t="s">
        <v>57</v>
      </c>
      <c r="H485">
        <v>55800</v>
      </c>
      <c r="I485" t="s">
        <v>60</v>
      </c>
      <c r="J485">
        <v>1460.2</v>
      </c>
      <c r="K485">
        <v>2.1368866505788096</v>
      </c>
      <c r="L485">
        <v>30</v>
      </c>
      <c r="M485">
        <v>1565.41</v>
      </c>
      <c r="N485">
        <v>19650</v>
      </c>
      <c r="O485">
        <v>4110</v>
      </c>
      <c r="P485">
        <v>7500</v>
      </c>
      <c r="Q485">
        <v>67950</v>
      </c>
      <c r="R485">
        <v>68100</v>
      </c>
      <c r="S485">
        <v>57510</v>
      </c>
      <c r="T485">
        <v>1644.95</v>
      </c>
      <c r="U485">
        <v>1867.95</v>
      </c>
      <c r="V485">
        <v>1400.15</v>
      </c>
      <c r="W485">
        <v>1429.65</v>
      </c>
      <c r="X485">
        <v>1472.25</v>
      </c>
      <c r="Y485">
        <v>60</v>
      </c>
      <c r="Z485">
        <v>1494.8</v>
      </c>
      <c r="AA485">
        <v>330</v>
      </c>
      <c r="AB485" s="6">
        <v>46147.586400462962</v>
      </c>
      <c r="AC485" s="6">
        <v>46147.582349537035</v>
      </c>
    </row>
    <row r="486" spans="1:29" x14ac:dyDescent="0.25">
      <c r="A486" t="s">
        <v>8</v>
      </c>
      <c r="B486" s="5">
        <v>46168</v>
      </c>
      <c r="C486" t="s">
        <v>54</v>
      </c>
      <c r="D486" t="s">
        <v>542</v>
      </c>
      <c r="E486">
        <v>17225730</v>
      </c>
      <c r="F486" t="s">
        <v>56</v>
      </c>
      <c r="G486" t="s">
        <v>57</v>
      </c>
      <c r="H486">
        <v>55900</v>
      </c>
      <c r="I486" t="s">
        <v>58</v>
      </c>
      <c r="J486">
        <v>635</v>
      </c>
      <c r="K486">
        <v>-15.344620717237703</v>
      </c>
      <c r="L486">
        <v>30</v>
      </c>
      <c r="M486">
        <v>586.16</v>
      </c>
      <c r="N486">
        <v>162390</v>
      </c>
      <c r="O486">
        <v>10560</v>
      </c>
      <c r="P486">
        <v>12180</v>
      </c>
      <c r="Q486">
        <v>66630</v>
      </c>
      <c r="R486">
        <v>70590</v>
      </c>
      <c r="S486">
        <v>63840</v>
      </c>
      <c r="T486">
        <v>699.9</v>
      </c>
      <c r="U486">
        <v>699.9</v>
      </c>
      <c r="V486">
        <v>486.05</v>
      </c>
      <c r="W486">
        <v>750.1</v>
      </c>
      <c r="X486">
        <v>636.25</v>
      </c>
      <c r="Y486">
        <v>60</v>
      </c>
      <c r="Z486">
        <v>639.25</v>
      </c>
      <c r="AA486">
        <v>60</v>
      </c>
      <c r="AB486" s="6">
        <v>46147.586504629631</v>
      </c>
      <c r="AC486" s="6">
        <v>46147.586412037039</v>
      </c>
    </row>
    <row r="487" spans="1:29" x14ac:dyDescent="0.25">
      <c r="A487" t="s">
        <v>8</v>
      </c>
      <c r="B487" s="5">
        <v>46168</v>
      </c>
      <c r="C487" t="s">
        <v>54</v>
      </c>
      <c r="D487" t="s">
        <v>543</v>
      </c>
      <c r="E487">
        <v>17225986</v>
      </c>
      <c r="F487" t="s">
        <v>56</v>
      </c>
      <c r="G487" t="s">
        <v>57</v>
      </c>
      <c r="H487">
        <v>55900</v>
      </c>
      <c r="I487" t="s">
        <v>60</v>
      </c>
      <c r="J487">
        <v>1523.8</v>
      </c>
      <c r="K487">
        <v>3.2175032175032174</v>
      </c>
      <c r="L487">
        <v>30</v>
      </c>
      <c r="M487">
        <v>1688.74</v>
      </c>
      <c r="N487">
        <v>6120</v>
      </c>
      <c r="O487">
        <v>3510</v>
      </c>
      <c r="P487">
        <v>8100</v>
      </c>
      <c r="Q487">
        <v>37470</v>
      </c>
      <c r="R487">
        <v>38100</v>
      </c>
      <c r="S487">
        <v>37350</v>
      </c>
      <c r="T487">
        <v>1725.8</v>
      </c>
      <c r="U487">
        <v>1928.85</v>
      </c>
      <c r="V487">
        <v>1478.65</v>
      </c>
      <c r="W487">
        <v>1476.3</v>
      </c>
      <c r="X487">
        <v>1508.35</v>
      </c>
      <c r="Y487">
        <v>60</v>
      </c>
      <c r="Z487">
        <v>1544.8</v>
      </c>
      <c r="AA487">
        <v>630</v>
      </c>
      <c r="AB487" s="6">
        <v>46147.586504629631</v>
      </c>
      <c r="AC487" s="6">
        <v>46147.582361111112</v>
      </c>
    </row>
    <row r="488" spans="1:29" x14ac:dyDescent="0.25">
      <c r="A488" t="s">
        <v>8</v>
      </c>
      <c r="B488" s="5">
        <v>46168</v>
      </c>
      <c r="C488" t="s">
        <v>54</v>
      </c>
      <c r="D488" t="s">
        <v>544</v>
      </c>
      <c r="E488">
        <v>17226242</v>
      </c>
      <c r="F488" t="s">
        <v>56</v>
      </c>
      <c r="G488" t="s">
        <v>57</v>
      </c>
      <c r="H488">
        <v>56000</v>
      </c>
      <c r="I488" t="s">
        <v>58</v>
      </c>
      <c r="J488">
        <v>600.04999999999995</v>
      </c>
      <c r="K488">
        <v>-15.277091422520302</v>
      </c>
      <c r="L488">
        <v>30</v>
      </c>
      <c r="M488">
        <v>553.25</v>
      </c>
      <c r="N488">
        <v>1353720</v>
      </c>
      <c r="O488">
        <v>34500</v>
      </c>
      <c r="P488">
        <v>49350</v>
      </c>
      <c r="Q488">
        <v>989010</v>
      </c>
      <c r="R488">
        <v>1030380</v>
      </c>
      <c r="S488">
        <v>940710</v>
      </c>
      <c r="T488">
        <v>649.95000000000005</v>
      </c>
      <c r="U488">
        <v>658.55</v>
      </c>
      <c r="V488">
        <v>455</v>
      </c>
      <c r="W488">
        <v>708.25</v>
      </c>
      <c r="X488">
        <v>598.20000000000005</v>
      </c>
      <c r="Y488">
        <v>30</v>
      </c>
      <c r="Z488">
        <v>600.65</v>
      </c>
      <c r="AA488">
        <v>30</v>
      </c>
      <c r="AB488" s="6">
        <v>46147.586516203701</v>
      </c>
      <c r="AC488" s="6">
        <v>46147.586493055554</v>
      </c>
    </row>
    <row r="489" spans="1:29" x14ac:dyDescent="0.25">
      <c r="A489" t="s">
        <v>8</v>
      </c>
      <c r="B489" s="5">
        <v>46168</v>
      </c>
      <c r="C489" t="s">
        <v>54</v>
      </c>
      <c r="D489" t="s">
        <v>545</v>
      </c>
      <c r="E489">
        <v>17226498</v>
      </c>
      <c r="F489" t="s">
        <v>56</v>
      </c>
      <c r="G489" t="s">
        <v>57</v>
      </c>
      <c r="H489">
        <v>56000</v>
      </c>
      <c r="I489" t="s">
        <v>60</v>
      </c>
      <c r="J489">
        <v>1584.9</v>
      </c>
      <c r="K489">
        <v>2.4300394235119329</v>
      </c>
      <c r="L489">
        <v>30</v>
      </c>
      <c r="M489">
        <v>1762.04</v>
      </c>
      <c r="N489">
        <v>248700</v>
      </c>
      <c r="O489">
        <v>8700</v>
      </c>
      <c r="P489">
        <v>11130</v>
      </c>
      <c r="Q489">
        <v>772860</v>
      </c>
      <c r="R489">
        <v>797940</v>
      </c>
      <c r="S489">
        <v>772530</v>
      </c>
      <c r="T489">
        <v>1700</v>
      </c>
      <c r="U489">
        <v>2014.6</v>
      </c>
      <c r="V489">
        <v>1495.2</v>
      </c>
      <c r="W489">
        <v>1547.3</v>
      </c>
      <c r="X489">
        <v>1582.25</v>
      </c>
      <c r="Y489">
        <v>60</v>
      </c>
      <c r="Z489">
        <v>1590.3</v>
      </c>
      <c r="AA489">
        <v>60</v>
      </c>
      <c r="AB489" s="6">
        <v>46147.586527777778</v>
      </c>
      <c r="AC489" s="6">
        <v>46147.586493055554</v>
      </c>
    </row>
    <row r="490" spans="1:29" x14ac:dyDescent="0.25">
      <c r="A490" t="s">
        <v>8</v>
      </c>
      <c r="B490" s="5">
        <v>46168</v>
      </c>
      <c r="C490" t="s">
        <v>54</v>
      </c>
      <c r="D490" t="s">
        <v>546</v>
      </c>
      <c r="E490">
        <v>17226754</v>
      </c>
      <c r="F490" t="s">
        <v>56</v>
      </c>
      <c r="G490" t="s">
        <v>57</v>
      </c>
      <c r="H490">
        <v>56100</v>
      </c>
      <c r="I490" t="s">
        <v>58</v>
      </c>
      <c r="J490">
        <v>565</v>
      </c>
      <c r="K490">
        <v>-15.196998123827392</v>
      </c>
      <c r="L490">
        <v>30</v>
      </c>
      <c r="M490">
        <v>520.14</v>
      </c>
      <c r="N490">
        <v>202380</v>
      </c>
      <c r="O490">
        <v>10860</v>
      </c>
      <c r="P490">
        <v>12540</v>
      </c>
      <c r="Q490">
        <v>79560</v>
      </c>
      <c r="R490">
        <v>86700</v>
      </c>
      <c r="S490">
        <v>78360</v>
      </c>
      <c r="T490">
        <v>500.1</v>
      </c>
      <c r="U490">
        <v>618.29999999999995</v>
      </c>
      <c r="V490">
        <v>427.5</v>
      </c>
      <c r="W490">
        <v>666.25</v>
      </c>
      <c r="X490">
        <v>562.45000000000005</v>
      </c>
      <c r="Y490">
        <v>90</v>
      </c>
      <c r="Z490">
        <v>565.35</v>
      </c>
      <c r="AA490">
        <v>90</v>
      </c>
      <c r="AB490" s="6">
        <v>46147.586527777778</v>
      </c>
      <c r="AC490" s="6">
        <v>46147.586469907408</v>
      </c>
    </row>
    <row r="491" spans="1:29" x14ac:dyDescent="0.25">
      <c r="A491" t="s">
        <v>8</v>
      </c>
      <c r="B491" s="5">
        <v>46168</v>
      </c>
      <c r="C491" t="s">
        <v>54</v>
      </c>
      <c r="D491" t="s">
        <v>547</v>
      </c>
      <c r="E491">
        <v>17227010</v>
      </c>
      <c r="F491" t="s">
        <v>56</v>
      </c>
      <c r="G491" t="s">
        <v>57</v>
      </c>
      <c r="H491">
        <v>56100</v>
      </c>
      <c r="I491" t="s">
        <v>60</v>
      </c>
      <c r="J491">
        <v>1619.35</v>
      </c>
      <c r="K491">
        <v>1.2473427535325632</v>
      </c>
      <c r="L491">
        <v>30</v>
      </c>
      <c r="M491">
        <v>1915.48</v>
      </c>
      <c r="N491">
        <v>2130</v>
      </c>
      <c r="O491">
        <v>3180</v>
      </c>
      <c r="P491">
        <v>7980</v>
      </c>
      <c r="Q491">
        <v>35910</v>
      </c>
      <c r="R491">
        <v>36480</v>
      </c>
      <c r="S491">
        <v>35880</v>
      </c>
      <c r="T491">
        <v>1678.9</v>
      </c>
      <c r="U491">
        <v>2093.15</v>
      </c>
      <c r="V491">
        <v>1619.35</v>
      </c>
      <c r="W491">
        <v>1599.4</v>
      </c>
      <c r="X491">
        <v>1636.25</v>
      </c>
      <c r="Y491">
        <v>30</v>
      </c>
      <c r="Z491">
        <v>1660.65</v>
      </c>
      <c r="AA491">
        <v>390</v>
      </c>
      <c r="AB491" s="6">
        <v>46147.586527777778</v>
      </c>
      <c r="AC491" s="6">
        <v>46147.549016203702</v>
      </c>
    </row>
    <row r="492" spans="1:29" x14ac:dyDescent="0.25">
      <c r="A492" t="s">
        <v>8</v>
      </c>
      <c r="B492" s="5">
        <v>46168</v>
      </c>
      <c r="C492" t="s">
        <v>54</v>
      </c>
      <c r="D492" t="s">
        <v>548</v>
      </c>
      <c r="E492">
        <v>17227266</v>
      </c>
      <c r="F492" t="s">
        <v>56</v>
      </c>
      <c r="G492" t="s">
        <v>57</v>
      </c>
      <c r="H492">
        <v>56200</v>
      </c>
      <c r="I492" t="s">
        <v>58</v>
      </c>
      <c r="J492">
        <v>520.65</v>
      </c>
      <c r="K492">
        <v>-17.988501220760813</v>
      </c>
      <c r="L492">
        <v>30</v>
      </c>
      <c r="M492">
        <v>488.42</v>
      </c>
      <c r="N492">
        <v>161190</v>
      </c>
      <c r="O492">
        <v>12120</v>
      </c>
      <c r="P492">
        <v>11310</v>
      </c>
      <c r="Q492">
        <v>75600</v>
      </c>
      <c r="R492">
        <v>79500</v>
      </c>
      <c r="S492">
        <v>72210</v>
      </c>
      <c r="T492">
        <v>484.85</v>
      </c>
      <c r="U492">
        <v>583.5</v>
      </c>
      <c r="V492">
        <v>401</v>
      </c>
      <c r="W492">
        <v>634.85</v>
      </c>
      <c r="X492">
        <v>528</v>
      </c>
      <c r="Y492">
        <v>120</v>
      </c>
      <c r="Z492">
        <v>531.1</v>
      </c>
      <c r="AA492">
        <v>60</v>
      </c>
      <c r="AB492" s="6">
        <v>46147.586527777778</v>
      </c>
      <c r="AC492" s="6">
        <v>46147.586053240739</v>
      </c>
    </row>
    <row r="493" spans="1:29" x14ac:dyDescent="0.25">
      <c r="A493" t="s">
        <v>8</v>
      </c>
      <c r="B493" s="5">
        <v>46168</v>
      </c>
      <c r="C493" t="s">
        <v>54</v>
      </c>
      <c r="D493" t="s">
        <v>549</v>
      </c>
      <c r="E493">
        <v>17227522</v>
      </c>
      <c r="F493" t="s">
        <v>56</v>
      </c>
      <c r="G493" t="s">
        <v>57</v>
      </c>
      <c r="H493">
        <v>56200</v>
      </c>
      <c r="I493" t="s">
        <v>60</v>
      </c>
      <c r="J493">
        <v>1700.8</v>
      </c>
      <c r="K493">
        <v>4.5198955292671661</v>
      </c>
      <c r="L493">
        <v>60</v>
      </c>
      <c r="M493">
        <v>1930.35</v>
      </c>
      <c r="N493">
        <v>3030</v>
      </c>
      <c r="O493">
        <v>3150</v>
      </c>
      <c r="P493">
        <v>6990</v>
      </c>
      <c r="Q493">
        <v>51720</v>
      </c>
      <c r="R493">
        <v>53160</v>
      </c>
      <c r="S493">
        <v>51600</v>
      </c>
      <c r="T493">
        <v>1890</v>
      </c>
      <c r="U493">
        <v>2146.75</v>
      </c>
      <c r="V493">
        <v>1660.55</v>
      </c>
      <c r="W493">
        <v>1627.25</v>
      </c>
      <c r="X493">
        <v>1701.3</v>
      </c>
      <c r="Y493">
        <v>30</v>
      </c>
      <c r="Z493">
        <v>1725.85</v>
      </c>
      <c r="AA493">
        <v>330</v>
      </c>
      <c r="AB493" s="6">
        <v>46147.586539351854</v>
      </c>
      <c r="AC493" s="6">
        <v>46147.582037037035</v>
      </c>
    </row>
    <row r="494" spans="1:29" x14ac:dyDescent="0.25">
      <c r="A494" t="s">
        <v>8</v>
      </c>
      <c r="B494" s="5">
        <v>46168</v>
      </c>
      <c r="C494" t="s">
        <v>54</v>
      </c>
      <c r="D494" t="s">
        <v>550</v>
      </c>
      <c r="E494">
        <v>17227778</v>
      </c>
      <c r="F494" t="s">
        <v>56</v>
      </c>
      <c r="G494" t="s">
        <v>57</v>
      </c>
      <c r="H494">
        <v>56300</v>
      </c>
      <c r="I494" t="s">
        <v>58</v>
      </c>
      <c r="J494">
        <v>496.9</v>
      </c>
      <c r="K494">
        <v>-16.725322607675558</v>
      </c>
      <c r="L494">
        <v>30</v>
      </c>
      <c r="M494">
        <v>450.64</v>
      </c>
      <c r="N494">
        <v>109710</v>
      </c>
      <c r="O494">
        <v>10860</v>
      </c>
      <c r="P494">
        <v>11790</v>
      </c>
      <c r="Q494">
        <v>75510</v>
      </c>
      <c r="R494">
        <v>76650</v>
      </c>
      <c r="S494">
        <v>69420</v>
      </c>
      <c r="T494">
        <v>400.65</v>
      </c>
      <c r="U494">
        <v>549</v>
      </c>
      <c r="V494">
        <v>375.1</v>
      </c>
      <c r="W494">
        <v>596.70000000000005</v>
      </c>
      <c r="X494">
        <v>496.05</v>
      </c>
      <c r="Y494">
        <v>30</v>
      </c>
      <c r="Z494">
        <v>500</v>
      </c>
      <c r="AA494">
        <v>30</v>
      </c>
      <c r="AB494" s="6">
        <v>46147.586527777778</v>
      </c>
      <c r="AC494" s="6">
        <v>46147.586377314816</v>
      </c>
    </row>
    <row r="495" spans="1:29" x14ac:dyDescent="0.25">
      <c r="A495" t="s">
        <v>8</v>
      </c>
      <c r="B495" s="5">
        <v>46168</v>
      </c>
      <c r="C495" t="s">
        <v>54</v>
      </c>
      <c r="D495" t="s">
        <v>551</v>
      </c>
      <c r="E495">
        <v>17228034</v>
      </c>
      <c r="F495" t="s">
        <v>56</v>
      </c>
      <c r="G495" t="s">
        <v>57</v>
      </c>
      <c r="H495">
        <v>56300</v>
      </c>
      <c r="I495" t="s">
        <v>60</v>
      </c>
      <c r="J495">
        <v>1770</v>
      </c>
      <c r="K495">
        <v>3.5753993797179415</v>
      </c>
      <c r="L495">
        <v>60</v>
      </c>
      <c r="M495">
        <v>2033.58</v>
      </c>
      <c r="N495">
        <v>4590</v>
      </c>
      <c r="O495">
        <v>5760</v>
      </c>
      <c r="P495">
        <v>7950</v>
      </c>
      <c r="Q495">
        <v>54960</v>
      </c>
      <c r="R495">
        <v>56370</v>
      </c>
      <c r="S495">
        <v>54960</v>
      </c>
      <c r="T495">
        <v>1934.8</v>
      </c>
      <c r="U495">
        <v>2227</v>
      </c>
      <c r="V495">
        <v>1695.15</v>
      </c>
      <c r="W495">
        <v>1708.9</v>
      </c>
      <c r="X495">
        <v>1768.05</v>
      </c>
      <c r="Y495">
        <v>30</v>
      </c>
      <c r="Z495">
        <v>1803.9</v>
      </c>
      <c r="AA495">
        <v>660</v>
      </c>
      <c r="AB495" s="6">
        <v>46147.586504629631</v>
      </c>
      <c r="AC495" s="6">
        <v>46147.567442129628</v>
      </c>
    </row>
    <row r="496" spans="1:29" x14ac:dyDescent="0.25">
      <c r="A496" t="s">
        <v>8</v>
      </c>
      <c r="B496" s="5">
        <v>46168</v>
      </c>
      <c r="C496" t="s">
        <v>54</v>
      </c>
      <c r="D496" t="s">
        <v>552</v>
      </c>
      <c r="E496">
        <v>17296386</v>
      </c>
      <c r="F496" t="s">
        <v>56</v>
      </c>
      <c r="G496" t="s">
        <v>57</v>
      </c>
      <c r="H496">
        <v>56400</v>
      </c>
      <c r="I496" t="s">
        <v>58</v>
      </c>
      <c r="J496">
        <v>467.1</v>
      </c>
      <c r="K496">
        <v>-17.246877491363275</v>
      </c>
      <c r="L496">
        <v>30</v>
      </c>
      <c r="M496">
        <v>426.66</v>
      </c>
      <c r="N496">
        <v>119370</v>
      </c>
      <c r="O496">
        <v>11670</v>
      </c>
      <c r="P496">
        <v>10140</v>
      </c>
      <c r="Q496">
        <v>52860</v>
      </c>
      <c r="R496">
        <v>54330</v>
      </c>
      <c r="S496">
        <v>47730</v>
      </c>
      <c r="T496">
        <v>493</v>
      </c>
      <c r="U496">
        <v>515</v>
      </c>
      <c r="V496">
        <v>353.05</v>
      </c>
      <c r="W496">
        <v>564.45000000000005</v>
      </c>
      <c r="X496">
        <v>464.95</v>
      </c>
      <c r="Y496">
        <v>60</v>
      </c>
      <c r="Z496">
        <v>467.95</v>
      </c>
      <c r="AA496">
        <v>30</v>
      </c>
      <c r="AB496" s="6">
        <v>46147.586527777778</v>
      </c>
      <c r="AC496" s="6">
        <v>46147.586493055554</v>
      </c>
    </row>
    <row r="497" spans="1:29" x14ac:dyDescent="0.25">
      <c r="A497" t="s">
        <v>8</v>
      </c>
      <c r="B497" s="5">
        <v>46168</v>
      </c>
      <c r="C497" t="s">
        <v>54</v>
      </c>
      <c r="D497" t="s">
        <v>553</v>
      </c>
      <c r="E497">
        <v>17296642</v>
      </c>
      <c r="F497" t="s">
        <v>56</v>
      </c>
      <c r="G497" t="s">
        <v>57</v>
      </c>
      <c r="H497">
        <v>56400</v>
      </c>
      <c r="I497" t="s">
        <v>60</v>
      </c>
      <c r="J497">
        <v>2020</v>
      </c>
      <c r="K497">
        <v>13.530982155402556</v>
      </c>
      <c r="L497">
        <v>30</v>
      </c>
      <c r="M497">
        <v>2065.62</v>
      </c>
      <c r="N497">
        <v>7620</v>
      </c>
      <c r="O497">
        <v>6090</v>
      </c>
      <c r="P497">
        <v>7890</v>
      </c>
      <c r="Q497">
        <v>55980</v>
      </c>
      <c r="R497">
        <v>58770</v>
      </c>
      <c r="S497">
        <v>55980</v>
      </c>
      <c r="T497">
        <v>2007.75</v>
      </c>
      <c r="U497">
        <v>2259.9499999999998</v>
      </c>
      <c r="V497">
        <v>1955.15</v>
      </c>
      <c r="W497">
        <v>1779.25</v>
      </c>
      <c r="X497">
        <v>1862.05</v>
      </c>
      <c r="Y497">
        <v>360</v>
      </c>
      <c r="Z497">
        <v>1884</v>
      </c>
      <c r="AA497">
        <v>30</v>
      </c>
      <c r="AB497" s="6">
        <v>46147.586412037039</v>
      </c>
      <c r="AC497" s="6">
        <v>46147.535682870373</v>
      </c>
    </row>
    <row r="498" spans="1:29" x14ac:dyDescent="0.25">
      <c r="A498" t="s">
        <v>8</v>
      </c>
      <c r="B498" s="5">
        <v>46168</v>
      </c>
      <c r="C498" t="s">
        <v>54</v>
      </c>
      <c r="D498" t="s">
        <v>554</v>
      </c>
      <c r="E498">
        <v>17296898</v>
      </c>
      <c r="F498" t="s">
        <v>56</v>
      </c>
      <c r="G498" t="s">
        <v>57</v>
      </c>
      <c r="H498">
        <v>56500</v>
      </c>
      <c r="I498" t="s">
        <v>58</v>
      </c>
      <c r="J498">
        <v>438</v>
      </c>
      <c r="K498">
        <v>-17.006158218853624</v>
      </c>
      <c r="L498">
        <v>30</v>
      </c>
      <c r="M498">
        <v>401.95</v>
      </c>
      <c r="N498">
        <v>706470</v>
      </c>
      <c r="O498">
        <v>17100</v>
      </c>
      <c r="P498">
        <v>26760</v>
      </c>
      <c r="Q498">
        <v>474600</v>
      </c>
      <c r="R498">
        <v>493740</v>
      </c>
      <c r="S498">
        <v>470850</v>
      </c>
      <c r="T498">
        <v>480</v>
      </c>
      <c r="U498">
        <v>484.95</v>
      </c>
      <c r="V498">
        <v>329.65</v>
      </c>
      <c r="W498">
        <v>527.75</v>
      </c>
      <c r="X498">
        <v>436.3</v>
      </c>
      <c r="Y498">
        <v>60</v>
      </c>
      <c r="Z498">
        <v>438.1</v>
      </c>
      <c r="AA498">
        <v>180</v>
      </c>
      <c r="AB498" s="6">
        <v>46147.586527777778</v>
      </c>
      <c r="AC498" s="6">
        <v>46147.586458333331</v>
      </c>
    </row>
    <row r="499" spans="1:29" x14ac:dyDescent="0.25">
      <c r="A499" t="s">
        <v>8</v>
      </c>
      <c r="B499" s="5">
        <v>46168</v>
      </c>
      <c r="C499" t="s">
        <v>54</v>
      </c>
      <c r="D499" t="s">
        <v>555</v>
      </c>
      <c r="E499">
        <v>17297154</v>
      </c>
      <c r="F499" t="s">
        <v>56</v>
      </c>
      <c r="G499" t="s">
        <v>57</v>
      </c>
      <c r="H499">
        <v>56500</v>
      </c>
      <c r="I499" t="s">
        <v>60</v>
      </c>
      <c r="J499">
        <v>1910.05</v>
      </c>
      <c r="K499">
        <v>2.5420089117947016</v>
      </c>
      <c r="L499">
        <v>30</v>
      </c>
      <c r="M499">
        <v>2113.34</v>
      </c>
      <c r="N499">
        <v>25170</v>
      </c>
      <c r="O499">
        <v>13350</v>
      </c>
      <c r="P499">
        <v>10620</v>
      </c>
      <c r="Q499">
        <v>358710</v>
      </c>
      <c r="R499">
        <v>359730</v>
      </c>
      <c r="S499">
        <v>356280</v>
      </c>
      <c r="T499">
        <v>2118.85</v>
      </c>
      <c r="U499">
        <v>2383.6999999999998</v>
      </c>
      <c r="V499">
        <v>1843.95</v>
      </c>
      <c r="W499">
        <v>1862.7</v>
      </c>
      <c r="X499">
        <v>1911.9</v>
      </c>
      <c r="Y499">
        <v>30</v>
      </c>
      <c r="Z499">
        <v>1927.3</v>
      </c>
      <c r="AA499">
        <v>30</v>
      </c>
      <c r="AB499" s="6">
        <v>46147.586527777778</v>
      </c>
      <c r="AC499" s="6">
        <v>46147.586481481485</v>
      </c>
    </row>
    <row r="500" spans="1:29" x14ac:dyDescent="0.25">
      <c r="A500" t="s">
        <v>8</v>
      </c>
      <c r="B500" s="5">
        <v>46168</v>
      </c>
      <c r="C500" t="s">
        <v>54</v>
      </c>
      <c r="D500" t="s">
        <v>556</v>
      </c>
      <c r="E500">
        <v>17297410</v>
      </c>
      <c r="F500" t="s">
        <v>56</v>
      </c>
      <c r="G500" t="s">
        <v>57</v>
      </c>
      <c r="H500">
        <v>56600</v>
      </c>
      <c r="I500" t="s">
        <v>58</v>
      </c>
      <c r="J500">
        <v>414.2</v>
      </c>
      <c r="K500">
        <v>-17.093674939951967</v>
      </c>
      <c r="L500">
        <v>30</v>
      </c>
      <c r="M500">
        <v>380.08</v>
      </c>
      <c r="N500">
        <v>108840</v>
      </c>
      <c r="O500">
        <v>11070</v>
      </c>
      <c r="P500">
        <v>11820</v>
      </c>
      <c r="Q500">
        <v>47940</v>
      </c>
      <c r="R500">
        <v>52920</v>
      </c>
      <c r="S500">
        <v>47940</v>
      </c>
      <c r="T500">
        <v>490</v>
      </c>
      <c r="U500">
        <v>490</v>
      </c>
      <c r="V500">
        <v>309.45</v>
      </c>
      <c r="W500">
        <v>499.6</v>
      </c>
      <c r="X500">
        <v>409.55</v>
      </c>
      <c r="Y500">
        <v>30</v>
      </c>
      <c r="Z500">
        <v>413.4</v>
      </c>
      <c r="AA500">
        <v>330</v>
      </c>
      <c r="AB500" s="6">
        <v>46147.586504629631</v>
      </c>
      <c r="AC500" s="6">
        <v>46147.586481481485</v>
      </c>
    </row>
    <row r="501" spans="1:29" x14ac:dyDescent="0.25">
      <c r="A501" t="s">
        <v>8</v>
      </c>
      <c r="B501" s="5">
        <v>46168</v>
      </c>
      <c r="C501" t="s">
        <v>54</v>
      </c>
      <c r="D501" t="s">
        <v>557</v>
      </c>
      <c r="E501">
        <v>17297666</v>
      </c>
      <c r="F501" t="s">
        <v>56</v>
      </c>
      <c r="G501" t="s">
        <v>57</v>
      </c>
      <c r="H501">
        <v>56600</v>
      </c>
      <c r="I501" t="s">
        <v>60</v>
      </c>
      <c r="J501">
        <v>2265</v>
      </c>
      <c r="K501">
        <v>17.96875</v>
      </c>
      <c r="L501">
        <v>30</v>
      </c>
      <c r="M501">
        <v>2293.54</v>
      </c>
      <c r="N501">
        <v>1200</v>
      </c>
      <c r="O501">
        <v>4860</v>
      </c>
      <c r="P501">
        <v>7560</v>
      </c>
      <c r="Q501">
        <v>27060</v>
      </c>
      <c r="R501">
        <v>28080</v>
      </c>
      <c r="S501">
        <v>27060</v>
      </c>
      <c r="T501">
        <v>2121.5500000000002</v>
      </c>
      <c r="U501">
        <v>2451.1</v>
      </c>
      <c r="V501">
        <v>2121.5500000000002</v>
      </c>
      <c r="W501">
        <v>1920</v>
      </c>
      <c r="X501">
        <v>1967.05</v>
      </c>
      <c r="Y501">
        <v>60</v>
      </c>
      <c r="Z501">
        <v>2019.4</v>
      </c>
      <c r="AA501">
        <v>630</v>
      </c>
      <c r="AB501" s="6">
        <v>46147.586539351854</v>
      </c>
      <c r="AC501" s="6">
        <v>46147.517789351848</v>
      </c>
    </row>
    <row r="502" spans="1:29" x14ac:dyDescent="0.25">
      <c r="A502" t="s">
        <v>8</v>
      </c>
      <c r="B502" s="5">
        <v>46168</v>
      </c>
      <c r="C502" t="s">
        <v>54</v>
      </c>
      <c r="D502" t="s">
        <v>558</v>
      </c>
      <c r="E502">
        <v>17297922</v>
      </c>
      <c r="F502" t="s">
        <v>56</v>
      </c>
      <c r="G502" t="s">
        <v>57</v>
      </c>
      <c r="H502">
        <v>56700</v>
      </c>
      <c r="I502" t="s">
        <v>58</v>
      </c>
      <c r="J502">
        <v>384.1</v>
      </c>
      <c r="K502">
        <v>-17.865925371538538</v>
      </c>
      <c r="L502">
        <v>30</v>
      </c>
      <c r="M502">
        <v>347.35</v>
      </c>
      <c r="N502">
        <v>102510</v>
      </c>
      <c r="O502">
        <v>11820</v>
      </c>
      <c r="P502">
        <v>12600</v>
      </c>
      <c r="Q502">
        <v>50310</v>
      </c>
      <c r="R502">
        <v>51660</v>
      </c>
      <c r="S502">
        <v>46410</v>
      </c>
      <c r="T502">
        <v>350.05</v>
      </c>
      <c r="U502">
        <v>417.95</v>
      </c>
      <c r="V502">
        <v>291</v>
      </c>
      <c r="W502">
        <v>467.65</v>
      </c>
      <c r="X502">
        <v>382.2</v>
      </c>
      <c r="Y502">
        <v>30</v>
      </c>
      <c r="Z502">
        <v>384.95</v>
      </c>
      <c r="AA502">
        <v>60</v>
      </c>
      <c r="AB502" s="6">
        <v>46147.586527777778</v>
      </c>
      <c r="AC502" s="6">
        <v>46147.586516203701</v>
      </c>
    </row>
    <row r="503" spans="1:29" x14ac:dyDescent="0.25">
      <c r="A503" t="s">
        <v>8</v>
      </c>
      <c r="B503" s="5">
        <v>46168</v>
      </c>
      <c r="C503" t="s">
        <v>54</v>
      </c>
      <c r="D503" t="s">
        <v>559</v>
      </c>
      <c r="E503">
        <v>17298178</v>
      </c>
      <c r="F503" t="s">
        <v>56</v>
      </c>
      <c r="G503" t="s">
        <v>57</v>
      </c>
      <c r="H503">
        <v>56700</v>
      </c>
      <c r="I503" t="s">
        <v>60</v>
      </c>
      <c r="J503">
        <v>2075</v>
      </c>
      <c r="K503">
        <v>5.6087133550488621</v>
      </c>
      <c r="L503">
        <v>30</v>
      </c>
      <c r="M503">
        <v>2248.08</v>
      </c>
      <c r="N503">
        <v>660</v>
      </c>
      <c r="O503">
        <v>6930</v>
      </c>
      <c r="P503">
        <v>7440</v>
      </c>
      <c r="Q503">
        <v>24000</v>
      </c>
      <c r="R503">
        <v>24270</v>
      </c>
      <c r="S503">
        <v>23940</v>
      </c>
      <c r="T503">
        <v>2219.1999999999998</v>
      </c>
      <c r="U503">
        <v>2465.75</v>
      </c>
      <c r="V503">
        <v>1984.45</v>
      </c>
      <c r="W503">
        <v>1964.8</v>
      </c>
      <c r="X503">
        <v>2039.65</v>
      </c>
      <c r="Y503">
        <v>30</v>
      </c>
      <c r="Z503">
        <v>2078.3000000000002</v>
      </c>
      <c r="AA503">
        <v>120</v>
      </c>
      <c r="AB503" s="6">
        <v>46147.586504629631</v>
      </c>
      <c r="AC503" s="6">
        <v>46147.586354166669</v>
      </c>
    </row>
    <row r="504" spans="1:29" x14ac:dyDescent="0.25">
      <c r="A504" t="s">
        <v>8</v>
      </c>
      <c r="B504" s="5">
        <v>46168</v>
      </c>
      <c r="C504" t="s">
        <v>54</v>
      </c>
      <c r="D504" t="s">
        <v>560</v>
      </c>
      <c r="E504">
        <v>17298434</v>
      </c>
      <c r="F504" t="s">
        <v>56</v>
      </c>
      <c r="G504" t="s">
        <v>57</v>
      </c>
      <c r="H504">
        <v>56800</v>
      </c>
      <c r="I504" t="s">
        <v>58</v>
      </c>
      <c r="J504">
        <v>352.05</v>
      </c>
      <c r="K504">
        <v>-19.365551992670639</v>
      </c>
      <c r="L504">
        <v>30</v>
      </c>
      <c r="M504">
        <v>330.56</v>
      </c>
      <c r="N504">
        <v>108090</v>
      </c>
      <c r="O504">
        <v>11700</v>
      </c>
      <c r="P504">
        <v>12480</v>
      </c>
      <c r="Q504">
        <v>86190</v>
      </c>
      <c r="R504">
        <v>89280</v>
      </c>
      <c r="S504">
        <v>84870</v>
      </c>
      <c r="T504">
        <v>350</v>
      </c>
      <c r="U504">
        <v>397.25</v>
      </c>
      <c r="V504">
        <v>272</v>
      </c>
      <c r="W504">
        <v>436.6</v>
      </c>
      <c r="X504">
        <v>356.1</v>
      </c>
      <c r="Y504">
        <v>210</v>
      </c>
      <c r="Z504">
        <v>359.35</v>
      </c>
      <c r="AA504">
        <v>60</v>
      </c>
      <c r="AB504" s="6">
        <v>46147.586539351854</v>
      </c>
      <c r="AC504" s="6">
        <v>46147.585972222223</v>
      </c>
    </row>
    <row r="505" spans="1:29" x14ac:dyDescent="0.25">
      <c r="A505" t="s">
        <v>8</v>
      </c>
      <c r="B505" s="5">
        <v>46168</v>
      </c>
      <c r="C505" t="s">
        <v>54</v>
      </c>
      <c r="D505" t="s">
        <v>561</v>
      </c>
      <c r="E505">
        <v>17298690</v>
      </c>
      <c r="F505" t="s">
        <v>56</v>
      </c>
      <c r="G505" t="s">
        <v>57</v>
      </c>
      <c r="H505">
        <v>56800</v>
      </c>
      <c r="I505" t="s">
        <v>60</v>
      </c>
      <c r="J505">
        <v>2100</v>
      </c>
      <c r="K505">
        <v>0</v>
      </c>
      <c r="L505">
        <v>30</v>
      </c>
      <c r="M505">
        <v>2442.19</v>
      </c>
      <c r="N505">
        <v>390</v>
      </c>
      <c r="O505">
        <v>5190</v>
      </c>
      <c r="P505">
        <v>5370</v>
      </c>
      <c r="Q505">
        <v>69420</v>
      </c>
      <c r="R505">
        <v>69600</v>
      </c>
      <c r="S505">
        <v>69420</v>
      </c>
      <c r="T505">
        <v>2350</v>
      </c>
      <c r="U505">
        <v>2570</v>
      </c>
      <c r="V505">
        <v>2100</v>
      </c>
      <c r="W505">
        <v>2100</v>
      </c>
      <c r="X505">
        <v>2136.4</v>
      </c>
      <c r="Y505">
        <v>30</v>
      </c>
      <c r="Z505">
        <v>2200.8000000000002</v>
      </c>
      <c r="AA505">
        <v>90</v>
      </c>
      <c r="AB505" s="6">
        <v>46147.586423611108</v>
      </c>
      <c r="AC505" s="6">
        <v>46147.548171296294</v>
      </c>
    </row>
    <row r="506" spans="1:29" x14ac:dyDescent="0.25">
      <c r="A506" t="s">
        <v>8</v>
      </c>
      <c r="B506" s="5">
        <v>46168</v>
      </c>
      <c r="C506" t="s">
        <v>54</v>
      </c>
      <c r="D506" t="s">
        <v>562</v>
      </c>
      <c r="E506">
        <v>17298946</v>
      </c>
      <c r="F506" t="s">
        <v>56</v>
      </c>
      <c r="G506" t="s">
        <v>57</v>
      </c>
      <c r="H506">
        <v>56900</v>
      </c>
      <c r="I506" t="s">
        <v>58</v>
      </c>
      <c r="J506">
        <v>333.35</v>
      </c>
      <c r="K506">
        <v>-18.516255194329013</v>
      </c>
      <c r="L506">
        <v>30</v>
      </c>
      <c r="M506">
        <v>304.77999999999997</v>
      </c>
      <c r="N506">
        <v>90930</v>
      </c>
      <c r="O506">
        <v>43260</v>
      </c>
      <c r="P506">
        <v>12180</v>
      </c>
      <c r="Q506">
        <v>38460</v>
      </c>
      <c r="R506">
        <v>39300</v>
      </c>
      <c r="S506">
        <v>36420</v>
      </c>
      <c r="T506">
        <v>339.8</v>
      </c>
      <c r="U506">
        <v>370</v>
      </c>
      <c r="V506">
        <v>254.7</v>
      </c>
      <c r="W506">
        <v>409.1</v>
      </c>
      <c r="X506">
        <v>333.95</v>
      </c>
      <c r="Y506">
        <v>300</v>
      </c>
      <c r="Z506">
        <v>337.05</v>
      </c>
      <c r="AA506">
        <v>30</v>
      </c>
      <c r="AB506" s="6">
        <v>46147.586527777778</v>
      </c>
      <c r="AC506" s="6">
        <v>46147.586273148147</v>
      </c>
    </row>
    <row r="507" spans="1:29" x14ac:dyDescent="0.25">
      <c r="A507" t="s">
        <v>8</v>
      </c>
      <c r="B507" s="5">
        <v>46168</v>
      </c>
      <c r="C507" t="s">
        <v>54</v>
      </c>
      <c r="D507" t="s">
        <v>563</v>
      </c>
      <c r="E507">
        <v>17299202</v>
      </c>
      <c r="F507" t="s">
        <v>56</v>
      </c>
      <c r="G507" t="s">
        <v>57</v>
      </c>
      <c r="H507">
        <v>56900</v>
      </c>
      <c r="I507" t="s">
        <v>60</v>
      </c>
      <c r="J507">
        <v>2165</v>
      </c>
      <c r="K507">
        <v>0</v>
      </c>
      <c r="L507">
        <v>30</v>
      </c>
      <c r="M507">
        <v>0</v>
      </c>
      <c r="N507">
        <v>0</v>
      </c>
      <c r="O507">
        <v>4680</v>
      </c>
      <c r="P507">
        <v>4740</v>
      </c>
      <c r="Q507">
        <v>12780</v>
      </c>
      <c r="R507">
        <v>12780</v>
      </c>
      <c r="S507">
        <v>12780</v>
      </c>
      <c r="T507">
        <v>0</v>
      </c>
      <c r="U507">
        <v>0</v>
      </c>
      <c r="V507">
        <v>0</v>
      </c>
      <c r="W507">
        <v>2165</v>
      </c>
      <c r="X507">
        <v>2190.6999999999998</v>
      </c>
      <c r="Y507">
        <v>60</v>
      </c>
      <c r="Z507">
        <v>2285.4</v>
      </c>
      <c r="AA507">
        <v>120</v>
      </c>
      <c r="AB507" s="6">
        <v>46147.586423611108</v>
      </c>
      <c r="AC507" s="6">
        <v>46146.610659722224</v>
      </c>
    </row>
    <row r="508" spans="1:29" x14ac:dyDescent="0.25">
      <c r="A508" t="s">
        <v>8</v>
      </c>
      <c r="B508" s="5">
        <v>46168</v>
      </c>
      <c r="C508" t="s">
        <v>54</v>
      </c>
      <c r="D508" t="s">
        <v>564</v>
      </c>
      <c r="E508">
        <v>17299970</v>
      </c>
      <c r="F508" t="s">
        <v>56</v>
      </c>
      <c r="G508" t="s">
        <v>57</v>
      </c>
      <c r="H508">
        <v>57000</v>
      </c>
      <c r="I508" t="s">
        <v>58</v>
      </c>
      <c r="J508">
        <v>314.60000000000002</v>
      </c>
      <c r="K508">
        <v>-18.232618583495771</v>
      </c>
      <c r="L508">
        <v>30</v>
      </c>
      <c r="M508">
        <v>288.85000000000002</v>
      </c>
      <c r="N508">
        <v>1417320</v>
      </c>
      <c r="O508">
        <v>32340</v>
      </c>
      <c r="P508">
        <v>51660</v>
      </c>
      <c r="Q508">
        <v>782220</v>
      </c>
      <c r="R508">
        <v>811650</v>
      </c>
      <c r="S508">
        <v>763110</v>
      </c>
      <c r="T508">
        <v>345</v>
      </c>
      <c r="U508">
        <v>349.75</v>
      </c>
      <c r="V508">
        <v>238</v>
      </c>
      <c r="W508">
        <v>384.75</v>
      </c>
      <c r="X508">
        <v>312.3</v>
      </c>
      <c r="Y508">
        <v>30</v>
      </c>
      <c r="Z508">
        <v>313.5</v>
      </c>
      <c r="AA508">
        <v>150</v>
      </c>
      <c r="AB508" s="6">
        <v>46147.586527777778</v>
      </c>
      <c r="AC508" s="6">
        <v>46147.586481481485</v>
      </c>
    </row>
    <row r="509" spans="1:29" x14ac:dyDescent="0.25">
      <c r="A509" t="s">
        <v>8</v>
      </c>
      <c r="B509" s="5">
        <v>46168</v>
      </c>
      <c r="C509" t="s">
        <v>54</v>
      </c>
      <c r="D509" t="s">
        <v>565</v>
      </c>
      <c r="E509">
        <v>17300226</v>
      </c>
      <c r="F509" t="s">
        <v>56</v>
      </c>
      <c r="G509" t="s">
        <v>57</v>
      </c>
      <c r="H509">
        <v>57000</v>
      </c>
      <c r="I509" t="s">
        <v>60</v>
      </c>
      <c r="J509">
        <v>2320</v>
      </c>
      <c r="K509">
        <v>5.8732259389403465</v>
      </c>
      <c r="L509">
        <v>30</v>
      </c>
      <c r="M509">
        <v>2494.92</v>
      </c>
      <c r="N509">
        <v>31380</v>
      </c>
      <c r="O509">
        <v>8730</v>
      </c>
      <c r="P509">
        <v>9270</v>
      </c>
      <c r="Q509">
        <v>385890</v>
      </c>
      <c r="R509">
        <v>389580</v>
      </c>
      <c r="S509">
        <v>384720</v>
      </c>
      <c r="T509">
        <v>2428.8000000000002</v>
      </c>
      <c r="U509">
        <v>2780.2</v>
      </c>
      <c r="V509">
        <v>2191.25</v>
      </c>
      <c r="W509">
        <v>2191.3000000000002</v>
      </c>
      <c r="X509">
        <v>2280.15</v>
      </c>
      <c r="Y509">
        <v>60</v>
      </c>
      <c r="Z509">
        <v>2307.6999999999998</v>
      </c>
      <c r="AA509">
        <v>30</v>
      </c>
      <c r="AB509" s="6">
        <v>46147.586527777778</v>
      </c>
      <c r="AC509" s="6">
        <v>46147.585879629631</v>
      </c>
    </row>
    <row r="510" spans="1:29" x14ac:dyDescent="0.25">
      <c r="A510" t="s">
        <v>8</v>
      </c>
      <c r="B510" s="5">
        <v>46168</v>
      </c>
      <c r="C510" t="s">
        <v>54</v>
      </c>
      <c r="D510" t="s">
        <v>566</v>
      </c>
      <c r="E510">
        <v>17300482</v>
      </c>
      <c r="F510" t="s">
        <v>56</v>
      </c>
      <c r="G510" t="s">
        <v>57</v>
      </c>
      <c r="H510">
        <v>57100</v>
      </c>
      <c r="I510" t="s">
        <v>58</v>
      </c>
      <c r="J510">
        <v>287.55</v>
      </c>
      <c r="K510">
        <v>-20.401384083044981</v>
      </c>
      <c r="L510">
        <v>30</v>
      </c>
      <c r="M510">
        <v>270.89999999999998</v>
      </c>
      <c r="N510">
        <v>73350</v>
      </c>
      <c r="O510">
        <v>9360</v>
      </c>
      <c r="P510">
        <v>13380</v>
      </c>
      <c r="Q510">
        <v>48570</v>
      </c>
      <c r="R510">
        <v>48960</v>
      </c>
      <c r="S510">
        <v>43020</v>
      </c>
      <c r="T510">
        <v>290</v>
      </c>
      <c r="U510">
        <v>329.2</v>
      </c>
      <c r="V510">
        <v>223.75</v>
      </c>
      <c r="W510">
        <v>361.25</v>
      </c>
      <c r="X510">
        <v>291.64999999999998</v>
      </c>
      <c r="Y510">
        <v>60</v>
      </c>
      <c r="Z510">
        <v>293.95</v>
      </c>
      <c r="AA510">
        <v>60</v>
      </c>
      <c r="AB510" s="6">
        <v>46147.586527777778</v>
      </c>
      <c r="AC510" s="6">
        <v>46147.586192129631</v>
      </c>
    </row>
    <row r="511" spans="1:29" x14ac:dyDescent="0.25">
      <c r="A511" t="s">
        <v>8</v>
      </c>
      <c r="B511" s="5">
        <v>46168</v>
      </c>
      <c r="C511" t="s">
        <v>54</v>
      </c>
      <c r="D511" t="s">
        <v>567</v>
      </c>
      <c r="E511">
        <v>17300738</v>
      </c>
      <c r="F511" t="s">
        <v>56</v>
      </c>
      <c r="G511" t="s">
        <v>57</v>
      </c>
      <c r="H511">
        <v>57100</v>
      </c>
      <c r="I511" t="s">
        <v>60</v>
      </c>
      <c r="J511">
        <v>2550</v>
      </c>
      <c r="K511">
        <v>11.756327380300208</v>
      </c>
      <c r="L511">
        <v>30</v>
      </c>
      <c r="M511">
        <v>2550</v>
      </c>
      <c r="N511">
        <v>30</v>
      </c>
      <c r="O511">
        <v>4860</v>
      </c>
      <c r="P511">
        <v>5190</v>
      </c>
      <c r="Q511">
        <v>7110</v>
      </c>
      <c r="R511">
        <v>7110</v>
      </c>
      <c r="S511">
        <v>7110</v>
      </c>
      <c r="T511">
        <v>2550</v>
      </c>
      <c r="U511">
        <v>2550</v>
      </c>
      <c r="V511">
        <v>2550</v>
      </c>
      <c r="W511">
        <v>2281.75</v>
      </c>
      <c r="X511">
        <v>2345</v>
      </c>
      <c r="Y511">
        <v>120</v>
      </c>
      <c r="Z511">
        <v>2402</v>
      </c>
      <c r="AA511">
        <v>210</v>
      </c>
      <c r="AB511" s="6">
        <v>46147.586516203701</v>
      </c>
      <c r="AC511" s="6">
        <v>46147.422418981485</v>
      </c>
    </row>
    <row r="512" spans="1:29" x14ac:dyDescent="0.25">
      <c r="A512" t="s">
        <v>8</v>
      </c>
      <c r="B512" s="5">
        <v>46168</v>
      </c>
      <c r="C512" t="s">
        <v>54</v>
      </c>
      <c r="D512" t="s">
        <v>568</v>
      </c>
      <c r="E512">
        <v>17300994</v>
      </c>
      <c r="F512" t="s">
        <v>56</v>
      </c>
      <c r="G512" t="s">
        <v>57</v>
      </c>
      <c r="H512">
        <v>57200</v>
      </c>
      <c r="I512" t="s">
        <v>58</v>
      </c>
      <c r="J512">
        <v>269.2</v>
      </c>
      <c r="K512">
        <v>-20.648489314664705</v>
      </c>
      <c r="L512">
        <v>30</v>
      </c>
      <c r="M512">
        <v>247.77</v>
      </c>
      <c r="N512">
        <v>87210</v>
      </c>
      <c r="O512">
        <v>10110</v>
      </c>
      <c r="P512">
        <v>11340</v>
      </c>
      <c r="Q512">
        <v>58170</v>
      </c>
      <c r="R512">
        <v>60240</v>
      </c>
      <c r="S512">
        <v>53250</v>
      </c>
      <c r="T512">
        <v>250.05</v>
      </c>
      <c r="U512">
        <v>301.89999999999998</v>
      </c>
      <c r="V512">
        <v>208.55</v>
      </c>
      <c r="W512">
        <v>339.25</v>
      </c>
      <c r="X512">
        <v>272.14999999999998</v>
      </c>
      <c r="Y512">
        <v>60</v>
      </c>
      <c r="Z512">
        <v>274.39999999999998</v>
      </c>
      <c r="AA512">
        <v>60</v>
      </c>
      <c r="AB512" s="6">
        <v>46147.586527777778</v>
      </c>
      <c r="AC512" s="6">
        <v>46147.586099537039</v>
      </c>
    </row>
    <row r="513" spans="1:29" x14ac:dyDescent="0.25">
      <c r="A513" t="s">
        <v>8</v>
      </c>
      <c r="B513" s="5">
        <v>46168</v>
      </c>
      <c r="C513" t="s">
        <v>54</v>
      </c>
      <c r="D513" t="s">
        <v>569</v>
      </c>
      <c r="E513">
        <v>17301250</v>
      </c>
      <c r="F513" t="s">
        <v>56</v>
      </c>
      <c r="G513" t="s">
        <v>57</v>
      </c>
      <c r="H513">
        <v>57200</v>
      </c>
      <c r="I513" t="s">
        <v>60</v>
      </c>
      <c r="J513">
        <v>2900</v>
      </c>
      <c r="K513">
        <v>24.008466784973585</v>
      </c>
      <c r="L513">
        <v>30</v>
      </c>
      <c r="M513">
        <v>2900</v>
      </c>
      <c r="N513">
        <v>90</v>
      </c>
      <c r="O513">
        <v>6210</v>
      </c>
      <c r="P513">
        <v>5070</v>
      </c>
      <c r="Q513">
        <v>9840</v>
      </c>
      <c r="R513">
        <v>9870</v>
      </c>
      <c r="S513">
        <v>9840</v>
      </c>
      <c r="T513">
        <v>2900</v>
      </c>
      <c r="U513">
        <v>2900</v>
      </c>
      <c r="V513">
        <v>2900</v>
      </c>
      <c r="W513">
        <v>2338.5500000000002</v>
      </c>
      <c r="X513">
        <v>2401.6999999999998</v>
      </c>
      <c r="Y513">
        <v>300</v>
      </c>
      <c r="Z513">
        <v>2513.1999999999998</v>
      </c>
      <c r="AA513">
        <v>90</v>
      </c>
      <c r="AB513" s="6">
        <v>46147.586435185185</v>
      </c>
      <c r="AC513" s="6">
        <v>46147.508831018517</v>
      </c>
    </row>
    <row r="514" spans="1:29" x14ac:dyDescent="0.25">
      <c r="A514" t="s">
        <v>8</v>
      </c>
      <c r="B514" s="5">
        <v>46168</v>
      </c>
      <c r="C514" t="s">
        <v>54</v>
      </c>
      <c r="D514" t="s">
        <v>570</v>
      </c>
      <c r="E514">
        <v>17301506</v>
      </c>
      <c r="F514" t="s">
        <v>56</v>
      </c>
      <c r="G514" t="s">
        <v>57</v>
      </c>
      <c r="H514">
        <v>57300</v>
      </c>
      <c r="I514" t="s">
        <v>58</v>
      </c>
      <c r="J514">
        <v>250.25</v>
      </c>
      <c r="K514">
        <v>-21.056782334384859</v>
      </c>
      <c r="L514">
        <v>30</v>
      </c>
      <c r="M514">
        <v>229.82</v>
      </c>
      <c r="N514">
        <v>125580</v>
      </c>
      <c r="O514">
        <v>9960</v>
      </c>
      <c r="P514">
        <v>13020</v>
      </c>
      <c r="Q514">
        <v>80520</v>
      </c>
      <c r="R514">
        <v>83190</v>
      </c>
      <c r="S514">
        <v>73740</v>
      </c>
      <c r="T514">
        <v>299.5</v>
      </c>
      <c r="U514">
        <v>299.5</v>
      </c>
      <c r="V514">
        <v>194.75</v>
      </c>
      <c r="W514">
        <v>317</v>
      </c>
      <c r="X514">
        <v>254.55</v>
      </c>
      <c r="Y514">
        <v>60</v>
      </c>
      <c r="Z514">
        <v>256.95</v>
      </c>
      <c r="AA514">
        <v>450</v>
      </c>
      <c r="AB514" s="6">
        <v>46147.586527777778</v>
      </c>
      <c r="AC514" s="6">
        <v>46147.586145833331</v>
      </c>
    </row>
    <row r="515" spans="1:29" x14ac:dyDescent="0.25">
      <c r="A515" t="s">
        <v>8</v>
      </c>
      <c r="B515" s="5">
        <v>46168</v>
      </c>
      <c r="C515" t="s">
        <v>54</v>
      </c>
      <c r="D515" t="s">
        <v>571</v>
      </c>
      <c r="E515">
        <v>17301762</v>
      </c>
      <c r="F515" t="s">
        <v>56</v>
      </c>
      <c r="G515" t="s">
        <v>57</v>
      </c>
      <c r="H515">
        <v>57300</v>
      </c>
      <c r="I515" t="s">
        <v>60</v>
      </c>
      <c r="J515">
        <v>2500.4499999999998</v>
      </c>
      <c r="K515">
        <v>7.662002152852522</v>
      </c>
      <c r="L515">
        <v>60</v>
      </c>
      <c r="M515">
        <v>2713.25</v>
      </c>
      <c r="N515">
        <v>300</v>
      </c>
      <c r="O515">
        <v>4230</v>
      </c>
      <c r="P515">
        <v>5160</v>
      </c>
      <c r="Q515">
        <v>13260</v>
      </c>
      <c r="R515">
        <v>13440</v>
      </c>
      <c r="S515">
        <v>13260</v>
      </c>
      <c r="T515">
        <v>2601</v>
      </c>
      <c r="U515">
        <v>2827.6</v>
      </c>
      <c r="V515">
        <v>2500.4499999999998</v>
      </c>
      <c r="W515">
        <v>2322.5</v>
      </c>
      <c r="X515">
        <v>2508.1999999999998</v>
      </c>
      <c r="Y515">
        <v>60</v>
      </c>
      <c r="Z515">
        <v>2564.1</v>
      </c>
      <c r="AA515">
        <v>60</v>
      </c>
      <c r="AB515" s="6">
        <v>46147.586527777778</v>
      </c>
      <c r="AC515" s="6">
        <v>46147.557372685187</v>
      </c>
    </row>
    <row r="516" spans="1:29" x14ac:dyDescent="0.25">
      <c r="A516" t="s">
        <v>8</v>
      </c>
      <c r="B516" s="5">
        <v>46168</v>
      </c>
      <c r="C516" t="s">
        <v>54</v>
      </c>
      <c r="D516" t="s">
        <v>572</v>
      </c>
      <c r="E516">
        <v>17302018</v>
      </c>
      <c r="F516" t="s">
        <v>56</v>
      </c>
      <c r="G516" t="s">
        <v>57</v>
      </c>
      <c r="H516">
        <v>57400</v>
      </c>
      <c r="I516" t="s">
        <v>58</v>
      </c>
      <c r="J516">
        <v>238.05</v>
      </c>
      <c r="K516">
        <v>-20.424536185859925</v>
      </c>
      <c r="L516">
        <v>30</v>
      </c>
      <c r="M516">
        <v>217.66</v>
      </c>
      <c r="N516">
        <v>97980</v>
      </c>
      <c r="O516">
        <v>10620</v>
      </c>
      <c r="P516">
        <v>15450</v>
      </c>
      <c r="Q516">
        <v>58500</v>
      </c>
      <c r="R516">
        <v>60660</v>
      </c>
      <c r="S516">
        <v>50790</v>
      </c>
      <c r="T516">
        <v>250</v>
      </c>
      <c r="U516">
        <v>260</v>
      </c>
      <c r="V516">
        <v>183.15</v>
      </c>
      <c r="W516">
        <v>299.14999999999998</v>
      </c>
      <c r="X516">
        <v>237.25</v>
      </c>
      <c r="Y516">
        <v>30</v>
      </c>
      <c r="Z516">
        <v>239.1</v>
      </c>
      <c r="AA516">
        <v>30</v>
      </c>
      <c r="AB516" s="6">
        <v>46147.586527777778</v>
      </c>
      <c r="AC516" s="6">
        <v>46147.586493055554</v>
      </c>
    </row>
    <row r="517" spans="1:29" x14ac:dyDescent="0.25">
      <c r="A517" t="s">
        <v>8</v>
      </c>
      <c r="B517" s="5">
        <v>46168</v>
      </c>
      <c r="C517" t="s">
        <v>54</v>
      </c>
      <c r="D517" t="s">
        <v>573</v>
      </c>
      <c r="E517">
        <v>17302530</v>
      </c>
      <c r="F517" t="s">
        <v>56</v>
      </c>
      <c r="G517" t="s">
        <v>57</v>
      </c>
      <c r="H517">
        <v>57400</v>
      </c>
      <c r="I517" t="s">
        <v>60</v>
      </c>
      <c r="J517">
        <v>2829.25</v>
      </c>
      <c r="K517">
        <v>19.405347232480118</v>
      </c>
      <c r="L517">
        <v>180</v>
      </c>
      <c r="M517">
        <v>2827.17</v>
      </c>
      <c r="N517">
        <v>1080</v>
      </c>
      <c r="O517">
        <v>5340</v>
      </c>
      <c r="P517">
        <v>5730</v>
      </c>
      <c r="Q517">
        <v>9150</v>
      </c>
      <c r="R517">
        <v>9150</v>
      </c>
      <c r="S517">
        <v>9120</v>
      </c>
      <c r="T517">
        <v>2850</v>
      </c>
      <c r="U517">
        <v>2980</v>
      </c>
      <c r="V517">
        <v>2774.05</v>
      </c>
      <c r="W517">
        <v>2369.4499999999998</v>
      </c>
      <c r="X517">
        <v>2601.6</v>
      </c>
      <c r="Y517">
        <v>450</v>
      </c>
      <c r="Z517">
        <v>2672.85</v>
      </c>
      <c r="AA517">
        <v>60</v>
      </c>
      <c r="AB517" s="6">
        <v>46147.586435185185</v>
      </c>
      <c r="AC517" s="6">
        <v>46147.536562499998</v>
      </c>
    </row>
    <row r="518" spans="1:29" x14ac:dyDescent="0.25">
      <c r="A518" t="s">
        <v>8</v>
      </c>
      <c r="B518" s="5">
        <v>46168</v>
      </c>
      <c r="C518" t="s">
        <v>54</v>
      </c>
      <c r="D518" t="s">
        <v>574</v>
      </c>
      <c r="E518">
        <v>17302786</v>
      </c>
      <c r="F518" t="s">
        <v>56</v>
      </c>
      <c r="G518" t="s">
        <v>57</v>
      </c>
      <c r="H518">
        <v>57500</v>
      </c>
      <c r="I518" t="s">
        <v>58</v>
      </c>
      <c r="J518">
        <v>222.4</v>
      </c>
      <c r="K518">
        <v>-19.971212666426766</v>
      </c>
      <c r="L518">
        <v>30</v>
      </c>
      <c r="M518">
        <v>205.24</v>
      </c>
      <c r="N518">
        <v>656700</v>
      </c>
      <c r="O518">
        <v>16110</v>
      </c>
      <c r="P518">
        <v>19350</v>
      </c>
      <c r="Q518">
        <v>343680</v>
      </c>
      <c r="R518">
        <v>354060</v>
      </c>
      <c r="S518">
        <v>306360</v>
      </c>
      <c r="T518">
        <v>240.6</v>
      </c>
      <c r="U518">
        <v>246.8</v>
      </c>
      <c r="V518">
        <v>170.5</v>
      </c>
      <c r="W518">
        <v>277.89999999999998</v>
      </c>
      <c r="X518">
        <v>221.85</v>
      </c>
      <c r="Y518">
        <v>90</v>
      </c>
      <c r="Z518">
        <v>222.95</v>
      </c>
      <c r="AA518">
        <v>60</v>
      </c>
      <c r="AB518" s="6">
        <v>46147.586516203701</v>
      </c>
      <c r="AC518" s="6">
        <v>46147.586354166669</v>
      </c>
    </row>
    <row r="519" spans="1:29" x14ac:dyDescent="0.25">
      <c r="A519" t="s">
        <v>8</v>
      </c>
      <c r="B519" s="5">
        <v>46168</v>
      </c>
      <c r="C519" t="s">
        <v>54</v>
      </c>
      <c r="D519" t="s">
        <v>575</v>
      </c>
      <c r="E519">
        <v>17303298</v>
      </c>
      <c r="F519" t="s">
        <v>56</v>
      </c>
      <c r="G519" t="s">
        <v>57</v>
      </c>
      <c r="H519">
        <v>57500</v>
      </c>
      <c r="I519" t="s">
        <v>60</v>
      </c>
      <c r="J519">
        <v>2679</v>
      </c>
      <c r="K519">
        <v>4.3773011513061739</v>
      </c>
      <c r="L519">
        <v>30</v>
      </c>
      <c r="M519">
        <v>2941.29</v>
      </c>
      <c r="N519">
        <v>3690</v>
      </c>
      <c r="O519">
        <v>6450</v>
      </c>
      <c r="P519">
        <v>6780</v>
      </c>
      <c r="Q519">
        <v>139140</v>
      </c>
      <c r="R519">
        <v>140580</v>
      </c>
      <c r="S519">
        <v>139020</v>
      </c>
      <c r="T519">
        <v>2917.25</v>
      </c>
      <c r="U519">
        <v>3206</v>
      </c>
      <c r="V519">
        <v>2631.1</v>
      </c>
      <c r="W519">
        <v>2566.65</v>
      </c>
      <c r="X519">
        <v>2680.75</v>
      </c>
      <c r="Y519">
        <v>30</v>
      </c>
      <c r="Z519">
        <v>2715.9</v>
      </c>
      <c r="AA519">
        <v>30</v>
      </c>
      <c r="AB519" s="6">
        <v>46147.586527777778</v>
      </c>
      <c r="AC519" s="6">
        <v>46147.575682870367</v>
      </c>
    </row>
    <row r="520" spans="1:29" x14ac:dyDescent="0.25">
      <c r="A520" t="s">
        <v>8</v>
      </c>
      <c r="B520" s="5">
        <v>46168</v>
      </c>
      <c r="C520" t="s">
        <v>54</v>
      </c>
      <c r="D520" t="s">
        <v>576</v>
      </c>
      <c r="E520">
        <v>17303554</v>
      </c>
      <c r="F520" t="s">
        <v>56</v>
      </c>
      <c r="G520" t="s">
        <v>57</v>
      </c>
      <c r="H520">
        <v>57600</v>
      </c>
      <c r="I520" t="s">
        <v>58</v>
      </c>
      <c r="J520">
        <v>205.05</v>
      </c>
      <c r="K520">
        <v>-20.906460945033746</v>
      </c>
      <c r="L520">
        <v>30</v>
      </c>
      <c r="M520">
        <v>191.15</v>
      </c>
      <c r="N520">
        <v>131190</v>
      </c>
      <c r="O520">
        <v>7950</v>
      </c>
      <c r="P520">
        <v>8220</v>
      </c>
      <c r="Q520">
        <v>48330</v>
      </c>
      <c r="R520">
        <v>48450</v>
      </c>
      <c r="S520">
        <v>28410</v>
      </c>
      <c r="T520">
        <v>190.45</v>
      </c>
      <c r="U520">
        <v>228.5</v>
      </c>
      <c r="V520">
        <v>159.94999999999999</v>
      </c>
      <c r="W520">
        <v>259.25</v>
      </c>
      <c r="X520">
        <v>206.8</v>
      </c>
      <c r="Y520">
        <v>150</v>
      </c>
      <c r="Z520">
        <v>208.9</v>
      </c>
      <c r="AA520">
        <v>630</v>
      </c>
      <c r="AB520" s="6">
        <v>46147.586516203701</v>
      </c>
      <c r="AC520" s="6">
        <v>46147.586168981485</v>
      </c>
    </row>
    <row r="521" spans="1:29" x14ac:dyDescent="0.25">
      <c r="A521" t="s">
        <v>8</v>
      </c>
      <c r="B521" s="5">
        <v>46168</v>
      </c>
      <c r="C521" t="s">
        <v>54</v>
      </c>
      <c r="D521" t="s">
        <v>577</v>
      </c>
      <c r="E521">
        <v>17303810</v>
      </c>
      <c r="F521" t="s">
        <v>56</v>
      </c>
      <c r="G521" t="s">
        <v>57</v>
      </c>
      <c r="H521">
        <v>57600</v>
      </c>
      <c r="I521" t="s">
        <v>60</v>
      </c>
      <c r="J521">
        <v>2705</v>
      </c>
      <c r="K521">
        <v>0.35802400430371162</v>
      </c>
      <c r="L521">
        <v>90</v>
      </c>
      <c r="M521">
        <v>2874.32</v>
      </c>
      <c r="N521">
        <v>13680</v>
      </c>
      <c r="O521">
        <v>5400</v>
      </c>
      <c r="P521">
        <v>10860</v>
      </c>
      <c r="Q521">
        <v>23250</v>
      </c>
      <c r="R521">
        <v>31200</v>
      </c>
      <c r="S521">
        <v>23250</v>
      </c>
      <c r="T521">
        <v>3095.35</v>
      </c>
      <c r="U521">
        <v>3249</v>
      </c>
      <c r="V521">
        <v>2675</v>
      </c>
      <c r="W521">
        <v>2695.35</v>
      </c>
      <c r="X521">
        <v>2767.6</v>
      </c>
      <c r="Y521">
        <v>60</v>
      </c>
      <c r="Z521">
        <v>2848.95</v>
      </c>
      <c r="AA521">
        <v>30</v>
      </c>
      <c r="AB521" s="6">
        <v>46147.586446759262</v>
      </c>
      <c r="AC521" s="6">
        <v>46147.557013888887</v>
      </c>
    </row>
    <row r="522" spans="1:29" x14ac:dyDescent="0.25">
      <c r="A522" t="s">
        <v>8</v>
      </c>
      <c r="B522" s="5">
        <v>46168</v>
      </c>
      <c r="C522" t="s">
        <v>54</v>
      </c>
      <c r="D522" t="s">
        <v>578</v>
      </c>
      <c r="E522">
        <v>17304066</v>
      </c>
      <c r="F522" t="s">
        <v>56</v>
      </c>
      <c r="G522" t="s">
        <v>57</v>
      </c>
      <c r="H522">
        <v>57700</v>
      </c>
      <c r="I522" t="s">
        <v>58</v>
      </c>
      <c r="J522">
        <v>193.15</v>
      </c>
      <c r="K522">
        <v>-20.612412659268397</v>
      </c>
      <c r="L522">
        <v>30</v>
      </c>
      <c r="M522">
        <v>178.46</v>
      </c>
      <c r="N522">
        <v>83820</v>
      </c>
      <c r="O522">
        <v>6570</v>
      </c>
      <c r="P522">
        <v>5640</v>
      </c>
      <c r="Q522">
        <v>64200</v>
      </c>
      <c r="R522">
        <v>64740</v>
      </c>
      <c r="S522">
        <v>47610</v>
      </c>
      <c r="T522">
        <v>210</v>
      </c>
      <c r="U522">
        <v>210</v>
      </c>
      <c r="V522">
        <v>150</v>
      </c>
      <c r="W522">
        <v>243.3</v>
      </c>
      <c r="X522">
        <v>192.4</v>
      </c>
      <c r="Y522">
        <v>30</v>
      </c>
      <c r="Z522">
        <v>194.65</v>
      </c>
      <c r="AA522">
        <v>660</v>
      </c>
      <c r="AB522" s="6">
        <v>46147.586504629631</v>
      </c>
      <c r="AC522" s="6">
        <v>46147.586493055554</v>
      </c>
    </row>
    <row r="523" spans="1:29" x14ac:dyDescent="0.25">
      <c r="A523" t="s">
        <v>8</v>
      </c>
      <c r="B523" s="5">
        <v>46168</v>
      </c>
      <c r="C523" t="s">
        <v>54</v>
      </c>
      <c r="D523" t="s">
        <v>579</v>
      </c>
      <c r="E523">
        <v>17304322</v>
      </c>
      <c r="F523" t="s">
        <v>56</v>
      </c>
      <c r="G523" t="s">
        <v>57</v>
      </c>
      <c r="H523">
        <v>57700</v>
      </c>
      <c r="I523" t="s">
        <v>60</v>
      </c>
      <c r="J523">
        <v>2826.1</v>
      </c>
      <c r="K523">
        <v>-6.5133972874627881</v>
      </c>
      <c r="L523">
        <v>30</v>
      </c>
      <c r="M523">
        <v>3026.4</v>
      </c>
      <c r="N523">
        <v>840</v>
      </c>
      <c r="O523">
        <v>4980</v>
      </c>
      <c r="P523">
        <v>4470</v>
      </c>
      <c r="Q523">
        <v>6030</v>
      </c>
      <c r="R523">
        <v>6360</v>
      </c>
      <c r="S523">
        <v>6030</v>
      </c>
      <c r="T523">
        <v>3045</v>
      </c>
      <c r="U523">
        <v>3250</v>
      </c>
      <c r="V523">
        <v>2757.2</v>
      </c>
      <c r="W523">
        <v>3023</v>
      </c>
      <c r="X523">
        <v>2861</v>
      </c>
      <c r="Y523">
        <v>120</v>
      </c>
      <c r="Z523">
        <v>2935.85</v>
      </c>
      <c r="AA523">
        <v>30</v>
      </c>
      <c r="AB523" s="6">
        <v>46147.586446759262</v>
      </c>
      <c r="AC523" s="6">
        <v>46147.550983796296</v>
      </c>
    </row>
    <row r="524" spans="1:29" x14ac:dyDescent="0.25">
      <c r="A524" t="s">
        <v>8</v>
      </c>
      <c r="B524" s="5">
        <v>46168</v>
      </c>
      <c r="C524" t="s">
        <v>54</v>
      </c>
      <c r="D524" t="s">
        <v>580</v>
      </c>
      <c r="E524">
        <v>17304578</v>
      </c>
      <c r="F524" t="s">
        <v>56</v>
      </c>
      <c r="G524" t="s">
        <v>57</v>
      </c>
      <c r="H524">
        <v>57800</v>
      </c>
      <c r="I524" t="s">
        <v>58</v>
      </c>
      <c r="J524">
        <v>180</v>
      </c>
      <c r="K524">
        <v>-20.389208314904906</v>
      </c>
      <c r="L524">
        <v>30</v>
      </c>
      <c r="M524">
        <v>171.59</v>
      </c>
      <c r="N524">
        <v>143700</v>
      </c>
      <c r="O524">
        <v>8100</v>
      </c>
      <c r="P524">
        <v>7170</v>
      </c>
      <c r="Q524">
        <v>83100</v>
      </c>
      <c r="R524">
        <v>87330</v>
      </c>
      <c r="S524">
        <v>48330</v>
      </c>
      <c r="T524">
        <v>166.15</v>
      </c>
      <c r="U524">
        <v>206.05</v>
      </c>
      <c r="V524">
        <v>140.15</v>
      </c>
      <c r="W524">
        <v>226.1</v>
      </c>
      <c r="X524">
        <v>179.35</v>
      </c>
      <c r="Y524">
        <v>90</v>
      </c>
      <c r="Z524">
        <v>180.8</v>
      </c>
      <c r="AA524">
        <v>90</v>
      </c>
      <c r="AB524" s="6">
        <v>46147.586527777778</v>
      </c>
      <c r="AC524" s="6">
        <v>46147.586493055554</v>
      </c>
    </row>
    <row r="525" spans="1:29" x14ac:dyDescent="0.25">
      <c r="A525" t="s">
        <v>8</v>
      </c>
      <c r="B525" s="5">
        <v>46168</v>
      </c>
      <c r="C525" t="s">
        <v>54</v>
      </c>
      <c r="D525" t="s">
        <v>581</v>
      </c>
      <c r="E525">
        <v>17304834</v>
      </c>
      <c r="F525" t="s">
        <v>56</v>
      </c>
      <c r="G525" t="s">
        <v>57</v>
      </c>
      <c r="H525">
        <v>57800</v>
      </c>
      <c r="I525" t="s">
        <v>60</v>
      </c>
      <c r="J525">
        <v>3072.15</v>
      </c>
      <c r="K525">
        <v>13.783333333333337</v>
      </c>
      <c r="L525">
        <v>90</v>
      </c>
      <c r="M525">
        <v>3091.61</v>
      </c>
      <c r="N525">
        <v>120</v>
      </c>
      <c r="O525">
        <v>4740</v>
      </c>
      <c r="P525">
        <v>4530</v>
      </c>
      <c r="Q525">
        <v>7500</v>
      </c>
      <c r="R525">
        <v>7500</v>
      </c>
      <c r="S525">
        <v>7500</v>
      </c>
      <c r="T525">
        <v>3150</v>
      </c>
      <c r="U525">
        <v>3150</v>
      </c>
      <c r="V525">
        <v>3072.15</v>
      </c>
      <c r="W525">
        <v>2700</v>
      </c>
      <c r="X525">
        <v>2932.6</v>
      </c>
      <c r="Y525">
        <v>30</v>
      </c>
      <c r="Z525">
        <v>3023.85</v>
      </c>
      <c r="AA525">
        <v>60</v>
      </c>
      <c r="AB525" s="6">
        <v>46147.586446759262</v>
      </c>
      <c r="AC525" s="6">
        <v>46147.417071759257</v>
      </c>
    </row>
    <row r="526" spans="1:29" x14ac:dyDescent="0.25">
      <c r="A526" t="s">
        <v>8</v>
      </c>
      <c r="B526" s="5">
        <v>46168</v>
      </c>
      <c r="C526" t="s">
        <v>54</v>
      </c>
      <c r="D526" t="s">
        <v>582</v>
      </c>
      <c r="E526">
        <v>17305090</v>
      </c>
      <c r="F526" t="s">
        <v>56</v>
      </c>
      <c r="G526" t="s">
        <v>57</v>
      </c>
      <c r="H526">
        <v>57900</v>
      </c>
      <c r="I526" t="s">
        <v>58</v>
      </c>
      <c r="J526">
        <v>167.3</v>
      </c>
      <c r="K526">
        <v>-20.541439088102589</v>
      </c>
      <c r="L526">
        <v>90</v>
      </c>
      <c r="M526">
        <v>157.69</v>
      </c>
      <c r="N526">
        <v>72840</v>
      </c>
      <c r="O526">
        <v>6240</v>
      </c>
      <c r="P526">
        <v>4890</v>
      </c>
      <c r="Q526">
        <v>68070</v>
      </c>
      <c r="R526">
        <v>68490</v>
      </c>
      <c r="S526">
        <v>52260</v>
      </c>
      <c r="T526">
        <v>172.8</v>
      </c>
      <c r="U526">
        <v>195.75</v>
      </c>
      <c r="V526">
        <v>129.65</v>
      </c>
      <c r="W526">
        <v>210.55</v>
      </c>
      <c r="X526">
        <v>167.2</v>
      </c>
      <c r="Y526">
        <v>30</v>
      </c>
      <c r="Z526">
        <v>169.4</v>
      </c>
      <c r="AA526">
        <v>720</v>
      </c>
      <c r="AB526" s="6">
        <v>46147.586504629631</v>
      </c>
      <c r="AC526" s="6">
        <v>46147.586469907408</v>
      </c>
    </row>
    <row r="527" spans="1:29" x14ac:dyDescent="0.25">
      <c r="A527" t="s">
        <v>8</v>
      </c>
      <c r="B527" s="5">
        <v>46168</v>
      </c>
      <c r="C527" t="s">
        <v>54</v>
      </c>
      <c r="D527" t="s">
        <v>583</v>
      </c>
      <c r="E527">
        <v>17305346</v>
      </c>
      <c r="F527" t="s">
        <v>56</v>
      </c>
      <c r="G527" t="s">
        <v>57</v>
      </c>
      <c r="H527">
        <v>57900</v>
      </c>
      <c r="I527" t="s">
        <v>60</v>
      </c>
      <c r="J527">
        <v>2860.35</v>
      </c>
      <c r="K527">
        <v>0</v>
      </c>
      <c r="L527">
        <v>30</v>
      </c>
      <c r="M527">
        <v>0</v>
      </c>
      <c r="N527">
        <v>0</v>
      </c>
      <c r="O527">
        <v>7260</v>
      </c>
      <c r="P527">
        <v>4440</v>
      </c>
      <c r="Q527">
        <v>3150</v>
      </c>
      <c r="R527">
        <v>3150</v>
      </c>
      <c r="S527">
        <v>3150</v>
      </c>
      <c r="T527">
        <v>0</v>
      </c>
      <c r="U527">
        <v>0</v>
      </c>
      <c r="V527">
        <v>0</v>
      </c>
      <c r="W527">
        <v>2860.35</v>
      </c>
      <c r="X527">
        <v>2994.1</v>
      </c>
      <c r="Y527">
        <v>330</v>
      </c>
      <c r="Z527">
        <v>3093</v>
      </c>
      <c r="AA527">
        <v>60</v>
      </c>
      <c r="AB527" s="6">
        <v>46147.586446759262</v>
      </c>
      <c r="AC527" s="6">
        <v>46146.633611111109</v>
      </c>
    </row>
    <row r="528" spans="1:29" x14ac:dyDescent="0.25">
      <c r="A528" t="s">
        <v>8</v>
      </c>
      <c r="B528" s="5">
        <v>46168</v>
      </c>
      <c r="C528" t="s">
        <v>54</v>
      </c>
      <c r="D528" t="s">
        <v>584</v>
      </c>
      <c r="E528">
        <v>17306114</v>
      </c>
      <c r="F528" t="s">
        <v>56</v>
      </c>
      <c r="G528" t="s">
        <v>57</v>
      </c>
      <c r="H528">
        <v>58000</v>
      </c>
      <c r="I528" t="s">
        <v>58</v>
      </c>
      <c r="J528">
        <v>156.35</v>
      </c>
      <c r="K528">
        <v>-20.533672172808135</v>
      </c>
      <c r="L528">
        <v>30</v>
      </c>
      <c r="M528">
        <v>145.91</v>
      </c>
      <c r="N528">
        <v>1184640</v>
      </c>
      <c r="O528">
        <v>47040</v>
      </c>
      <c r="P528">
        <v>41460</v>
      </c>
      <c r="Q528">
        <v>943980</v>
      </c>
      <c r="R528">
        <v>961140</v>
      </c>
      <c r="S528">
        <v>872910</v>
      </c>
      <c r="T528">
        <v>174.95</v>
      </c>
      <c r="U528">
        <v>174.95</v>
      </c>
      <c r="V528">
        <v>122.55</v>
      </c>
      <c r="W528">
        <v>196.75</v>
      </c>
      <c r="X528">
        <v>156.30000000000001</v>
      </c>
      <c r="Y528">
        <v>90</v>
      </c>
      <c r="Z528">
        <v>156.9</v>
      </c>
      <c r="AA528">
        <v>30</v>
      </c>
      <c r="AB528" s="6">
        <v>46147.586504629631</v>
      </c>
      <c r="AC528" s="6">
        <v>46147.586504629631</v>
      </c>
    </row>
    <row r="529" spans="1:29" x14ac:dyDescent="0.25">
      <c r="A529" t="s">
        <v>8</v>
      </c>
      <c r="B529" s="5">
        <v>46168</v>
      </c>
      <c r="C529" t="s">
        <v>54</v>
      </c>
      <c r="D529" t="s">
        <v>585</v>
      </c>
      <c r="E529">
        <v>17306370</v>
      </c>
      <c r="F529" t="s">
        <v>56</v>
      </c>
      <c r="G529" t="s">
        <v>57</v>
      </c>
      <c r="H529">
        <v>58000</v>
      </c>
      <c r="I529" t="s">
        <v>60</v>
      </c>
      <c r="J529">
        <v>3100</v>
      </c>
      <c r="K529">
        <v>3.7847972011583786</v>
      </c>
      <c r="L529">
        <v>150</v>
      </c>
      <c r="M529">
        <v>3416.58</v>
      </c>
      <c r="N529">
        <v>10080</v>
      </c>
      <c r="O529">
        <v>6540</v>
      </c>
      <c r="P529">
        <v>6840</v>
      </c>
      <c r="Q529">
        <v>267840</v>
      </c>
      <c r="R529">
        <v>270180</v>
      </c>
      <c r="S529">
        <v>267450</v>
      </c>
      <c r="T529">
        <v>3343.3</v>
      </c>
      <c r="U529">
        <v>3653.7</v>
      </c>
      <c r="V529">
        <v>3065.15</v>
      </c>
      <c r="W529">
        <v>2986.95</v>
      </c>
      <c r="X529">
        <v>3107</v>
      </c>
      <c r="Y529">
        <v>30</v>
      </c>
      <c r="Z529">
        <v>3145.55</v>
      </c>
      <c r="AA529">
        <v>30</v>
      </c>
      <c r="AB529" s="6">
        <v>46147.586504629631</v>
      </c>
      <c r="AC529" s="6">
        <v>46147.582881944443</v>
      </c>
    </row>
    <row r="530" spans="1:29" x14ac:dyDescent="0.25">
      <c r="A530" t="s">
        <v>8</v>
      </c>
      <c r="B530" s="5">
        <v>46168</v>
      </c>
      <c r="C530" t="s">
        <v>54</v>
      </c>
      <c r="D530" t="s">
        <v>586</v>
      </c>
      <c r="E530">
        <v>17308162</v>
      </c>
      <c r="F530" t="s">
        <v>56</v>
      </c>
      <c r="G530" t="s">
        <v>57</v>
      </c>
      <c r="H530">
        <v>58100</v>
      </c>
      <c r="I530" t="s">
        <v>58</v>
      </c>
      <c r="J530">
        <v>146.69999999999999</v>
      </c>
      <c r="K530">
        <v>-20.530877573131097</v>
      </c>
      <c r="L530">
        <v>30</v>
      </c>
      <c r="M530">
        <v>137.86000000000001</v>
      </c>
      <c r="N530">
        <v>49950</v>
      </c>
      <c r="O530">
        <v>6600</v>
      </c>
      <c r="P530">
        <v>5100</v>
      </c>
      <c r="Q530">
        <v>45330</v>
      </c>
      <c r="R530">
        <v>45930</v>
      </c>
      <c r="S530">
        <v>43140</v>
      </c>
      <c r="T530">
        <v>173.6</v>
      </c>
      <c r="U530">
        <v>173.6</v>
      </c>
      <c r="V530">
        <v>114.75</v>
      </c>
      <c r="W530">
        <v>184.6</v>
      </c>
      <c r="X530">
        <v>145.4</v>
      </c>
      <c r="Y530">
        <v>30</v>
      </c>
      <c r="Z530">
        <v>146.6</v>
      </c>
      <c r="AA530">
        <v>150</v>
      </c>
      <c r="AB530" s="6">
        <v>46147.586504629631</v>
      </c>
      <c r="AC530" s="6">
        <v>46147.586412037039</v>
      </c>
    </row>
    <row r="531" spans="1:29" x14ac:dyDescent="0.25">
      <c r="A531" t="s">
        <v>8</v>
      </c>
      <c r="B531" s="5">
        <v>46168</v>
      </c>
      <c r="C531" t="s">
        <v>54</v>
      </c>
      <c r="D531" t="s">
        <v>587</v>
      </c>
      <c r="E531">
        <v>17308930</v>
      </c>
      <c r="F531" t="s">
        <v>56</v>
      </c>
      <c r="G531" t="s">
        <v>57</v>
      </c>
      <c r="H531">
        <v>58100</v>
      </c>
      <c r="I531" t="s">
        <v>60</v>
      </c>
      <c r="J531">
        <v>3697.9</v>
      </c>
      <c r="K531">
        <v>23.263333333333339</v>
      </c>
      <c r="L531">
        <v>60</v>
      </c>
      <c r="M531">
        <v>3650.4</v>
      </c>
      <c r="N531">
        <v>1710</v>
      </c>
      <c r="O531">
        <v>4740</v>
      </c>
      <c r="P531">
        <v>4620</v>
      </c>
      <c r="Q531">
        <v>1740</v>
      </c>
      <c r="R531">
        <v>2910</v>
      </c>
      <c r="S531">
        <v>1740</v>
      </c>
      <c r="T531">
        <v>3400</v>
      </c>
      <c r="U531">
        <v>3699.75</v>
      </c>
      <c r="V531">
        <v>3400</v>
      </c>
      <c r="W531">
        <v>3000</v>
      </c>
      <c r="X531">
        <v>3128.15</v>
      </c>
      <c r="Y531">
        <v>300</v>
      </c>
      <c r="Z531">
        <v>3279.85</v>
      </c>
      <c r="AA531">
        <v>30</v>
      </c>
      <c r="AB531" s="6">
        <v>46147.586458333331</v>
      </c>
      <c r="AC531" s="6">
        <v>46147.490312499998</v>
      </c>
    </row>
    <row r="532" spans="1:29" x14ac:dyDescent="0.25">
      <c r="A532" t="s">
        <v>8</v>
      </c>
      <c r="B532" s="5">
        <v>46168</v>
      </c>
      <c r="C532" t="s">
        <v>54</v>
      </c>
      <c r="D532" t="s">
        <v>588</v>
      </c>
      <c r="E532">
        <v>17309186</v>
      </c>
      <c r="F532" t="s">
        <v>56</v>
      </c>
      <c r="G532" t="s">
        <v>57</v>
      </c>
      <c r="H532">
        <v>58200</v>
      </c>
      <c r="I532" t="s">
        <v>58</v>
      </c>
      <c r="J532">
        <v>135.5</v>
      </c>
      <c r="K532">
        <v>-21.856978085351791</v>
      </c>
      <c r="L532">
        <v>60</v>
      </c>
      <c r="M532">
        <v>124.78</v>
      </c>
      <c r="N532">
        <v>53640</v>
      </c>
      <c r="O532">
        <v>6210</v>
      </c>
      <c r="P532">
        <v>4620</v>
      </c>
      <c r="Q532">
        <v>44910</v>
      </c>
      <c r="R532">
        <v>45300</v>
      </c>
      <c r="S532">
        <v>38220</v>
      </c>
      <c r="T532">
        <v>171</v>
      </c>
      <c r="U532">
        <v>171</v>
      </c>
      <c r="V532">
        <v>107</v>
      </c>
      <c r="W532">
        <v>173.4</v>
      </c>
      <c r="X532">
        <v>133.4</v>
      </c>
      <c r="Y532">
        <v>420</v>
      </c>
      <c r="Z532">
        <v>135.94999999999999</v>
      </c>
      <c r="AA532">
        <v>150</v>
      </c>
      <c r="AB532" s="6">
        <v>46147.586273148147</v>
      </c>
      <c r="AC532" s="6">
        <v>46147.585509259261</v>
      </c>
    </row>
    <row r="533" spans="1:29" x14ac:dyDescent="0.25">
      <c r="A533" t="s">
        <v>8</v>
      </c>
      <c r="B533" s="5">
        <v>46168</v>
      </c>
      <c r="C533" t="s">
        <v>54</v>
      </c>
      <c r="D533" t="s">
        <v>589</v>
      </c>
      <c r="E533">
        <v>17309442</v>
      </c>
      <c r="F533" t="s">
        <v>56</v>
      </c>
      <c r="G533" t="s">
        <v>57</v>
      </c>
      <c r="H533">
        <v>58200</v>
      </c>
      <c r="I533" t="s">
        <v>60</v>
      </c>
      <c r="J533">
        <v>3647.1</v>
      </c>
      <c r="K533">
        <v>4.1130259531962591E-3</v>
      </c>
      <c r="L533">
        <v>30</v>
      </c>
      <c r="M533">
        <v>3648.97</v>
      </c>
      <c r="N533">
        <v>1950</v>
      </c>
      <c r="O533">
        <v>4680</v>
      </c>
      <c r="P533">
        <v>4350</v>
      </c>
      <c r="Q533">
        <v>2760</v>
      </c>
      <c r="R533">
        <v>2850</v>
      </c>
      <c r="S533">
        <v>2760</v>
      </c>
      <c r="T533">
        <v>3629.55</v>
      </c>
      <c r="U533">
        <v>3697.5</v>
      </c>
      <c r="V533">
        <v>3567.8</v>
      </c>
      <c r="W533">
        <v>3646.95</v>
      </c>
      <c r="X533">
        <v>3211.2</v>
      </c>
      <c r="Y533">
        <v>300</v>
      </c>
      <c r="Z533">
        <v>3390.15</v>
      </c>
      <c r="AA533">
        <v>60</v>
      </c>
      <c r="AB533" s="6">
        <v>46147.586458333331</v>
      </c>
      <c r="AC533" s="6">
        <v>46147.472025462965</v>
      </c>
    </row>
    <row r="534" spans="1:29" x14ac:dyDescent="0.25">
      <c r="A534" t="s">
        <v>8</v>
      </c>
      <c r="B534" s="5">
        <v>46168</v>
      </c>
      <c r="C534" t="s">
        <v>54</v>
      </c>
      <c r="D534" t="s">
        <v>590</v>
      </c>
      <c r="E534">
        <v>17309698</v>
      </c>
      <c r="F534" t="s">
        <v>56</v>
      </c>
      <c r="G534" t="s">
        <v>57</v>
      </c>
      <c r="H534">
        <v>58300</v>
      </c>
      <c r="I534" t="s">
        <v>58</v>
      </c>
      <c r="J534">
        <v>127.95</v>
      </c>
      <c r="K534">
        <v>-20.503261882572222</v>
      </c>
      <c r="L534">
        <v>180</v>
      </c>
      <c r="M534">
        <v>117.2</v>
      </c>
      <c r="N534">
        <v>36750</v>
      </c>
      <c r="O534">
        <v>4170</v>
      </c>
      <c r="P534">
        <v>4470</v>
      </c>
      <c r="Q534">
        <v>30450</v>
      </c>
      <c r="R534">
        <v>30450</v>
      </c>
      <c r="S534">
        <v>27060</v>
      </c>
      <c r="T534">
        <v>128</v>
      </c>
      <c r="U534">
        <v>140.05000000000001</v>
      </c>
      <c r="V534">
        <v>100</v>
      </c>
      <c r="W534">
        <v>160.94999999999999</v>
      </c>
      <c r="X534">
        <v>125.05</v>
      </c>
      <c r="Y534">
        <v>150</v>
      </c>
      <c r="Z534">
        <v>127.05</v>
      </c>
      <c r="AA534">
        <v>360</v>
      </c>
      <c r="AB534" s="6">
        <v>46147.585729166669</v>
      </c>
      <c r="AC534" s="6">
        <v>46147.577268518522</v>
      </c>
    </row>
    <row r="535" spans="1:29" x14ac:dyDescent="0.25">
      <c r="A535" t="s">
        <v>8</v>
      </c>
      <c r="B535" s="5">
        <v>46168</v>
      </c>
      <c r="C535" t="s">
        <v>54</v>
      </c>
      <c r="D535" t="s">
        <v>591</v>
      </c>
      <c r="E535">
        <v>17309954</v>
      </c>
      <c r="F535" t="s">
        <v>56</v>
      </c>
      <c r="G535" t="s">
        <v>57</v>
      </c>
      <c r="H535">
        <v>58300</v>
      </c>
      <c r="I535" t="s">
        <v>60</v>
      </c>
      <c r="J535">
        <v>3736.2</v>
      </c>
      <c r="K535">
        <v>66.798366034956146</v>
      </c>
      <c r="L535">
        <v>30</v>
      </c>
      <c r="M535">
        <v>3699.92</v>
      </c>
      <c r="N535">
        <v>1620</v>
      </c>
      <c r="O535">
        <v>4620</v>
      </c>
      <c r="P535">
        <v>4440</v>
      </c>
      <c r="Q535">
        <v>3810</v>
      </c>
      <c r="R535">
        <v>4050</v>
      </c>
      <c r="S535">
        <v>3810</v>
      </c>
      <c r="T535">
        <v>3555.3</v>
      </c>
      <c r="U535">
        <v>3793.85</v>
      </c>
      <c r="V535">
        <v>3555.3</v>
      </c>
      <c r="W535">
        <v>2239.9499999999998</v>
      </c>
      <c r="X535">
        <v>3374.7</v>
      </c>
      <c r="Y535">
        <v>60</v>
      </c>
      <c r="Z535">
        <v>3466.6</v>
      </c>
      <c r="AA535">
        <v>30</v>
      </c>
      <c r="AB535" s="6">
        <v>46147.586458333331</v>
      </c>
      <c r="AC535" s="6">
        <v>46147.514837962961</v>
      </c>
    </row>
    <row r="536" spans="1:29" x14ac:dyDescent="0.25">
      <c r="A536" t="s">
        <v>8</v>
      </c>
      <c r="B536" s="5">
        <v>46168</v>
      </c>
      <c r="C536" t="s">
        <v>54</v>
      </c>
      <c r="D536" t="s">
        <v>592</v>
      </c>
      <c r="E536">
        <v>17310210</v>
      </c>
      <c r="F536" t="s">
        <v>56</v>
      </c>
      <c r="G536" t="s">
        <v>57</v>
      </c>
      <c r="H536">
        <v>58400</v>
      </c>
      <c r="I536" t="s">
        <v>58</v>
      </c>
      <c r="J536">
        <v>115.35</v>
      </c>
      <c r="K536">
        <v>-22.971619365609353</v>
      </c>
      <c r="L536">
        <v>30</v>
      </c>
      <c r="M536">
        <v>109.41</v>
      </c>
      <c r="N536">
        <v>37110</v>
      </c>
      <c r="O536">
        <v>5820</v>
      </c>
      <c r="P536">
        <v>6300</v>
      </c>
      <c r="Q536">
        <v>28590</v>
      </c>
      <c r="R536">
        <v>29700</v>
      </c>
      <c r="S536">
        <v>27840</v>
      </c>
      <c r="T536">
        <v>127.75</v>
      </c>
      <c r="U536">
        <v>131</v>
      </c>
      <c r="V536">
        <v>93.9</v>
      </c>
      <c r="W536">
        <v>149.75</v>
      </c>
      <c r="X536">
        <v>115.1</v>
      </c>
      <c r="Y536">
        <v>210</v>
      </c>
      <c r="Z536">
        <v>117.25</v>
      </c>
      <c r="AA536">
        <v>300</v>
      </c>
      <c r="AB536" s="6">
        <v>46147.586134259262</v>
      </c>
      <c r="AC536" s="6">
        <v>46147.579270833332</v>
      </c>
    </row>
    <row r="537" spans="1:29" x14ac:dyDescent="0.25">
      <c r="A537" t="s">
        <v>8</v>
      </c>
      <c r="B537" s="5">
        <v>46168</v>
      </c>
      <c r="C537" t="s">
        <v>54</v>
      </c>
      <c r="D537" t="s">
        <v>593</v>
      </c>
      <c r="E537">
        <v>17310466</v>
      </c>
      <c r="F537" t="s">
        <v>56</v>
      </c>
      <c r="G537" t="s">
        <v>57</v>
      </c>
      <c r="H537">
        <v>58400</v>
      </c>
      <c r="I537" t="s">
        <v>60</v>
      </c>
      <c r="J537">
        <v>3784.65</v>
      </c>
      <c r="K537">
        <v>32.873995014570085</v>
      </c>
      <c r="L537">
        <v>60</v>
      </c>
      <c r="M537">
        <v>3689.12</v>
      </c>
      <c r="N537">
        <v>1320</v>
      </c>
      <c r="O537">
        <v>4740</v>
      </c>
      <c r="P537">
        <v>4530</v>
      </c>
      <c r="Q537">
        <v>1710</v>
      </c>
      <c r="R537">
        <v>2850</v>
      </c>
      <c r="S537">
        <v>1710</v>
      </c>
      <c r="T537">
        <v>3625.95</v>
      </c>
      <c r="U537">
        <v>3784.65</v>
      </c>
      <c r="V537">
        <v>3625.95</v>
      </c>
      <c r="W537">
        <v>2848.3</v>
      </c>
      <c r="X537">
        <v>3439.15</v>
      </c>
      <c r="Y537">
        <v>330</v>
      </c>
      <c r="Z537">
        <v>3561.4</v>
      </c>
      <c r="AA537">
        <v>60</v>
      </c>
      <c r="AB537" s="6">
        <v>46147.586458333331</v>
      </c>
      <c r="AC537" s="6">
        <v>46147.434467592589</v>
      </c>
    </row>
    <row r="538" spans="1:29" x14ac:dyDescent="0.25">
      <c r="A538" t="s">
        <v>8</v>
      </c>
      <c r="B538" s="5">
        <v>46168</v>
      </c>
      <c r="C538" t="s">
        <v>54</v>
      </c>
      <c r="D538" t="s">
        <v>594</v>
      </c>
      <c r="E538">
        <v>17310722</v>
      </c>
      <c r="F538" t="s">
        <v>56</v>
      </c>
      <c r="G538" t="s">
        <v>57</v>
      </c>
      <c r="H538">
        <v>58500</v>
      </c>
      <c r="I538" t="s">
        <v>58</v>
      </c>
      <c r="J538">
        <v>108.95</v>
      </c>
      <c r="K538">
        <v>-21.164978292329948</v>
      </c>
      <c r="L538">
        <v>30</v>
      </c>
      <c r="M538">
        <v>102.78</v>
      </c>
      <c r="N538">
        <v>477600</v>
      </c>
      <c r="O538">
        <v>14100</v>
      </c>
      <c r="P538">
        <v>11760</v>
      </c>
      <c r="Q538">
        <v>334230</v>
      </c>
      <c r="R538">
        <v>369390</v>
      </c>
      <c r="S538">
        <v>333450</v>
      </c>
      <c r="T538">
        <v>124.95</v>
      </c>
      <c r="U538">
        <v>124.95</v>
      </c>
      <c r="V538">
        <v>87.8</v>
      </c>
      <c r="W538">
        <v>138.19999999999999</v>
      </c>
      <c r="X538">
        <v>109.75</v>
      </c>
      <c r="Y538">
        <v>120</v>
      </c>
      <c r="Z538">
        <v>110.3</v>
      </c>
      <c r="AA538">
        <v>120</v>
      </c>
      <c r="AB538" s="6">
        <v>46147.586516203701</v>
      </c>
      <c r="AC538" s="6">
        <v>46147.586342592593</v>
      </c>
    </row>
    <row r="539" spans="1:29" x14ac:dyDescent="0.25">
      <c r="A539" t="s">
        <v>8</v>
      </c>
      <c r="B539" s="5">
        <v>46168</v>
      </c>
      <c r="C539" t="s">
        <v>54</v>
      </c>
      <c r="D539" t="s">
        <v>595</v>
      </c>
      <c r="E539">
        <v>17310978</v>
      </c>
      <c r="F539" t="s">
        <v>56</v>
      </c>
      <c r="G539" t="s">
        <v>57</v>
      </c>
      <c r="H539">
        <v>58500</v>
      </c>
      <c r="I539" t="s">
        <v>60</v>
      </c>
      <c r="J539">
        <v>4045.35</v>
      </c>
      <c r="K539">
        <v>19.117517152027325</v>
      </c>
      <c r="L539">
        <v>30</v>
      </c>
      <c r="M539">
        <v>3878.26</v>
      </c>
      <c r="N539">
        <v>1980</v>
      </c>
      <c r="O539">
        <v>5250</v>
      </c>
      <c r="P539">
        <v>5100</v>
      </c>
      <c r="Q539">
        <v>62310</v>
      </c>
      <c r="R539">
        <v>63060</v>
      </c>
      <c r="S539">
        <v>62310</v>
      </c>
      <c r="T539">
        <v>3759.55</v>
      </c>
      <c r="U539">
        <v>4051.2</v>
      </c>
      <c r="V539">
        <v>3730.35</v>
      </c>
      <c r="W539">
        <v>3396.1</v>
      </c>
      <c r="X539">
        <v>3518</v>
      </c>
      <c r="Y539">
        <v>480</v>
      </c>
      <c r="Z539">
        <v>3623.3</v>
      </c>
      <c r="AA539">
        <v>120</v>
      </c>
      <c r="AB539" s="6">
        <v>46147.586469907408</v>
      </c>
      <c r="AC539" s="6">
        <v>46147.495694444442</v>
      </c>
    </row>
    <row r="540" spans="1:29" x14ac:dyDescent="0.25">
      <c r="A540" t="s">
        <v>8</v>
      </c>
      <c r="B540" s="5">
        <v>46168</v>
      </c>
      <c r="C540" t="s">
        <v>54</v>
      </c>
      <c r="D540" t="s">
        <v>596</v>
      </c>
      <c r="E540">
        <v>17311234</v>
      </c>
      <c r="F540" t="s">
        <v>56</v>
      </c>
      <c r="G540" t="s">
        <v>57</v>
      </c>
      <c r="H540">
        <v>58600</v>
      </c>
      <c r="I540" t="s">
        <v>58</v>
      </c>
      <c r="J540">
        <v>103.4</v>
      </c>
      <c r="K540">
        <v>-21.128909229595724</v>
      </c>
      <c r="L540">
        <v>90</v>
      </c>
      <c r="M540">
        <v>97.3</v>
      </c>
      <c r="N540">
        <v>79830</v>
      </c>
      <c r="O540">
        <v>5220</v>
      </c>
      <c r="P540">
        <v>4500</v>
      </c>
      <c r="Q540">
        <v>40740</v>
      </c>
      <c r="R540">
        <v>46410</v>
      </c>
      <c r="S540">
        <v>27960</v>
      </c>
      <c r="T540">
        <v>111.25</v>
      </c>
      <c r="U540">
        <v>114.1</v>
      </c>
      <c r="V540">
        <v>80.5</v>
      </c>
      <c r="W540">
        <v>131.1</v>
      </c>
      <c r="X540">
        <v>101.15</v>
      </c>
      <c r="Y540">
        <v>300</v>
      </c>
      <c r="Z540">
        <v>103.15</v>
      </c>
      <c r="AA540">
        <v>210</v>
      </c>
      <c r="AB540" s="6">
        <v>46147.585763888892</v>
      </c>
      <c r="AC540" s="6">
        <v>46147.585555555554</v>
      </c>
    </row>
    <row r="541" spans="1:29" x14ac:dyDescent="0.25">
      <c r="A541" t="s">
        <v>8</v>
      </c>
      <c r="B541" s="5">
        <v>46168</v>
      </c>
      <c r="C541" t="s">
        <v>54</v>
      </c>
      <c r="D541" t="s">
        <v>597</v>
      </c>
      <c r="E541">
        <v>17311490</v>
      </c>
      <c r="F541" t="s">
        <v>56</v>
      </c>
      <c r="G541" t="s">
        <v>57</v>
      </c>
      <c r="H541">
        <v>58600</v>
      </c>
      <c r="I541" t="s">
        <v>60</v>
      </c>
      <c r="J541">
        <v>3866.85</v>
      </c>
      <c r="K541">
        <v>0</v>
      </c>
      <c r="L541">
        <v>30</v>
      </c>
      <c r="M541">
        <v>0</v>
      </c>
      <c r="N541">
        <v>0</v>
      </c>
      <c r="O541">
        <v>5490</v>
      </c>
      <c r="P541">
        <v>5370</v>
      </c>
      <c r="Q541">
        <v>420</v>
      </c>
      <c r="R541">
        <v>420</v>
      </c>
      <c r="S541">
        <v>420</v>
      </c>
      <c r="T541">
        <v>0</v>
      </c>
      <c r="U541">
        <v>0</v>
      </c>
      <c r="V541">
        <v>0</v>
      </c>
      <c r="W541">
        <v>3866.85</v>
      </c>
      <c r="X541">
        <v>3547.1</v>
      </c>
      <c r="Y541">
        <v>300</v>
      </c>
      <c r="Z541">
        <v>3810.85</v>
      </c>
      <c r="AA541">
        <v>60</v>
      </c>
      <c r="AB541" s="6">
        <v>46147.586469907408</v>
      </c>
      <c r="AC541" s="6">
        <v>46142.400868055556</v>
      </c>
    </row>
    <row r="542" spans="1:29" x14ac:dyDescent="0.25">
      <c r="A542" t="s">
        <v>8</v>
      </c>
      <c r="B542" s="5">
        <v>46168</v>
      </c>
      <c r="C542" t="s">
        <v>54</v>
      </c>
      <c r="D542" t="s">
        <v>598</v>
      </c>
      <c r="E542">
        <v>17312002</v>
      </c>
      <c r="F542" t="s">
        <v>56</v>
      </c>
      <c r="G542" t="s">
        <v>57</v>
      </c>
      <c r="H542">
        <v>58700</v>
      </c>
      <c r="I542" t="s">
        <v>58</v>
      </c>
      <c r="J542">
        <v>96.3</v>
      </c>
      <c r="K542">
        <v>-19.983381803074362</v>
      </c>
      <c r="L542">
        <v>30</v>
      </c>
      <c r="M542">
        <v>90.13</v>
      </c>
      <c r="N542">
        <v>43800</v>
      </c>
      <c r="O542">
        <v>5940</v>
      </c>
      <c r="P542">
        <v>5310</v>
      </c>
      <c r="Q542">
        <v>32700</v>
      </c>
      <c r="R542">
        <v>33090</v>
      </c>
      <c r="S542">
        <v>28290</v>
      </c>
      <c r="T542">
        <v>110</v>
      </c>
      <c r="U542">
        <v>110</v>
      </c>
      <c r="V542">
        <v>77.5</v>
      </c>
      <c r="W542">
        <v>120.35</v>
      </c>
      <c r="X542">
        <v>94</v>
      </c>
      <c r="Y542">
        <v>60</v>
      </c>
      <c r="Z542">
        <v>95.4</v>
      </c>
      <c r="AA542">
        <v>420</v>
      </c>
      <c r="AB542" s="6">
        <v>46147.586469907408</v>
      </c>
      <c r="AC542" s="6">
        <v>46147.586053240739</v>
      </c>
    </row>
    <row r="543" spans="1:29" x14ac:dyDescent="0.25">
      <c r="A543" t="s">
        <v>8</v>
      </c>
      <c r="B543" s="5">
        <v>46168</v>
      </c>
      <c r="C543" t="s">
        <v>54</v>
      </c>
      <c r="D543" t="s">
        <v>599</v>
      </c>
      <c r="E543">
        <v>17319170</v>
      </c>
      <c r="F543" t="s">
        <v>56</v>
      </c>
      <c r="G543" t="s">
        <v>57</v>
      </c>
      <c r="H543">
        <v>58700</v>
      </c>
      <c r="I543" t="s">
        <v>60</v>
      </c>
      <c r="J543">
        <v>3970.85</v>
      </c>
      <c r="K543">
        <v>0</v>
      </c>
      <c r="L543">
        <v>60</v>
      </c>
      <c r="M543">
        <v>0</v>
      </c>
      <c r="N543">
        <v>0</v>
      </c>
      <c r="O543">
        <v>5130</v>
      </c>
      <c r="P543">
        <v>5790</v>
      </c>
      <c r="Q543">
        <v>450</v>
      </c>
      <c r="R543">
        <v>450</v>
      </c>
      <c r="S543">
        <v>450</v>
      </c>
      <c r="T543">
        <v>0</v>
      </c>
      <c r="U543">
        <v>0</v>
      </c>
      <c r="V543">
        <v>0</v>
      </c>
      <c r="W543">
        <v>3970.85</v>
      </c>
      <c r="X543">
        <v>3649.5</v>
      </c>
      <c r="Y543">
        <v>900</v>
      </c>
      <c r="Z543">
        <v>3900.4</v>
      </c>
      <c r="AA543">
        <v>300</v>
      </c>
      <c r="AB543" s="6">
        <v>46147.586469907408</v>
      </c>
      <c r="AC543" s="6">
        <v>46142.400879629633</v>
      </c>
    </row>
    <row r="544" spans="1:29" x14ac:dyDescent="0.25">
      <c r="A544" t="s">
        <v>8</v>
      </c>
      <c r="B544" s="5">
        <v>46168</v>
      </c>
      <c r="C544" t="s">
        <v>54</v>
      </c>
      <c r="D544" t="s">
        <v>600</v>
      </c>
      <c r="E544">
        <v>17319426</v>
      </c>
      <c r="F544" t="s">
        <v>56</v>
      </c>
      <c r="G544" t="s">
        <v>57</v>
      </c>
      <c r="H544">
        <v>58800</v>
      </c>
      <c r="I544" t="s">
        <v>58</v>
      </c>
      <c r="J544">
        <v>89.95</v>
      </c>
      <c r="K544">
        <v>-20.92307692307692</v>
      </c>
      <c r="L544">
        <v>90</v>
      </c>
      <c r="M544">
        <v>83.07</v>
      </c>
      <c r="N544">
        <v>30060</v>
      </c>
      <c r="O544">
        <v>5670</v>
      </c>
      <c r="P544">
        <v>4170</v>
      </c>
      <c r="Q544">
        <v>41640</v>
      </c>
      <c r="R544">
        <v>41670</v>
      </c>
      <c r="S544">
        <v>36390</v>
      </c>
      <c r="T544">
        <v>100</v>
      </c>
      <c r="U544">
        <v>100</v>
      </c>
      <c r="V544">
        <v>72.95</v>
      </c>
      <c r="W544">
        <v>113.75</v>
      </c>
      <c r="X544">
        <v>88.25</v>
      </c>
      <c r="Y544">
        <v>390</v>
      </c>
      <c r="Z544">
        <v>89.55</v>
      </c>
      <c r="AA544">
        <v>420</v>
      </c>
      <c r="AB544" s="6">
        <v>46147.585613425923</v>
      </c>
      <c r="AC544" s="6">
        <v>46147.585185185184</v>
      </c>
    </row>
    <row r="545" spans="1:29" x14ac:dyDescent="0.25">
      <c r="A545" t="s">
        <v>8</v>
      </c>
      <c r="B545" s="5">
        <v>46168</v>
      </c>
      <c r="C545" t="s">
        <v>54</v>
      </c>
      <c r="D545" t="s">
        <v>601</v>
      </c>
      <c r="E545">
        <v>17319682</v>
      </c>
      <c r="F545" t="s">
        <v>56</v>
      </c>
      <c r="G545" t="s">
        <v>57</v>
      </c>
      <c r="H545">
        <v>58800</v>
      </c>
      <c r="I545" t="s">
        <v>60</v>
      </c>
      <c r="J545">
        <v>4027.15</v>
      </c>
      <c r="K545">
        <v>0</v>
      </c>
      <c r="L545">
        <v>60</v>
      </c>
      <c r="M545">
        <v>0</v>
      </c>
      <c r="N545">
        <v>0</v>
      </c>
      <c r="O545">
        <v>5550</v>
      </c>
      <c r="P545">
        <v>5490</v>
      </c>
      <c r="Q545">
        <v>120</v>
      </c>
      <c r="R545">
        <v>120</v>
      </c>
      <c r="S545">
        <v>120</v>
      </c>
      <c r="T545">
        <v>0</v>
      </c>
      <c r="U545">
        <v>0</v>
      </c>
      <c r="V545">
        <v>0</v>
      </c>
      <c r="W545">
        <v>4027.15</v>
      </c>
      <c r="X545">
        <v>3709.4</v>
      </c>
      <c r="Y545">
        <v>1200</v>
      </c>
      <c r="Z545">
        <v>3984.45</v>
      </c>
      <c r="AA545">
        <v>60</v>
      </c>
      <c r="AB545" s="6">
        <v>46147.586469907408</v>
      </c>
      <c r="AC545" s="6">
        <v>46142.39744212963</v>
      </c>
    </row>
    <row r="546" spans="1:29" x14ac:dyDescent="0.25">
      <c r="A546" t="s">
        <v>8</v>
      </c>
      <c r="B546" s="5">
        <v>46168</v>
      </c>
      <c r="C546" t="s">
        <v>54</v>
      </c>
      <c r="D546" t="s">
        <v>602</v>
      </c>
      <c r="E546">
        <v>17319938</v>
      </c>
      <c r="F546" t="s">
        <v>56</v>
      </c>
      <c r="G546" t="s">
        <v>57</v>
      </c>
      <c r="H546">
        <v>58900</v>
      </c>
      <c r="I546" t="s">
        <v>58</v>
      </c>
      <c r="J546">
        <v>82.3</v>
      </c>
      <c r="K546">
        <v>-22.68670737435416</v>
      </c>
      <c r="L546">
        <v>30</v>
      </c>
      <c r="M546">
        <v>79.78</v>
      </c>
      <c r="N546">
        <v>43350</v>
      </c>
      <c r="O546">
        <v>5370</v>
      </c>
      <c r="P546">
        <v>5190</v>
      </c>
      <c r="Q546">
        <v>34950</v>
      </c>
      <c r="R546">
        <v>34950</v>
      </c>
      <c r="S546">
        <v>24300</v>
      </c>
      <c r="T546">
        <v>91.6</v>
      </c>
      <c r="U546">
        <v>91.65</v>
      </c>
      <c r="V546">
        <v>68.95</v>
      </c>
      <c r="W546">
        <v>106.45</v>
      </c>
      <c r="X546">
        <v>82.6</v>
      </c>
      <c r="Y546">
        <v>480</v>
      </c>
      <c r="Z546">
        <v>84.75</v>
      </c>
      <c r="AA546">
        <v>540</v>
      </c>
      <c r="AB546" s="6">
        <v>46147.586527777778</v>
      </c>
      <c r="AC546" s="6">
        <v>46147.586053240739</v>
      </c>
    </row>
    <row r="547" spans="1:29" x14ac:dyDescent="0.25">
      <c r="A547" t="s">
        <v>8</v>
      </c>
      <c r="B547" s="5">
        <v>46168</v>
      </c>
      <c r="C547" t="s">
        <v>54</v>
      </c>
      <c r="D547" t="s">
        <v>603</v>
      </c>
      <c r="E547">
        <v>17320194</v>
      </c>
      <c r="F547" t="s">
        <v>56</v>
      </c>
      <c r="G547" t="s">
        <v>57</v>
      </c>
      <c r="H547">
        <v>58900</v>
      </c>
      <c r="I547" t="s">
        <v>60</v>
      </c>
      <c r="J547">
        <v>3573.9</v>
      </c>
      <c r="K547">
        <v>0</v>
      </c>
      <c r="L547">
        <v>30</v>
      </c>
      <c r="M547">
        <v>0</v>
      </c>
      <c r="N547">
        <v>0</v>
      </c>
      <c r="O547">
        <v>4170</v>
      </c>
      <c r="P547">
        <v>4380</v>
      </c>
      <c r="Q547">
        <v>60</v>
      </c>
      <c r="R547">
        <v>60</v>
      </c>
      <c r="S547">
        <v>60</v>
      </c>
      <c r="T547">
        <v>0</v>
      </c>
      <c r="U547">
        <v>0</v>
      </c>
      <c r="V547">
        <v>0</v>
      </c>
      <c r="W547">
        <v>3573.9</v>
      </c>
      <c r="X547">
        <v>3808.6</v>
      </c>
      <c r="Y547">
        <v>300</v>
      </c>
      <c r="Z547">
        <v>4036.55</v>
      </c>
      <c r="AA547">
        <v>30</v>
      </c>
      <c r="AB547" s="6">
        <v>46147.586469907408</v>
      </c>
      <c r="AC547" s="6">
        <v>46146.528773148151</v>
      </c>
    </row>
    <row r="548" spans="1:29" x14ac:dyDescent="0.25">
      <c r="A548" t="s">
        <v>8</v>
      </c>
      <c r="B548" s="5">
        <v>46168</v>
      </c>
      <c r="C548" t="s">
        <v>54</v>
      </c>
      <c r="D548" t="s">
        <v>604</v>
      </c>
      <c r="E548">
        <v>17320962</v>
      </c>
      <c r="F548" t="s">
        <v>56</v>
      </c>
      <c r="G548" t="s">
        <v>57</v>
      </c>
      <c r="H548">
        <v>59000</v>
      </c>
      <c r="I548" t="s">
        <v>58</v>
      </c>
      <c r="J548">
        <v>78</v>
      </c>
      <c r="K548">
        <v>-21.052631578947363</v>
      </c>
      <c r="L548">
        <v>30</v>
      </c>
      <c r="M548">
        <v>72.510000000000005</v>
      </c>
      <c r="N548">
        <v>767970</v>
      </c>
      <c r="O548">
        <v>18810</v>
      </c>
      <c r="P548">
        <v>20670</v>
      </c>
      <c r="Q548">
        <v>609150</v>
      </c>
      <c r="R548">
        <v>617520</v>
      </c>
      <c r="S548">
        <v>595320</v>
      </c>
      <c r="T548">
        <v>95.95</v>
      </c>
      <c r="U548">
        <v>95.95</v>
      </c>
      <c r="V548">
        <v>64.150000000000006</v>
      </c>
      <c r="W548">
        <v>98.8</v>
      </c>
      <c r="X548">
        <v>76.55</v>
      </c>
      <c r="Y548">
        <v>30</v>
      </c>
      <c r="Z548">
        <v>76.849999999999994</v>
      </c>
      <c r="AA548">
        <v>30</v>
      </c>
      <c r="AB548" s="6">
        <v>46147.586516203701</v>
      </c>
      <c r="AC548" s="6">
        <v>46147.586053240739</v>
      </c>
    </row>
    <row r="549" spans="1:29" x14ac:dyDescent="0.25">
      <c r="A549" t="s">
        <v>8</v>
      </c>
      <c r="B549" s="5">
        <v>46168</v>
      </c>
      <c r="C549" t="s">
        <v>54</v>
      </c>
      <c r="D549" t="s">
        <v>605</v>
      </c>
      <c r="E549">
        <v>17321218</v>
      </c>
      <c r="F549" t="s">
        <v>56</v>
      </c>
      <c r="G549" t="s">
        <v>57</v>
      </c>
      <c r="H549">
        <v>59000</v>
      </c>
      <c r="I549" t="s">
        <v>60</v>
      </c>
      <c r="J549">
        <v>4035.2</v>
      </c>
      <c r="K549">
        <v>4.1933484817186439</v>
      </c>
      <c r="L549">
        <v>30</v>
      </c>
      <c r="M549">
        <v>4124.2</v>
      </c>
      <c r="N549">
        <v>2670</v>
      </c>
      <c r="O549">
        <v>6000</v>
      </c>
      <c r="P549">
        <v>4170</v>
      </c>
      <c r="Q549">
        <v>133050</v>
      </c>
      <c r="R549">
        <v>133470</v>
      </c>
      <c r="S549">
        <v>133050</v>
      </c>
      <c r="T549">
        <v>4166.8</v>
      </c>
      <c r="U549">
        <v>4561.05</v>
      </c>
      <c r="V549">
        <v>3903.85</v>
      </c>
      <c r="W549">
        <v>3872.8</v>
      </c>
      <c r="X549">
        <v>4010.05</v>
      </c>
      <c r="Y549">
        <v>60</v>
      </c>
      <c r="Z549">
        <v>4042.85</v>
      </c>
      <c r="AA549">
        <v>30</v>
      </c>
      <c r="AB549" s="6">
        <v>46147.586504629631</v>
      </c>
      <c r="AC549" s="6">
        <v>46147.581400462965</v>
      </c>
    </row>
    <row r="550" spans="1:29" x14ac:dyDescent="0.25">
      <c r="A550" t="s">
        <v>8</v>
      </c>
      <c r="B550" s="5">
        <v>46168</v>
      </c>
      <c r="C550" t="s">
        <v>54</v>
      </c>
      <c r="D550" t="s">
        <v>606</v>
      </c>
      <c r="E550">
        <v>17344514</v>
      </c>
      <c r="F550" t="s">
        <v>56</v>
      </c>
      <c r="G550" t="s">
        <v>57</v>
      </c>
      <c r="H550">
        <v>59100</v>
      </c>
      <c r="I550" t="s">
        <v>58</v>
      </c>
      <c r="J550">
        <v>74</v>
      </c>
      <c r="K550">
        <v>-19.78319783197832</v>
      </c>
      <c r="L550">
        <v>90</v>
      </c>
      <c r="M550">
        <v>69.099999999999994</v>
      </c>
      <c r="N550">
        <v>24150</v>
      </c>
      <c r="O550">
        <v>6540</v>
      </c>
      <c r="P550">
        <v>4140</v>
      </c>
      <c r="Q550">
        <v>26040</v>
      </c>
      <c r="R550">
        <v>26430</v>
      </c>
      <c r="S550">
        <v>19320</v>
      </c>
      <c r="T550">
        <v>90.05</v>
      </c>
      <c r="U550">
        <v>90.05</v>
      </c>
      <c r="V550">
        <v>60.7</v>
      </c>
      <c r="W550">
        <v>92.25</v>
      </c>
      <c r="X550">
        <v>71.05</v>
      </c>
      <c r="Y550">
        <v>360</v>
      </c>
      <c r="Z550">
        <v>72.3</v>
      </c>
      <c r="AA550">
        <v>60</v>
      </c>
      <c r="AB550" s="6">
        <v>46147.586238425924</v>
      </c>
      <c r="AC550" s="6">
        <v>46147.58425925926</v>
      </c>
    </row>
    <row r="551" spans="1:29" x14ac:dyDescent="0.25">
      <c r="A551" t="s">
        <v>8</v>
      </c>
      <c r="B551" s="5">
        <v>46168</v>
      </c>
      <c r="C551" t="s">
        <v>54</v>
      </c>
      <c r="D551" t="s">
        <v>607</v>
      </c>
      <c r="E551">
        <v>17345794</v>
      </c>
      <c r="F551" t="s">
        <v>56</v>
      </c>
      <c r="G551" t="s">
        <v>57</v>
      </c>
      <c r="H551">
        <v>59100</v>
      </c>
      <c r="I551" t="s">
        <v>60</v>
      </c>
      <c r="J551">
        <v>3746.65</v>
      </c>
      <c r="K551">
        <v>0</v>
      </c>
      <c r="L551">
        <v>60</v>
      </c>
      <c r="M551">
        <v>0</v>
      </c>
      <c r="N551">
        <v>0</v>
      </c>
      <c r="O551">
        <v>4560</v>
      </c>
      <c r="P551">
        <v>5280</v>
      </c>
      <c r="Q551">
        <v>390</v>
      </c>
      <c r="R551">
        <v>390</v>
      </c>
      <c r="S551">
        <v>390</v>
      </c>
      <c r="T551">
        <v>0</v>
      </c>
      <c r="U551">
        <v>0</v>
      </c>
      <c r="V551">
        <v>0</v>
      </c>
      <c r="W551">
        <v>3746.65</v>
      </c>
      <c r="X551">
        <v>4088.6</v>
      </c>
      <c r="Y551">
        <v>30</v>
      </c>
      <c r="Z551">
        <v>4453.95</v>
      </c>
      <c r="AA551">
        <v>630</v>
      </c>
      <c r="AB551" s="6">
        <v>46147.586527777778</v>
      </c>
      <c r="AC551" s="6">
        <v>46146.508946759262</v>
      </c>
    </row>
    <row r="552" spans="1:29" x14ac:dyDescent="0.25">
      <c r="A552" t="s">
        <v>8</v>
      </c>
      <c r="B552" s="5">
        <v>46168</v>
      </c>
      <c r="C552" t="s">
        <v>54</v>
      </c>
      <c r="D552" t="s">
        <v>608</v>
      </c>
      <c r="E552">
        <v>17346050</v>
      </c>
      <c r="F552" t="s">
        <v>56</v>
      </c>
      <c r="G552" t="s">
        <v>57</v>
      </c>
      <c r="H552">
        <v>59200</v>
      </c>
      <c r="I552" t="s">
        <v>58</v>
      </c>
      <c r="J552">
        <v>67.5</v>
      </c>
      <c r="K552">
        <v>-21.875000000000004</v>
      </c>
      <c r="L552">
        <v>30</v>
      </c>
      <c r="M552">
        <v>61.94</v>
      </c>
      <c r="N552">
        <v>98430</v>
      </c>
      <c r="O552">
        <v>6450</v>
      </c>
      <c r="P552">
        <v>3510</v>
      </c>
      <c r="Q552">
        <v>39720</v>
      </c>
      <c r="R552">
        <v>49500</v>
      </c>
      <c r="S552">
        <v>34200</v>
      </c>
      <c r="T552">
        <v>60.05</v>
      </c>
      <c r="U552">
        <v>73.25</v>
      </c>
      <c r="V552">
        <v>56.85</v>
      </c>
      <c r="W552">
        <v>86.4</v>
      </c>
      <c r="X552">
        <v>65.8</v>
      </c>
      <c r="Y552">
        <v>120</v>
      </c>
      <c r="Z552">
        <v>67.099999999999994</v>
      </c>
      <c r="AA552">
        <v>60</v>
      </c>
      <c r="AB552" s="6">
        <v>46147.586458333331</v>
      </c>
      <c r="AC552" s="6">
        <v>46147.585717592592</v>
      </c>
    </row>
    <row r="553" spans="1:29" x14ac:dyDescent="0.25">
      <c r="A553" t="s">
        <v>8</v>
      </c>
      <c r="B553" s="5">
        <v>46168</v>
      </c>
      <c r="C553" t="s">
        <v>54</v>
      </c>
      <c r="D553" t="s">
        <v>609</v>
      </c>
      <c r="E553">
        <v>17346306</v>
      </c>
      <c r="F553" t="s">
        <v>56</v>
      </c>
      <c r="G553" t="s">
        <v>57</v>
      </c>
      <c r="H553">
        <v>59200</v>
      </c>
      <c r="I553" t="s">
        <v>60</v>
      </c>
      <c r="J553">
        <v>3723.05</v>
      </c>
      <c r="K553">
        <v>0</v>
      </c>
      <c r="L553">
        <v>30</v>
      </c>
      <c r="M553">
        <v>0</v>
      </c>
      <c r="N553">
        <v>0</v>
      </c>
      <c r="O553">
        <v>5580</v>
      </c>
      <c r="P553">
        <v>5250</v>
      </c>
      <c r="Q553">
        <v>1260</v>
      </c>
      <c r="R553">
        <v>1260</v>
      </c>
      <c r="S553">
        <v>1260</v>
      </c>
      <c r="T553">
        <v>0</v>
      </c>
      <c r="U553">
        <v>0</v>
      </c>
      <c r="V553">
        <v>0</v>
      </c>
      <c r="W553">
        <v>3723.05</v>
      </c>
      <c r="X553">
        <v>4112.8999999999996</v>
      </c>
      <c r="Y553">
        <v>300</v>
      </c>
      <c r="Z553">
        <v>4505.05</v>
      </c>
      <c r="AA553">
        <v>300</v>
      </c>
      <c r="AB553" s="6">
        <v>46147.586481481485</v>
      </c>
      <c r="AC553" s="6">
        <v>46146.458622685182</v>
      </c>
    </row>
    <row r="554" spans="1:29" x14ac:dyDescent="0.25">
      <c r="A554" t="s">
        <v>8</v>
      </c>
      <c r="B554" s="5">
        <v>46168</v>
      </c>
      <c r="C554" t="s">
        <v>54</v>
      </c>
      <c r="D554" t="s">
        <v>610</v>
      </c>
      <c r="E554">
        <v>17357570</v>
      </c>
      <c r="F554" t="s">
        <v>56</v>
      </c>
      <c r="G554" t="s">
        <v>57</v>
      </c>
      <c r="H554">
        <v>59300</v>
      </c>
      <c r="I554" t="s">
        <v>58</v>
      </c>
      <c r="J554">
        <v>63</v>
      </c>
      <c r="K554">
        <v>-22.270203578038245</v>
      </c>
      <c r="L554">
        <v>30</v>
      </c>
      <c r="M554">
        <v>61.08</v>
      </c>
      <c r="N554">
        <v>28410</v>
      </c>
      <c r="O554">
        <v>5820</v>
      </c>
      <c r="P554">
        <v>3540</v>
      </c>
      <c r="Q554">
        <v>23730</v>
      </c>
      <c r="R554">
        <v>25860</v>
      </c>
      <c r="S554">
        <v>20910</v>
      </c>
      <c r="T554">
        <v>69.849999999999994</v>
      </c>
      <c r="U554">
        <v>69.849999999999994</v>
      </c>
      <c r="V554">
        <v>53.45</v>
      </c>
      <c r="W554">
        <v>81.05</v>
      </c>
      <c r="X554">
        <v>62.05</v>
      </c>
      <c r="Y554">
        <v>30</v>
      </c>
      <c r="Z554">
        <v>63.55</v>
      </c>
      <c r="AA554">
        <v>60</v>
      </c>
      <c r="AB554" s="6">
        <v>46147.586238425924</v>
      </c>
      <c r="AC554" s="6">
        <v>46147.58489583333</v>
      </c>
    </row>
    <row r="555" spans="1:29" x14ac:dyDescent="0.25">
      <c r="A555" t="s">
        <v>8</v>
      </c>
      <c r="B555" s="5">
        <v>46168</v>
      </c>
      <c r="C555" t="s">
        <v>54</v>
      </c>
      <c r="D555" t="s">
        <v>611</v>
      </c>
      <c r="E555">
        <v>17357826</v>
      </c>
      <c r="F555" t="s">
        <v>56</v>
      </c>
      <c r="G555" t="s">
        <v>57</v>
      </c>
      <c r="H555">
        <v>59300</v>
      </c>
      <c r="I555" t="s">
        <v>60</v>
      </c>
      <c r="J555">
        <v>3164.65</v>
      </c>
      <c r="K555">
        <v>0</v>
      </c>
      <c r="L555">
        <v>30</v>
      </c>
      <c r="M555">
        <v>0</v>
      </c>
      <c r="N555">
        <v>0</v>
      </c>
      <c r="O555">
        <v>4170</v>
      </c>
      <c r="P555">
        <v>4080</v>
      </c>
      <c r="Q555">
        <v>1080</v>
      </c>
      <c r="R555">
        <v>1080</v>
      </c>
      <c r="S555">
        <v>1080</v>
      </c>
      <c r="T555">
        <v>0</v>
      </c>
      <c r="U555">
        <v>0</v>
      </c>
      <c r="V555">
        <v>0</v>
      </c>
      <c r="W555">
        <v>3164.65</v>
      </c>
      <c r="X555">
        <v>4207.6000000000004</v>
      </c>
      <c r="Y555">
        <v>540</v>
      </c>
      <c r="Z555">
        <v>4471.1000000000004</v>
      </c>
      <c r="AA555">
        <v>300</v>
      </c>
      <c r="AB555" s="6">
        <v>46147.586481481485</v>
      </c>
      <c r="AC555" s="6">
        <v>46140.463460648149</v>
      </c>
    </row>
    <row r="556" spans="1:29" x14ac:dyDescent="0.25">
      <c r="A556" t="s">
        <v>8</v>
      </c>
      <c r="B556" s="5">
        <v>46168</v>
      </c>
      <c r="C556" t="s">
        <v>54</v>
      </c>
      <c r="D556" t="s">
        <v>612</v>
      </c>
      <c r="E556">
        <v>17358338</v>
      </c>
      <c r="F556" t="s">
        <v>56</v>
      </c>
      <c r="G556" t="s">
        <v>57</v>
      </c>
      <c r="H556">
        <v>59400</v>
      </c>
      <c r="I556" t="s">
        <v>58</v>
      </c>
      <c r="J556">
        <v>59.45</v>
      </c>
      <c r="K556">
        <v>-21.776315789473681</v>
      </c>
      <c r="L556">
        <v>30</v>
      </c>
      <c r="M556">
        <v>54.46</v>
      </c>
      <c r="N556">
        <v>43350</v>
      </c>
      <c r="O556">
        <v>6690</v>
      </c>
      <c r="P556">
        <v>3480</v>
      </c>
      <c r="Q556">
        <v>39630</v>
      </c>
      <c r="R556">
        <v>41220</v>
      </c>
      <c r="S556">
        <v>35400</v>
      </c>
      <c r="T556">
        <v>62.05</v>
      </c>
      <c r="U556">
        <v>64.349999999999994</v>
      </c>
      <c r="V556">
        <v>50.05</v>
      </c>
      <c r="W556">
        <v>76</v>
      </c>
      <c r="X556">
        <v>57.4</v>
      </c>
      <c r="Y556">
        <v>150</v>
      </c>
      <c r="Z556">
        <v>59.2</v>
      </c>
      <c r="AA556">
        <v>240</v>
      </c>
      <c r="AB556" s="6">
        <v>46147.586145833331</v>
      </c>
      <c r="AC556" s="6">
        <v>46147.585486111115</v>
      </c>
    </row>
    <row r="557" spans="1:29" x14ac:dyDescent="0.25">
      <c r="A557" t="s">
        <v>8</v>
      </c>
      <c r="B557" s="5">
        <v>46168</v>
      </c>
      <c r="C557" t="s">
        <v>54</v>
      </c>
      <c r="D557" t="s">
        <v>613</v>
      </c>
      <c r="E557">
        <v>17358594</v>
      </c>
      <c r="F557" t="s">
        <v>56</v>
      </c>
      <c r="G557" t="s">
        <v>57</v>
      </c>
      <c r="H557">
        <v>59400</v>
      </c>
      <c r="I557" t="s">
        <v>60</v>
      </c>
      <c r="J557">
        <v>4259.75</v>
      </c>
      <c r="K557">
        <v>0</v>
      </c>
      <c r="L557">
        <v>30</v>
      </c>
      <c r="M557">
        <v>0</v>
      </c>
      <c r="N557">
        <v>0</v>
      </c>
      <c r="O557">
        <v>4380</v>
      </c>
      <c r="P557">
        <v>4530</v>
      </c>
      <c r="Q557">
        <v>330</v>
      </c>
      <c r="R557">
        <v>330</v>
      </c>
      <c r="S557">
        <v>330</v>
      </c>
      <c r="T557">
        <v>0</v>
      </c>
      <c r="U557">
        <v>0</v>
      </c>
      <c r="V557">
        <v>0</v>
      </c>
      <c r="W557">
        <v>4259.75</v>
      </c>
      <c r="X557">
        <v>4305.5</v>
      </c>
      <c r="Y557">
        <v>600</v>
      </c>
      <c r="Z557">
        <v>4568.6499999999996</v>
      </c>
      <c r="AA557">
        <v>60</v>
      </c>
      <c r="AB557" s="6">
        <v>46147.586481481485</v>
      </c>
      <c r="AC557" s="6">
        <v>46146.630324074074</v>
      </c>
    </row>
    <row r="558" spans="1:29" x14ac:dyDescent="0.25">
      <c r="A558" t="s">
        <v>8</v>
      </c>
      <c r="B558" s="5">
        <v>46168</v>
      </c>
      <c r="C558" t="s">
        <v>54</v>
      </c>
      <c r="D558" t="s">
        <v>614</v>
      </c>
      <c r="E558">
        <v>17358850</v>
      </c>
      <c r="F558" t="s">
        <v>56</v>
      </c>
      <c r="G558" t="s">
        <v>57</v>
      </c>
      <c r="H558">
        <v>59500</v>
      </c>
      <c r="I558" t="s">
        <v>58</v>
      </c>
      <c r="J558">
        <v>55</v>
      </c>
      <c r="K558">
        <v>-22.04110559886605</v>
      </c>
      <c r="L558">
        <v>30</v>
      </c>
      <c r="M558">
        <v>52.46</v>
      </c>
      <c r="N558">
        <v>387120</v>
      </c>
      <c r="O558">
        <v>32730</v>
      </c>
      <c r="P558">
        <v>6780</v>
      </c>
      <c r="Q558">
        <v>228870</v>
      </c>
      <c r="R558">
        <v>230430</v>
      </c>
      <c r="S558">
        <v>207360</v>
      </c>
      <c r="T558">
        <v>59.95</v>
      </c>
      <c r="U558">
        <v>61.3</v>
      </c>
      <c r="V558">
        <v>46.95</v>
      </c>
      <c r="W558">
        <v>70.55</v>
      </c>
      <c r="X558">
        <v>54.6</v>
      </c>
      <c r="Y558">
        <v>30</v>
      </c>
      <c r="Z558">
        <v>55.1</v>
      </c>
      <c r="AA558">
        <v>30</v>
      </c>
      <c r="AB558" s="6">
        <v>46147.586458333331</v>
      </c>
      <c r="AC558" s="6">
        <v>46147.585462962961</v>
      </c>
    </row>
    <row r="559" spans="1:29" x14ac:dyDescent="0.25">
      <c r="A559" t="s">
        <v>8</v>
      </c>
      <c r="B559" s="5">
        <v>46168</v>
      </c>
      <c r="C559" t="s">
        <v>54</v>
      </c>
      <c r="D559" t="s">
        <v>615</v>
      </c>
      <c r="E559">
        <v>17359106</v>
      </c>
      <c r="F559" t="s">
        <v>56</v>
      </c>
      <c r="G559" t="s">
        <v>57</v>
      </c>
      <c r="H559">
        <v>59500</v>
      </c>
      <c r="I559" t="s">
        <v>60</v>
      </c>
      <c r="J559">
        <v>5037</v>
      </c>
      <c r="K559">
        <v>15</v>
      </c>
      <c r="L559">
        <v>120</v>
      </c>
      <c r="M559">
        <v>4897.55</v>
      </c>
      <c r="N559">
        <v>270</v>
      </c>
      <c r="O559">
        <v>5310</v>
      </c>
      <c r="P559">
        <v>5580</v>
      </c>
      <c r="Q559">
        <v>14430</v>
      </c>
      <c r="R559">
        <v>14430</v>
      </c>
      <c r="S559">
        <v>14430</v>
      </c>
      <c r="T559">
        <v>4786</v>
      </c>
      <c r="U559">
        <v>5037</v>
      </c>
      <c r="V559">
        <v>4786</v>
      </c>
      <c r="W559">
        <v>4380</v>
      </c>
      <c r="X559">
        <v>4435.6000000000004</v>
      </c>
      <c r="Y559">
        <v>480</v>
      </c>
      <c r="Z559">
        <v>4555</v>
      </c>
      <c r="AA559">
        <v>60</v>
      </c>
      <c r="AB559" s="6">
        <v>46147.586504629631</v>
      </c>
      <c r="AC559" s="6">
        <v>46147.502349537041</v>
      </c>
    </row>
    <row r="560" spans="1:29" x14ac:dyDescent="0.25">
      <c r="A560" t="s">
        <v>8</v>
      </c>
      <c r="B560" s="5">
        <v>46168</v>
      </c>
      <c r="C560" t="s">
        <v>54</v>
      </c>
      <c r="D560" t="s">
        <v>616</v>
      </c>
      <c r="E560">
        <v>17359362</v>
      </c>
      <c r="F560" t="s">
        <v>56</v>
      </c>
      <c r="G560" t="s">
        <v>57</v>
      </c>
      <c r="H560">
        <v>59600</v>
      </c>
      <c r="I560" t="s">
        <v>58</v>
      </c>
      <c r="J560">
        <v>51.7</v>
      </c>
      <c r="K560">
        <v>-21.90332326283988</v>
      </c>
      <c r="L560">
        <v>30</v>
      </c>
      <c r="M560">
        <v>48.86</v>
      </c>
      <c r="N560">
        <v>33270</v>
      </c>
      <c r="O560">
        <v>13380</v>
      </c>
      <c r="P560">
        <v>3570</v>
      </c>
      <c r="Q560">
        <v>45330</v>
      </c>
      <c r="R560">
        <v>51900</v>
      </c>
      <c r="S560">
        <v>44670</v>
      </c>
      <c r="T560">
        <v>54.55</v>
      </c>
      <c r="U560">
        <v>57.35</v>
      </c>
      <c r="V560">
        <v>44.7</v>
      </c>
      <c r="W560">
        <v>66.2</v>
      </c>
      <c r="X560">
        <v>50.65</v>
      </c>
      <c r="Y560">
        <v>30</v>
      </c>
      <c r="Z560">
        <v>51.85</v>
      </c>
      <c r="AA560">
        <v>120</v>
      </c>
      <c r="AB560" s="6">
        <v>46147.586493055554</v>
      </c>
      <c r="AC560" s="6">
        <v>46147.585833333331</v>
      </c>
    </row>
    <row r="561" spans="1:29" x14ac:dyDescent="0.25">
      <c r="A561" t="s">
        <v>8</v>
      </c>
      <c r="B561" s="5">
        <v>46168</v>
      </c>
      <c r="C561" t="s">
        <v>54</v>
      </c>
      <c r="D561" t="s">
        <v>617</v>
      </c>
      <c r="E561">
        <v>17359874</v>
      </c>
      <c r="F561" t="s">
        <v>56</v>
      </c>
      <c r="G561" t="s">
        <v>57</v>
      </c>
      <c r="H561">
        <v>59600</v>
      </c>
      <c r="I561" t="s">
        <v>60</v>
      </c>
      <c r="J561">
        <v>3627.55</v>
      </c>
      <c r="K561">
        <v>0</v>
      </c>
      <c r="L561">
        <v>30</v>
      </c>
      <c r="M561">
        <v>0</v>
      </c>
      <c r="N561">
        <v>0</v>
      </c>
      <c r="O561">
        <v>5460</v>
      </c>
      <c r="P561">
        <v>5130</v>
      </c>
      <c r="Q561">
        <v>780</v>
      </c>
      <c r="R561">
        <v>780</v>
      </c>
      <c r="S561">
        <v>780</v>
      </c>
      <c r="T561">
        <v>0</v>
      </c>
      <c r="U561">
        <v>0</v>
      </c>
      <c r="V561">
        <v>0</v>
      </c>
      <c r="W561">
        <v>3627.55</v>
      </c>
      <c r="X561">
        <v>4520.8500000000004</v>
      </c>
      <c r="Y561">
        <v>300</v>
      </c>
      <c r="Z561">
        <v>4743.8</v>
      </c>
      <c r="AA561">
        <v>900</v>
      </c>
      <c r="AB561" s="6">
        <v>46147.586493055554</v>
      </c>
      <c r="AC561" s="6">
        <v>46136.572013888886</v>
      </c>
    </row>
    <row r="562" spans="1:29" x14ac:dyDescent="0.25">
      <c r="A562" t="s">
        <v>8</v>
      </c>
      <c r="B562" s="5">
        <v>46168</v>
      </c>
      <c r="C562" t="s">
        <v>54</v>
      </c>
      <c r="D562" t="s">
        <v>618</v>
      </c>
      <c r="E562">
        <v>17360130</v>
      </c>
      <c r="F562" t="s">
        <v>56</v>
      </c>
      <c r="G562" t="s">
        <v>57</v>
      </c>
      <c r="H562">
        <v>59700</v>
      </c>
      <c r="I562" t="s">
        <v>58</v>
      </c>
      <c r="J562">
        <v>48.85</v>
      </c>
      <c r="K562">
        <v>-20.698051948051948</v>
      </c>
      <c r="L562">
        <v>120</v>
      </c>
      <c r="M562">
        <v>46.73</v>
      </c>
      <c r="N562">
        <v>23340</v>
      </c>
      <c r="O562">
        <v>12240</v>
      </c>
      <c r="P562">
        <v>2430</v>
      </c>
      <c r="Q562">
        <v>20160</v>
      </c>
      <c r="R562">
        <v>23010</v>
      </c>
      <c r="S562">
        <v>19770</v>
      </c>
      <c r="T562">
        <v>50.6</v>
      </c>
      <c r="U562">
        <v>53.75</v>
      </c>
      <c r="V562">
        <v>41.2</v>
      </c>
      <c r="W562">
        <v>61.6</v>
      </c>
      <c r="X562">
        <v>47.35</v>
      </c>
      <c r="Y562">
        <v>60</v>
      </c>
      <c r="Z562">
        <v>49</v>
      </c>
      <c r="AA562">
        <v>150</v>
      </c>
      <c r="AB562" s="6">
        <v>46147.586238425924</v>
      </c>
      <c r="AC562" s="6">
        <v>46147.583495370367</v>
      </c>
    </row>
    <row r="563" spans="1:29" x14ac:dyDescent="0.25">
      <c r="A563" t="s">
        <v>8</v>
      </c>
      <c r="B563" s="5">
        <v>46168</v>
      </c>
      <c r="C563" t="s">
        <v>54</v>
      </c>
      <c r="D563" t="s">
        <v>619</v>
      </c>
      <c r="E563">
        <v>17360386</v>
      </c>
      <c r="F563" t="s">
        <v>56</v>
      </c>
      <c r="G563" t="s">
        <v>57</v>
      </c>
      <c r="H563">
        <v>59700</v>
      </c>
      <c r="I563" t="s">
        <v>60</v>
      </c>
      <c r="J563">
        <v>3620</v>
      </c>
      <c r="K563">
        <v>0</v>
      </c>
      <c r="L563">
        <v>30</v>
      </c>
      <c r="M563">
        <v>0</v>
      </c>
      <c r="N563">
        <v>0</v>
      </c>
      <c r="O563">
        <v>4530</v>
      </c>
      <c r="P563">
        <v>4890</v>
      </c>
      <c r="Q563">
        <v>810</v>
      </c>
      <c r="R563">
        <v>810</v>
      </c>
      <c r="S563">
        <v>810</v>
      </c>
      <c r="T563">
        <v>0</v>
      </c>
      <c r="U563">
        <v>0</v>
      </c>
      <c r="V563">
        <v>0</v>
      </c>
      <c r="W563">
        <v>3620</v>
      </c>
      <c r="X563">
        <v>4644.6000000000004</v>
      </c>
      <c r="Y563">
        <v>330</v>
      </c>
      <c r="Z563">
        <v>4862.05</v>
      </c>
      <c r="AA563">
        <v>300</v>
      </c>
      <c r="AB563" s="6">
        <v>46147.586493055554</v>
      </c>
      <c r="AC563" s="6">
        <v>46141.443796296298</v>
      </c>
    </row>
    <row r="564" spans="1:29" x14ac:dyDescent="0.25">
      <c r="A564" t="s">
        <v>8</v>
      </c>
      <c r="B564" s="5">
        <v>46168</v>
      </c>
      <c r="C564" t="s">
        <v>54</v>
      </c>
      <c r="D564" t="s">
        <v>620</v>
      </c>
      <c r="E564">
        <v>17405186</v>
      </c>
      <c r="F564" t="s">
        <v>56</v>
      </c>
      <c r="G564" t="s">
        <v>57</v>
      </c>
      <c r="H564">
        <v>59800</v>
      </c>
      <c r="I564" t="s">
        <v>58</v>
      </c>
      <c r="J564">
        <v>44.55</v>
      </c>
      <c r="K564">
        <v>-21.566901408450704</v>
      </c>
      <c r="L564">
        <v>60</v>
      </c>
      <c r="M564">
        <v>45.51</v>
      </c>
      <c r="N564">
        <v>14130</v>
      </c>
      <c r="O564">
        <v>14400</v>
      </c>
      <c r="P564">
        <v>2460</v>
      </c>
      <c r="Q564">
        <v>25350</v>
      </c>
      <c r="R564">
        <v>25740</v>
      </c>
      <c r="S564">
        <v>23640</v>
      </c>
      <c r="T564">
        <v>48.05</v>
      </c>
      <c r="U564">
        <v>51.65</v>
      </c>
      <c r="V564">
        <v>39.85</v>
      </c>
      <c r="W564">
        <v>56.8</v>
      </c>
      <c r="X564">
        <v>44.55</v>
      </c>
      <c r="Y564">
        <v>60</v>
      </c>
      <c r="Z564">
        <v>45.65</v>
      </c>
      <c r="AA564">
        <v>60</v>
      </c>
      <c r="AB564" s="6">
        <v>46147.586481481485</v>
      </c>
      <c r="AC564" s="6">
        <v>46147.581111111111</v>
      </c>
    </row>
    <row r="565" spans="1:29" x14ac:dyDescent="0.25">
      <c r="A565" t="s">
        <v>8</v>
      </c>
      <c r="B565" s="5">
        <v>46168</v>
      </c>
      <c r="C565" t="s">
        <v>54</v>
      </c>
      <c r="D565" t="s">
        <v>621</v>
      </c>
      <c r="E565">
        <v>17405698</v>
      </c>
      <c r="F565" t="s">
        <v>56</v>
      </c>
      <c r="G565" t="s">
        <v>57</v>
      </c>
      <c r="H565">
        <v>59800</v>
      </c>
      <c r="I565" t="s">
        <v>60</v>
      </c>
      <c r="J565">
        <v>3280</v>
      </c>
      <c r="K565">
        <v>0</v>
      </c>
      <c r="L565">
        <v>60</v>
      </c>
      <c r="M565">
        <v>0</v>
      </c>
      <c r="N565">
        <v>0</v>
      </c>
      <c r="O565">
        <v>5280</v>
      </c>
      <c r="P565">
        <v>5190</v>
      </c>
      <c r="Q565">
        <v>1050</v>
      </c>
      <c r="R565">
        <v>1050</v>
      </c>
      <c r="S565">
        <v>1050</v>
      </c>
      <c r="T565">
        <v>0</v>
      </c>
      <c r="U565">
        <v>0</v>
      </c>
      <c r="V565">
        <v>0</v>
      </c>
      <c r="W565">
        <v>3280</v>
      </c>
      <c r="X565">
        <v>4687.1499999999996</v>
      </c>
      <c r="Y565">
        <v>300</v>
      </c>
      <c r="Z565">
        <v>5113.8999999999996</v>
      </c>
      <c r="AA565">
        <v>300</v>
      </c>
      <c r="AB565" s="6">
        <v>46147.586493055554</v>
      </c>
      <c r="AC565" s="6">
        <v>46139.602708333332</v>
      </c>
    </row>
    <row r="566" spans="1:29" x14ac:dyDescent="0.25">
      <c r="A566" t="s">
        <v>8</v>
      </c>
      <c r="B566" s="5">
        <v>46168</v>
      </c>
      <c r="C566" t="s">
        <v>54</v>
      </c>
      <c r="D566" t="s">
        <v>622</v>
      </c>
      <c r="E566">
        <v>17405954</v>
      </c>
      <c r="F566" t="s">
        <v>56</v>
      </c>
      <c r="G566" t="s">
        <v>57</v>
      </c>
      <c r="H566">
        <v>59900</v>
      </c>
      <c r="I566" t="s">
        <v>58</v>
      </c>
      <c r="J566">
        <v>42.5</v>
      </c>
      <c r="K566">
        <v>-20.856610800744882</v>
      </c>
      <c r="L566">
        <v>30</v>
      </c>
      <c r="M566">
        <v>41.11</v>
      </c>
      <c r="N566">
        <v>13560</v>
      </c>
      <c r="O566">
        <v>16140</v>
      </c>
      <c r="P566">
        <v>3000</v>
      </c>
      <c r="Q566">
        <v>23640</v>
      </c>
      <c r="R566">
        <v>24870</v>
      </c>
      <c r="S566">
        <v>23160</v>
      </c>
      <c r="T566">
        <v>53</v>
      </c>
      <c r="U566">
        <v>53.8</v>
      </c>
      <c r="V566">
        <v>36.65</v>
      </c>
      <c r="W566">
        <v>53.7</v>
      </c>
      <c r="X566">
        <v>41.85</v>
      </c>
      <c r="Y566">
        <v>30</v>
      </c>
      <c r="Z566">
        <v>42.5</v>
      </c>
      <c r="AA566">
        <v>30</v>
      </c>
      <c r="AB566" s="6">
        <v>46147.586458333331</v>
      </c>
      <c r="AC566" s="6">
        <v>46147.583541666667</v>
      </c>
    </row>
    <row r="567" spans="1:29" x14ac:dyDescent="0.25">
      <c r="A567" t="s">
        <v>8</v>
      </c>
      <c r="B567" s="5">
        <v>46168</v>
      </c>
      <c r="C567" t="s">
        <v>54</v>
      </c>
      <c r="D567" t="s">
        <v>623</v>
      </c>
      <c r="E567">
        <v>17406722</v>
      </c>
      <c r="F567" t="s">
        <v>56</v>
      </c>
      <c r="G567" t="s">
        <v>57</v>
      </c>
      <c r="H567">
        <v>59900</v>
      </c>
      <c r="I567" t="s">
        <v>60</v>
      </c>
      <c r="J567">
        <v>3649.85</v>
      </c>
      <c r="K567">
        <v>0</v>
      </c>
      <c r="L567">
        <v>150</v>
      </c>
      <c r="M567">
        <v>0</v>
      </c>
      <c r="N567">
        <v>0</v>
      </c>
      <c r="O567">
        <v>5340</v>
      </c>
      <c r="P567">
        <v>5430</v>
      </c>
      <c r="Q567">
        <v>630</v>
      </c>
      <c r="R567">
        <v>630</v>
      </c>
      <c r="S567">
        <v>630</v>
      </c>
      <c r="T567">
        <v>0</v>
      </c>
      <c r="U567">
        <v>0</v>
      </c>
      <c r="V567">
        <v>0</v>
      </c>
      <c r="W567">
        <v>3649.85</v>
      </c>
      <c r="X567">
        <v>4784.8</v>
      </c>
      <c r="Y567">
        <v>300</v>
      </c>
      <c r="Z567">
        <v>5044.3500000000004</v>
      </c>
      <c r="AA567">
        <v>60</v>
      </c>
      <c r="AB567" s="6">
        <v>46147.586493055554</v>
      </c>
      <c r="AC567" s="6">
        <v>46140.448599537034</v>
      </c>
    </row>
    <row r="568" spans="1:29" x14ac:dyDescent="0.25">
      <c r="A568" t="s">
        <v>8</v>
      </c>
      <c r="B568" s="5">
        <v>46168</v>
      </c>
      <c r="C568" t="s">
        <v>54</v>
      </c>
      <c r="D568" t="s">
        <v>624</v>
      </c>
      <c r="E568">
        <v>17406978</v>
      </c>
      <c r="F568" t="s">
        <v>56</v>
      </c>
      <c r="G568" t="s">
        <v>57</v>
      </c>
      <c r="H568">
        <v>60000</v>
      </c>
      <c r="I568" t="s">
        <v>58</v>
      </c>
      <c r="J568">
        <v>39.6</v>
      </c>
      <c r="K568">
        <v>-21.272365805168977</v>
      </c>
      <c r="L568">
        <v>120</v>
      </c>
      <c r="M568">
        <v>38.53</v>
      </c>
      <c r="N568">
        <v>1221060</v>
      </c>
      <c r="O568">
        <v>324540</v>
      </c>
      <c r="P568">
        <v>172080</v>
      </c>
      <c r="Q568">
        <v>2208810</v>
      </c>
      <c r="R568">
        <v>2224500</v>
      </c>
      <c r="S568">
        <v>2077410</v>
      </c>
      <c r="T568">
        <v>44.1</v>
      </c>
      <c r="U568">
        <v>44.15</v>
      </c>
      <c r="V568">
        <v>34.5</v>
      </c>
      <c r="W568">
        <v>50.3</v>
      </c>
      <c r="X568">
        <v>39.15</v>
      </c>
      <c r="Y568">
        <v>60</v>
      </c>
      <c r="Z568">
        <v>39.299999999999997</v>
      </c>
      <c r="AA568">
        <v>90</v>
      </c>
      <c r="AB568" s="6">
        <v>46147.586493055554</v>
      </c>
      <c r="AC568" s="6">
        <v>46147.586122685185</v>
      </c>
    </row>
    <row r="569" spans="1:29" x14ac:dyDescent="0.25">
      <c r="A569" t="s">
        <v>8</v>
      </c>
      <c r="B569" s="5">
        <v>46168</v>
      </c>
      <c r="C569" t="s">
        <v>54</v>
      </c>
      <c r="D569" t="s">
        <v>625</v>
      </c>
      <c r="E569">
        <v>17407746</v>
      </c>
      <c r="F569" t="s">
        <v>56</v>
      </c>
      <c r="G569" t="s">
        <v>57</v>
      </c>
      <c r="H569">
        <v>60000</v>
      </c>
      <c r="I569" t="s">
        <v>60</v>
      </c>
      <c r="J569">
        <v>4965</v>
      </c>
      <c r="K569">
        <v>3.1752628735297823</v>
      </c>
      <c r="L569">
        <v>60</v>
      </c>
      <c r="M569">
        <v>5099.9399999999996</v>
      </c>
      <c r="N569">
        <v>59520</v>
      </c>
      <c r="O569">
        <v>159690</v>
      </c>
      <c r="P569">
        <v>116070</v>
      </c>
      <c r="Q569">
        <v>1069170</v>
      </c>
      <c r="R569">
        <v>1092420</v>
      </c>
      <c r="S569">
        <v>1069170</v>
      </c>
      <c r="T569">
        <v>5200</v>
      </c>
      <c r="U569">
        <v>5519</v>
      </c>
      <c r="V569">
        <v>4885</v>
      </c>
      <c r="W569">
        <v>4812.2</v>
      </c>
      <c r="X569">
        <v>4975.1499999999996</v>
      </c>
      <c r="Y569">
        <v>30</v>
      </c>
      <c r="Z569">
        <v>4993.95</v>
      </c>
      <c r="AA569">
        <v>30</v>
      </c>
      <c r="AB569" s="6">
        <v>46147.586527777778</v>
      </c>
      <c r="AC569" s="6">
        <v>46147.582280092596</v>
      </c>
    </row>
    <row r="570" spans="1:29" x14ac:dyDescent="0.25">
      <c r="A570" t="s">
        <v>8</v>
      </c>
      <c r="B570" s="5">
        <v>46168</v>
      </c>
      <c r="C570" t="s">
        <v>54</v>
      </c>
      <c r="D570" t="s">
        <v>626</v>
      </c>
      <c r="E570">
        <v>17408002</v>
      </c>
      <c r="F570" t="s">
        <v>56</v>
      </c>
      <c r="G570" t="s">
        <v>57</v>
      </c>
      <c r="H570">
        <v>60100</v>
      </c>
      <c r="I570" t="s">
        <v>58</v>
      </c>
      <c r="J570">
        <v>37.950000000000003</v>
      </c>
      <c r="K570">
        <v>-20.52356020942408</v>
      </c>
      <c r="L570">
        <v>30</v>
      </c>
      <c r="M570">
        <v>36.31</v>
      </c>
      <c r="N570">
        <v>43740</v>
      </c>
      <c r="O570">
        <v>71130</v>
      </c>
      <c r="P570">
        <v>2910</v>
      </c>
      <c r="Q570">
        <v>52110</v>
      </c>
      <c r="R570">
        <v>54720</v>
      </c>
      <c r="S570">
        <v>52050</v>
      </c>
      <c r="T570">
        <v>50</v>
      </c>
      <c r="U570">
        <v>57.5</v>
      </c>
      <c r="V570">
        <v>33.5</v>
      </c>
      <c r="W570">
        <v>47.75</v>
      </c>
      <c r="X570">
        <v>37.200000000000003</v>
      </c>
      <c r="Y570">
        <v>150</v>
      </c>
      <c r="Z570">
        <v>37.9</v>
      </c>
      <c r="AA570">
        <v>60</v>
      </c>
      <c r="AB570" s="6">
        <v>46147.58625</v>
      </c>
      <c r="AC570" s="6">
        <v>46147.585393518515</v>
      </c>
    </row>
    <row r="571" spans="1:29" x14ac:dyDescent="0.25">
      <c r="A571" t="s">
        <v>8</v>
      </c>
      <c r="B571" s="5">
        <v>46168</v>
      </c>
      <c r="C571" t="s">
        <v>54</v>
      </c>
      <c r="D571" t="s">
        <v>627</v>
      </c>
      <c r="E571">
        <v>17408770</v>
      </c>
      <c r="F571" t="s">
        <v>56</v>
      </c>
      <c r="G571" t="s">
        <v>57</v>
      </c>
      <c r="H571">
        <v>60100</v>
      </c>
      <c r="I571" t="s">
        <v>60</v>
      </c>
      <c r="J571">
        <v>4892.5</v>
      </c>
      <c r="K571">
        <v>0</v>
      </c>
      <c r="L571">
        <v>30</v>
      </c>
      <c r="M571">
        <v>0</v>
      </c>
      <c r="N571">
        <v>0</v>
      </c>
      <c r="O571">
        <v>5370</v>
      </c>
      <c r="P571">
        <v>5610</v>
      </c>
      <c r="Q571">
        <v>1050</v>
      </c>
      <c r="R571">
        <v>1050</v>
      </c>
      <c r="S571">
        <v>1050</v>
      </c>
      <c r="T571">
        <v>0</v>
      </c>
      <c r="U571">
        <v>0</v>
      </c>
      <c r="V571">
        <v>0</v>
      </c>
      <c r="W571">
        <v>4892.5</v>
      </c>
      <c r="X571">
        <v>4968.5</v>
      </c>
      <c r="Y571">
        <v>300</v>
      </c>
      <c r="Z571">
        <v>5247.55</v>
      </c>
      <c r="AA571">
        <v>300</v>
      </c>
      <c r="AB571" s="6">
        <v>46147.586504629631</v>
      </c>
      <c r="AC571" s="6">
        <v>46146.591435185182</v>
      </c>
    </row>
    <row r="572" spans="1:29" x14ac:dyDescent="0.25">
      <c r="A572" t="s">
        <v>8</v>
      </c>
      <c r="B572" s="5">
        <v>46168</v>
      </c>
      <c r="C572" t="s">
        <v>54</v>
      </c>
      <c r="D572" t="s">
        <v>628</v>
      </c>
      <c r="E572">
        <v>17409026</v>
      </c>
      <c r="F572" t="s">
        <v>56</v>
      </c>
      <c r="G572" t="s">
        <v>57</v>
      </c>
      <c r="H572">
        <v>60200</v>
      </c>
      <c r="I572" t="s">
        <v>58</v>
      </c>
      <c r="J572">
        <v>36.25</v>
      </c>
      <c r="K572">
        <v>-16.953035509736537</v>
      </c>
      <c r="L572">
        <v>30</v>
      </c>
      <c r="M572">
        <v>34.01</v>
      </c>
      <c r="N572">
        <v>15660</v>
      </c>
      <c r="O572">
        <v>51420</v>
      </c>
      <c r="P572">
        <v>2280</v>
      </c>
      <c r="Q572">
        <v>16620</v>
      </c>
      <c r="R572">
        <v>21900</v>
      </c>
      <c r="S572">
        <v>16500</v>
      </c>
      <c r="T572">
        <v>37.6</v>
      </c>
      <c r="U572">
        <v>38.85</v>
      </c>
      <c r="V572">
        <v>31.8</v>
      </c>
      <c r="W572">
        <v>43.65</v>
      </c>
      <c r="X572">
        <v>34.299999999999997</v>
      </c>
      <c r="Y572">
        <v>270</v>
      </c>
      <c r="Z572">
        <v>35.6</v>
      </c>
      <c r="AA572">
        <v>270</v>
      </c>
      <c r="AB572" s="6">
        <v>46147.586145833331</v>
      </c>
      <c r="AC572" s="6">
        <v>46147.583240740743</v>
      </c>
    </row>
    <row r="573" spans="1:29" x14ac:dyDescent="0.25">
      <c r="A573" t="s">
        <v>8</v>
      </c>
      <c r="B573" s="5">
        <v>46168</v>
      </c>
      <c r="C573" t="s">
        <v>54</v>
      </c>
      <c r="D573" t="s">
        <v>629</v>
      </c>
      <c r="E573">
        <v>17409794</v>
      </c>
      <c r="F573" t="s">
        <v>56</v>
      </c>
      <c r="G573" t="s">
        <v>57</v>
      </c>
      <c r="H573">
        <v>60200</v>
      </c>
      <c r="I573" t="s">
        <v>60</v>
      </c>
      <c r="J573">
        <v>4220</v>
      </c>
      <c r="K573">
        <v>0</v>
      </c>
      <c r="L573">
        <v>30</v>
      </c>
      <c r="M573">
        <v>0</v>
      </c>
      <c r="N573">
        <v>0</v>
      </c>
      <c r="O573">
        <v>5370</v>
      </c>
      <c r="P573">
        <v>4350</v>
      </c>
      <c r="Q573">
        <v>1380</v>
      </c>
      <c r="R573">
        <v>1380</v>
      </c>
      <c r="S573">
        <v>1380</v>
      </c>
      <c r="T573">
        <v>0</v>
      </c>
      <c r="U573">
        <v>0</v>
      </c>
      <c r="V573">
        <v>0</v>
      </c>
      <c r="W573">
        <v>4220</v>
      </c>
      <c r="X573">
        <v>5064.75</v>
      </c>
      <c r="Y573">
        <v>300</v>
      </c>
      <c r="Z573">
        <v>5283.35</v>
      </c>
      <c r="AA573">
        <v>60</v>
      </c>
      <c r="AB573" s="6">
        <v>46147.586504629631</v>
      </c>
      <c r="AC573" s="6">
        <v>46140.62537037037</v>
      </c>
    </row>
    <row r="574" spans="1:29" x14ac:dyDescent="0.25">
      <c r="A574" t="s">
        <v>8</v>
      </c>
      <c r="B574" s="5">
        <v>46168</v>
      </c>
      <c r="C574" t="s">
        <v>54</v>
      </c>
      <c r="D574" t="s">
        <v>630</v>
      </c>
      <c r="E574">
        <v>17410562</v>
      </c>
      <c r="F574" t="s">
        <v>56</v>
      </c>
      <c r="G574" t="s">
        <v>57</v>
      </c>
      <c r="H574">
        <v>60300</v>
      </c>
      <c r="I574" t="s">
        <v>58</v>
      </c>
      <c r="J574">
        <v>32.65</v>
      </c>
      <c r="K574">
        <v>-19.581280788177345</v>
      </c>
      <c r="L574">
        <v>30</v>
      </c>
      <c r="M574">
        <v>32.56</v>
      </c>
      <c r="N574">
        <v>4920</v>
      </c>
      <c r="O574">
        <v>28650</v>
      </c>
      <c r="P574">
        <v>1320</v>
      </c>
      <c r="Q574">
        <v>13950</v>
      </c>
      <c r="R574">
        <v>14340</v>
      </c>
      <c r="S574">
        <v>13890</v>
      </c>
      <c r="T574">
        <v>37.450000000000003</v>
      </c>
      <c r="U574">
        <v>37.450000000000003</v>
      </c>
      <c r="V574">
        <v>29.9</v>
      </c>
      <c r="W574">
        <v>40.6</v>
      </c>
      <c r="X574">
        <v>32.200000000000003</v>
      </c>
      <c r="Y574">
        <v>60</v>
      </c>
      <c r="Z574">
        <v>33.799999999999997</v>
      </c>
      <c r="AA574">
        <v>60</v>
      </c>
      <c r="AB574" s="6">
        <v>46147.58625</v>
      </c>
      <c r="AC574" s="6">
        <v>46147.580185185187</v>
      </c>
    </row>
    <row r="575" spans="1:29" x14ac:dyDescent="0.25">
      <c r="A575" t="s">
        <v>8</v>
      </c>
      <c r="B575" s="5">
        <v>46168</v>
      </c>
      <c r="C575" t="s">
        <v>54</v>
      </c>
      <c r="D575" t="s">
        <v>631</v>
      </c>
      <c r="E575">
        <v>17413122</v>
      </c>
      <c r="F575" t="s">
        <v>56</v>
      </c>
      <c r="G575" t="s">
        <v>57</v>
      </c>
      <c r="H575">
        <v>60300</v>
      </c>
      <c r="I575" t="s">
        <v>60</v>
      </c>
      <c r="J575">
        <v>3930.55</v>
      </c>
      <c r="K575">
        <v>0</v>
      </c>
      <c r="L575">
        <v>30</v>
      </c>
      <c r="M575">
        <v>0</v>
      </c>
      <c r="N575">
        <v>0</v>
      </c>
      <c r="O575">
        <v>5490</v>
      </c>
      <c r="P575">
        <v>5310</v>
      </c>
      <c r="Q575">
        <v>810</v>
      </c>
      <c r="R575">
        <v>810</v>
      </c>
      <c r="S575">
        <v>810</v>
      </c>
      <c r="T575">
        <v>0</v>
      </c>
      <c r="U575">
        <v>0</v>
      </c>
      <c r="V575">
        <v>0</v>
      </c>
      <c r="W575">
        <v>3930.55</v>
      </c>
      <c r="X575">
        <v>5204</v>
      </c>
      <c r="Y575">
        <v>330</v>
      </c>
      <c r="Z575">
        <v>5500.8</v>
      </c>
      <c r="AA575">
        <v>390</v>
      </c>
      <c r="AB575" s="6">
        <v>46147.586504629631</v>
      </c>
      <c r="AC575" s="6">
        <v>46140.438634259262</v>
      </c>
    </row>
    <row r="576" spans="1:29" x14ac:dyDescent="0.25">
      <c r="A576" t="s">
        <v>8</v>
      </c>
      <c r="B576" s="5">
        <v>46168</v>
      </c>
      <c r="C576" t="s">
        <v>54</v>
      </c>
      <c r="D576" t="s">
        <v>632</v>
      </c>
      <c r="E576">
        <v>17419778</v>
      </c>
      <c r="F576" t="s">
        <v>56</v>
      </c>
      <c r="G576" t="s">
        <v>57</v>
      </c>
      <c r="H576">
        <v>60400</v>
      </c>
      <c r="I576" t="s">
        <v>58</v>
      </c>
      <c r="J576">
        <v>31.5</v>
      </c>
      <c r="K576">
        <v>-21.544209215442091</v>
      </c>
      <c r="L576">
        <v>30</v>
      </c>
      <c r="M576">
        <v>30.31</v>
      </c>
      <c r="N576">
        <v>3630</v>
      </c>
      <c r="O576">
        <v>44400</v>
      </c>
      <c r="P576">
        <v>1530</v>
      </c>
      <c r="Q576">
        <v>9210</v>
      </c>
      <c r="R576">
        <v>9510</v>
      </c>
      <c r="S576">
        <v>9150</v>
      </c>
      <c r="T576">
        <v>33.1</v>
      </c>
      <c r="U576">
        <v>34.6</v>
      </c>
      <c r="V576">
        <v>27.75</v>
      </c>
      <c r="W576">
        <v>40.15</v>
      </c>
      <c r="X576">
        <v>30.7</v>
      </c>
      <c r="Y576">
        <v>150</v>
      </c>
      <c r="Z576">
        <v>32.35</v>
      </c>
      <c r="AA576">
        <v>60</v>
      </c>
      <c r="AB576" s="6">
        <v>46147.586157407408</v>
      </c>
      <c r="AC576" s="6">
        <v>46147.578657407408</v>
      </c>
    </row>
    <row r="577" spans="1:29" x14ac:dyDescent="0.25">
      <c r="A577" t="s">
        <v>8</v>
      </c>
      <c r="B577" s="5">
        <v>46168</v>
      </c>
      <c r="C577" t="s">
        <v>54</v>
      </c>
      <c r="D577" t="s">
        <v>633</v>
      </c>
      <c r="E577">
        <v>17420034</v>
      </c>
      <c r="F577" t="s">
        <v>56</v>
      </c>
      <c r="G577" t="s">
        <v>57</v>
      </c>
      <c r="H577">
        <v>60400</v>
      </c>
      <c r="I577" t="s">
        <v>60</v>
      </c>
      <c r="J577">
        <v>4130</v>
      </c>
      <c r="K577">
        <v>0</v>
      </c>
      <c r="L577">
        <v>30</v>
      </c>
      <c r="M577">
        <v>0</v>
      </c>
      <c r="N577">
        <v>0</v>
      </c>
      <c r="O577">
        <v>5460</v>
      </c>
      <c r="P577">
        <v>5820</v>
      </c>
      <c r="Q577">
        <v>450</v>
      </c>
      <c r="R577">
        <v>450</v>
      </c>
      <c r="S577">
        <v>450</v>
      </c>
      <c r="T577">
        <v>0</v>
      </c>
      <c r="U577">
        <v>0</v>
      </c>
      <c r="V577">
        <v>0</v>
      </c>
      <c r="W577">
        <v>4130</v>
      </c>
      <c r="X577">
        <v>5294.5</v>
      </c>
      <c r="Y577">
        <v>300</v>
      </c>
      <c r="Z577">
        <v>5708.4</v>
      </c>
      <c r="AA577">
        <v>300</v>
      </c>
      <c r="AB577" s="6">
        <v>46147.586504629631</v>
      </c>
      <c r="AC577" s="6">
        <v>46139.5078125</v>
      </c>
    </row>
    <row r="578" spans="1:29" x14ac:dyDescent="0.25">
      <c r="A578" t="s">
        <v>8</v>
      </c>
      <c r="B578" s="5">
        <v>46168</v>
      </c>
      <c r="C578" t="s">
        <v>54</v>
      </c>
      <c r="D578" t="s">
        <v>634</v>
      </c>
      <c r="E578">
        <v>17420290</v>
      </c>
      <c r="F578" t="s">
        <v>56</v>
      </c>
      <c r="G578" t="s">
        <v>57</v>
      </c>
      <c r="H578">
        <v>60500</v>
      </c>
      <c r="I578" t="s">
        <v>58</v>
      </c>
      <c r="J578">
        <v>28.8</v>
      </c>
      <c r="K578">
        <v>-19.553072625698317</v>
      </c>
      <c r="L578">
        <v>30</v>
      </c>
      <c r="M578">
        <v>29.07</v>
      </c>
      <c r="N578">
        <v>240270</v>
      </c>
      <c r="O578">
        <v>55800</v>
      </c>
      <c r="P578">
        <v>4380</v>
      </c>
      <c r="Q578">
        <v>194640</v>
      </c>
      <c r="R578">
        <v>242460</v>
      </c>
      <c r="S578">
        <v>186960</v>
      </c>
      <c r="T578">
        <v>29.95</v>
      </c>
      <c r="U578">
        <v>32.450000000000003</v>
      </c>
      <c r="V578">
        <v>26.15</v>
      </c>
      <c r="W578">
        <v>35.799999999999997</v>
      </c>
      <c r="X578">
        <v>28.6</v>
      </c>
      <c r="Y578">
        <v>150</v>
      </c>
      <c r="Z578">
        <v>28.9</v>
      </c>
      <c r="AA578">
        <v>30</v>
      </c>
      <c r="AB578" s="6">
        <v>46147.586458333331</v>
      </c>
      <c r="AC578" s="6">
        <v>46147.585474537038</v>
      </c>
    </row>
    <row r="579" spans="1:29" x14ac:dyDescent="0.25">
      <c r="A579" t="s">
        <v>8</v>
      </c>
      <c r="B579" s="5">
        <v>46168</v>
      </c>
      <c r="C579" t="s">
        <v>54</v>
      </c>
      <c r="D579" t="s">
        <v>635</v>
      </c>
      <c r="E579">
        <v>17420546</v>
      </c>
      <c r="F579" t="s">
        <v>56</v>
      </c>
      <c r="G579" t="s">
        <v>57</v>
      </c>
      <c r="H579">
        <v>60500</v>
      </c>
      <c r="I579" t="s">
        <v>60</v>
      </c>
      <c r="J579">
        <v>5342.75</v>
      </c>
      <c r="K579">
        <v>0</v>
      </c>
      <c r="L579">
        <v>60</v>
      </c>
      <c r="M579">
        <v>0</v>
      </c>
      <c r="N579">
        <v>0</v>
      </c>
      <c r="O579">
        <v>4800</v>
      </c>
      <c r="P579">
        <v>4530</v>
      </c>
      <c r="Q579">
        <v>14280</v>
      </c>
      <c r="R579">
        <v>14280</v>
      </c>
      <c r="S579">
        <v>14280</v>
      </c>
      <c r="T579">
        <v>0</v>
      </c>
      <c r="U579">
        <v>0</v>
      </c>
      <c r="V579">
        <v>0</v>
      </c>
      <c r="W579">
        <v>5342.75</v>
      </c>
      <c r="X579">
        <v>5393.3</v>
      </c>
      <c r="Y579">
        <v>330</v>
      </c>
      <c r="Z579">
        <v>5564.75</v>
      </c>
      <c r="AA579">
        <v>30</v>
      </c>
      <c r="AB579" s="6">
        <v>46147.586516203701</v>
      </c>
      <c r="AC579" s="6">
        <v>46146.554120370369</v>
      </c>
    </row>
    <row r="580" spans="1:29" x14ac:dyDescent="0.25">
      <c r="A580" t="s">
        <v>8</v>
      </c>
      <c r="B580" s="5">
        <v>46168</v>
      </c>
      <c r="C580" t="s">
        <v>54</v>
      </c>
      <c r="D580" t="s">
        <v>636</v>
      </c>
      <c r="E580">
        <v>17420802</v>
      </c>
      <c r="F580" t="s">
        <v>56</v>
      </c>
      <c r="G580" t="s">
        <v>57</v>
      </c>
      <c r="H580">
        <v>60600</v>
      </c>
      <c r="I580" t="s">
        <v>58</v>
      </c>
      <c r="J580">
        <v>28</v>
      </c>
      <c r="K580">
        <v>-18.95803183791606</v>
      </c>
      <c r="L580">
        <v>30</v>
      </c>
      <c r="M580">
        <v>27.57</v>
      </c>
      <c r="N580">
        <v>5820</v>
      </c>
      <c r="O580">
        <v>36930</v>
      </c>
      <c r="P580">
        <v>2940</v>
      </c>
      <c r="Q580">
        <v>8010</v>
      </c>
      <c r="R580">
        <v>8730</v>
      </c>
      <c r="S580">
        <v>7680</v>
      </c>
      <c r="T580">
        <v>34.549999999999997</v>
      </c>
      <c r="U580">
        <v>34.549999999999997</v>
      </c>
      <c r="V580">
        <v>25.3</v>
      </c>
      <c r="W580">
        <v>34.549999999999997</v>
      </c>
      <c r="X580">
        <v>26.8</v>
      </c>
      <c r="Y580">
        <v>150</v>
      </c>
      <c r="Z580">
        <v>28.05</v>
      </c>
      <c r="AA580">
        <v>450</v>
      </c>
      <c r="AB580" s="6">
        <v>46147.586157407408</v>
      </c>
      <c r="AC580" s="6">
        <v>46147.584189814814</v>
      </c>
    </row>
    <row r="581" spans="1:29" x14ac:dyDescent="0.25">
      <c r="A581" t="s">
        <v>8</v>
      </c>
      <c r="B581" s="5">
        <v>46168</v>
      </c>
      <c r="C581" t="s">
        <v>54</v>
      </c>
      <c r="D581" t="s">
        <v>637</v>
      </c>
      <c r="E581">
        <v>17421058</v>
      </c>
      <c r="F581" t="s">
        <v>56</v>
      </c>
      <c r="G581" t="s">
        <v>57</v>
      </c>
      <c r="H581">
        <v>60600</v>
      </c>
      <c r="I581" t="s">
        <v>60</v>
      </c>
      <c r="J581">
        <v>5117.6000000000004</v>
      </c>
      <c r="K581">
        <v>0</v>
      </c>
      <c r="L581">
        <v>90</v>
      </c>
      <c r="M581">
        <v>0</v>
      </c>
      <c r="N581">
        <v>0</v>
      </c>
      <c r="O581">
        <v>5280</v>
      </c>
      <c r="P581">
        <v>5430</v>
      </c>
      <c r="Q581">
        <v>1050</v>
      </c>
      <c r="R581">
        <v>1050</v>
      </c>
      <c r="S581">
        <v>1050</v>
      </c>
      <c r="T581">
        <v>0</v>
      </c>
      <c r="U581">
        <v>0</v>
      </c>
      <c r="V581">
        <v>0</v>
      </c>
      <c r="W581">
        <v>5117.6000000000004</v>
      </c>
      <c r="X581">
        <v>5380.05</v>
      </c>
      <c r="Y581">
        <v>300</v>
      </c>
      <c r="Z581">
        <v>5703</v>
      </c>
      <c r="AA581">
        <v>60</v>
      </c>
      <c r="AB581" s="6">
        <v>46147.586516203701</v>
      </c>
      <c r="AC581" s="6">
        <v>46146.507905092592</v>
      </c>
    </row>
    <row r="582" spans="1:29" x14ac:dyDescent="0.25">
      <c r="A582" t="s">
        <v>8</v>
      </c>
      <c r="B582" s="5">
        <v>46168</v>
      </c>
      <c r="C582" t="s">
        <v>54</v>
      </c>
      <c r="D582" t="s">
        <v>638</v>
      </c>
      <c r="E582">
        <v>17426434</v>
      </c>
      <c r="F582" t="s">
        <v>56</v>
      </c>
      <c r="G582" t="s">
        <v>57</v>
      </c>
      <c r="H582">
        <v>60700</v>
      </c>
      <c r="I582" t="s">
        <v>58</v>
      </c>
      <c r="J582">
        <v>27.1</v>
      </c>
      <c r="K582">
        <v>-15.838509316770189</v>
      </c>
      <c r="L582">
        <v>30</v>
      </c>
      <c r="M582">
        <v>25.94</v>
      </c>
      <c r="N582">
        <v>5040</v>
      </c>
      <c r="O582">
        <v>40800</v>
      </c>
      <c r="P582">
        <v>2670</v>
      </c>
      <c r="Q582">
        <v>12000</v>
      </c>
      <c r="R582">
        <v>12060</v>
      </c>
      <c r="S582">
        <v>10920</v>
      </c>
      <c r="T582">
        <v>32.200000000000003</v>
      </c>
      <c r="U582">
        <v>32.200000000000003</v>
      </c>
      <c r="V582">
        <v>23.45</v>
      </c>
      <c r="W582">
        <v>32.200000000000003</v>
      </c>
      <c r="X582">
        <v>24.65</v>
      </c>
      <c r="Y582">
        <v>360</v>
      </c>
      <c r="Z582">
        <v>27.2</v>
      </c>
      <c r="AA582">
        <v>180</v>
      </c>
      <c r="AB582" s="6">
        <v>46147.58625</v>
      </c>
      <c r="AC582" s="6">
        <v>46147.583437499998</v>
      </c>
    </row>
    <row r="583" spans="1:29" x14ac:dyDescent="0.25">
      <c r="A583" t="s">
        <v>8</v>
      </c>
      <c r="B583" s="5">
        <v>46168</v>
      </c>
      <c r="C583" t="s">
        <v>54</v>
      </c>
      <c r="D583" t="s">
        <v>639</v>
      </c>
      <c r="E583">
        <v>17426690</v>
      </c>
      <c r="F583" t="s">
        <v>56</v>
      </c>
      <c r="G583" t="s">
        <v>57</v>
      </c>
      <c r="H583">
        <v>60700</v>
      </c>
      <c r="I583" t="s">
        <v>60</v>
      </c>
      <c r="J583">
        <v>4710.3999999999996</v>
      </c>
      <c r="K583">
        <v>0</v>
      </c>
      <c r="L583">
        <v>60</v>
      </c>
      <c r="M583">
        <v>0</v>
      </c>
      <c r="N583">
        <v>0</v>
      </c>
      <c r="O583">
        <v>5040</v>
      </c>
      <c r="P583">
        <v>5610</v>
      </c>
      <c r="Q583">
        <v>510</v>
      </c>
      <c r="R583">
        <v>510</v>
      </c>
      <c r="S583">
        <v>510</v>
      </c>
      <c r="T583">
        <v>0</v>
      </c>
      <c r="U583">
        <v>0</v>
      </c>
      <c r="V583">
        <v>0</v>
      </c>
      <c r="W583">
        <v>4710.3999999999996</v>
      </c>
      <c r="X583">
        <v>5504.95</v>
      </c>
      <c r="Y583">
        <v>300</v>
      </c>
      <c r="Z583">
        <v>5921.8</v>
      </c>
      <c r="AA583">
        <v>450</v>
      </c>
      <c r="AB583" s="6">
        <v>46147.586516203701</v>
      </c>
      <c r="AC583" s="6">
        <v>46141.636828703704</v>
      </c>
    </row>
    <row r="584" spans="1:29" x14ac:dyDescent="0.25">
      <c r="A584" t="s">
        <v>8</v>
      </c>
      <c r="B584" s="5">
        <v>46168</v>
      </c>
      <c r="C584" t="s">
        <v>54</v>
      </c>
      <c r="D584" t="s">
        <v>640</v>
      </c>
      <c r="E584">
        <v>17427458</v>
      </c>
      <c r="F584" t="s">
        <v>56</v>
      </c>
      <c r="G584" t="s">
        <v>57</v>
      </c>
      <c r="H584">
        <v>60800</v>
      </c>
      <c r="I584" t="s">
        <v>58</v>
      </c>
      <c r="J584">
        <v>25.1</v>
      </c>
      <c r="K584">
        <v>-18.770226537216821</v>
      </c>
      <c r="L584">
        <v>60</v>
      </c>
      <c r="M584">
        <v>25.15</v>
      </c>
      <c r="N584">
        <v>10920</v>
      </c>
      <c r="O584">
        <v>45690</v>
      </c>
      <c r="P584">
        <v>3480</v>
      </c>
      <c r="Q584">
        <v>9510</v>
      </c>
      <c r="R584">
        <v>10050</v>
      </c>
      <c r="S584">
        <v>8370</v>
      </c>
      <c r="T584">
        <v>31</v>
      </c>
      <c r="U584">
        <v>31</v>
      </c>
      <c r="V584">
        <v>22.6</v>
      </c>
      <c r="W584">
        <v>30.9</v>
      </c>
      <c r="X584">
        <v>23.8</v>
      </c>
      <c r="Y584">
        <v>210</v>
      </c>
      <c r="Z584">
        <v>24.95</v>
      </c>
      <c r="AA584">
        <v>390</v>
      </c>
      <c r="AB584" s="6">
        <v>46147.586157407408</v>
      </c>
      <c r="AC584" s="6">
        <v>46147.581307870372</v>
      </c>
    </row>
    <row r="585" spans="1:29" x14ac:dyDescent="0.25">
      <c r="A585" t="s">
        <v>8</v>
      </c>
      <c r="B585" s="5">
        <v>46168</v>
      </c>
      <c r="C585" t="s">
        <v>54</v>
      </c>
      <c r="D585" t="s">
        <v>641</v>
      </c>
      <c r="E585">
        <v>17427714</v>
      </c>
      <c r="F585" t="s">
        <v>56</v>
      </c>
      <c r="G585" t="s">
        <v>57</v>
      </c>
      <c r="H585">
        <v>60800</v>
      </c>
      <c r="I585" t="s">
        <v>60</v>
      </c>
      <c r="J585">
        <v>6000</v>
      </c>
      <c r="K585">
        <v>7.1428571428571432</v>
      </c>
      <c r="L585">
        <v>30</v>
      </c>
      <c r="M585">
        <v>6000</v>
      </c>
      <c r="N585">
        <v>30</v>
      </c>
      <c r="O585">
        <v>4710</v>
      </c>
      <c r="P585">
        <v>4620</v>
      </c>
      <c r="Q585">
        <v>270</v>
      </c>
      <c r="R585">
        <v>270</v>
      </c>
      <c r="S585">
        <v>270</v>
      </c>
      <c r="T585">
        <v>6000</v>
      </c>
      <c r="U585">
        <v>6000</v>
      </c>
      <c r="V585">
        <v>6000</v>
      </c>
      <c r="W585">
        <v>5600</v>
      </c>
      <c r="X585">
        <v>5600.8</v>
      </c>
      <c r="Y585">
        <v>300</v>
      </c>
      <c r="Z585">
        <v>5897.9</v>
      </c>
      <c r="AA585">
        <v>60</v>
      </c>
      <c r="AB585" s="6">
        <v>46147.586516203701</v>
      </c>
      <c r="AC585" s="6">
        <v>46147.403229166666</v>
      </c>
    </row>
    <row r="586" spans="1:29" x14ac:dyDescent="0.25">
      <c r="A586" t="s">
        <v>8</v>
      </c>
      <c r="B586" s="5">
        <v>46168</v>
      </c>
      <c r="C586" t="s">
        <v>54</v>
      </c>
      <c r="D586" t="s">
        <v>642</v>
      </c>
      <c r="E586">
        <v>17427970</v>
      </c>
      <c r="F586" t="s">
        <v>56</v>
      </c>
      <c r="G586" t="s">
        <v>57</v>
      </c>
      <c r="H586">
        <v>60900</v>
      </c>
      <c r="I586" t="s">
        <v>58</v>
      </c>
      <c r="J586">
        <v>22.85</v>
      </c>
      <c r="K586">
        <v>-21.070811744386866</v>
      </c>
      <c r="L586">
        <v>30</v>
      </c>
      <c r="M586">
        <v>23.35</v>
      </c>
      <c r="N586">
        <v>4950</v>
      </c>
      <c r="O586">
        <v>43200</v>
      </c>
      <c r="P586">
        <v>1350</v>
      </c>
      <c r="Q586">
        <v>6960</v>
      </c>
      <c r="R586">
        <v>7710</v>
      </c>
      <c r="S586">
        <v>6900</v>
      </c>
      <c r="T586">
        <v>28.95</v>
      </c>
      <c r="U586">
        <v>28.95</v>
      </c>
      <c r="V586">
        <v>21.3</v>
      </c>
      <c r="W586">
        <v>28.95</v>
      </c>
      <c r="X586">
        <v>22.7</v>
      </c>
      <c r="Y586">
        <v>150</v>
      </c>
      <c r="Z586">
        <v>24.2</v>
      </c>
      <c r="AA586">
        <v>30</v>
      </c>
      <c r="AB586" s="6">
        <v>46147.586261574077</v>
      </c>
      <c r="AC586" s="6">
        <v>46147.585057870368</v>
      </c>
    </row>
    <row r="587" spans="1:29" x14ac:dyDescent="0.25">
      <c r="A587" t="s">
        <v>8</v>
      </c>
      <c r="B587" s="5">
        <v>46168</v>
      </c>
      <c r="C587" t="s">
        <v>54</v>
      </c>
      <c r="D587" t="s">
        <v>643</v>
      </c>
      <c r="E587">
        <v>17428226</v>
      </c>
      <c r="F587" t="s">
        <v>56</v>
      </c>
      <c r="G587" t="s">
        <v>57</v>
      </c>
      <c r="H587">
        <v>60900</v>
      </c>
      <c r="I587" t="s">
        <v>60</v>
      </c>
      <c r="J587">
        <v>7396.6</v>
      </c>
      <c r="K587">
        <v>0</v>
      </c>
      <c r="L587">
        <v>30</v>
      </c>
      <c r="M587">
        <v>0</v>
      </c>
      <c r="N587">
        <v>0</v>
      </c>
      <c r="O587">
        <v>5190</v>
      </c>
      <c r="P587">
        <v>5490</v>
      </c>
      <c r="Q587">
        <v>180</v>
      </c>
      <c r="R587">
        <v>180</v>
      </c>
      <c r="S587">
        <v>180</v>
      </c>
      <c r="T587">
        <v>0</v>
      </c>
      <c r="U587">
        <v>0</v>
      </c>
      <c r="V587">
        <v>0</v>
      </c>
      <c r="W587">
        <v>7396.6</v>
      </c>
      <c r="X587">
        <v>5685.8</v>
      </c>
      <c r="Y587">
        <v>300</v>
      </c>
      <c r="Z587">
        <v>6026.3</v>
      </c>
      <c r="AA587">
        <v>60</v>
      </c>
      <c r="AB587" s="6">
        <v>46147.586261574077</v>
      </c>
      <c r="AC587" s="6">
        <v>46105.594710648147</v>
      </c>
    </row>
    <row r="588" spans="1:29" x14ac:dyDescent="0.25">
      <c r="A588" t="s">
        <v>8</v>
      </c>
      <c r="B588" s="5">
        <v>46168</v>
      </c>
      <c r="C588" t="s">
        <v>54</v>
      </c>
      <c r="D588" t="s">
        <v>644</v>
      </c>
      <c r="E588">
        <v>17428482</v>
      </c>
      <c r="F588" t="s">
        <v>56</v>
      </c>
      <c r="G588" t="s">
        <v>57</v>
      </c>
      <c r="H588">
        <v>61000</v>
      </c>
      <c r="I588" t="s">
        <v>58</v>
      </c>
      <c r="J588">
        <v>21.55</v>
      </c>
      <c r="K588">
        <v>-21.206581352833641</v>
      </c>
      <c r="L588">
        <v>30</v>
      </c>
      <c r="M588">
        <v>21.94</v>
      </c>
      <c r="N588">
        <v>433020</v>
      </c>
      <c r="O588">
        <v>81510</v>
      </c>
      <c r="P588">
        <v>11130</v>
      </c>
      <c r="Q588">
        <v>552570</v>
      </c>
      <c r="R588">
        <v>552960</v>
      </c>
      <c r="S588">
        <v>498120</v>
      </c>
      <c r="T588">
        <v>20.45</v>
      </c>
      <c r="U588">
        <v>24.75</v>
      </c>
      <c r="V588">
        <v>20.05</v>
      </c>
      <c r="W588">
        <v>27.35</v>
      </c>
      <c r="X588">
        <v>21.5</v>
      </c>
      <c r="Y588">
        <v>120</v>
      </c>
      <c r="Z588">
        <v>21.6</v>
      </c>
      <c r="AA588">
        <v>30</v>
      </c>
      <c r="AB588" s="6">
        <v>46147.586458333331</v>
      </c>
      <c r="AC588" s="6">
        <v>46147.586122685185</v>
      </c>
    </row>
    <row r="589" spans="1:29" x14ac:dyDescent="0.25">
      <c r="A589" t="s">
        <v>8</v>
      </c>
      <c r="B589" s="5">
        <v>46168</v>
      </c>
      <c r="C589" t="s">
        <v>54</v>
      </c>
      <c r="D589" t="s">
        <v>645</v>
      </c>
      <c r="E589">
        <v>17428738</v>
      </c>
      <c r="F589" t="s">
        <v>56</v>
      </c>
      <c r="G589" t="s">
        <v>57</v>
      </c>
      <c r="H589">
        <v>61000</v>
      </c>
      <c r="I589" t="s">
        <v>60</v>
      </c>
      <c r="J589">
        <v>5901.35</v>
      </c>
      <c r="K589">
        <v>2.2881355932209555E-2</v>
      </c>
      <c r="L589">
        <v>30</v>
      </c>
      <c r="M589">
        <v>6248.12</v>
      </c>
      <c r="N589">
        <v>2070</v>
      </c>
      <c r="O589">
        <v>5610</v>
      </c>
      <c r="P589">
        <v>4800</v>
      </c>
      <c r="Q589">
        <v>69570</v>
      </c>
      <c r="R589">
        <v>70080</v>
      </c>
      <c r="S589">
        <v>69570</v>
      </c>
      <c r="T589">
        <v>6178.2</v>
      </c>
      <c r="U589">
        <v>6460</v>
      </c>
      <c r="V589">
        <v>5901.35</v>
      </c>
      <c r="W589">
        <v>5900</v>
      </c>
      <c r="X589">
        <v>5937.4</v>
      </c>
      <c r="Y589">
        <v>90</v>
      </c>
      <c r="Z589">
        <v>5984.4</v>
      </c>
      <c r="AA589">
        <v>60</v>
      </c>
      <c r="AB589" s="6">
        <v>46147.586527777778</v>
      </c>
      <c r="AC589" s="6">
        <v>46147.573125000003</v>
      </c>
    </row>
    <row r="590" spans="1:29" x14ac:dyDescent="0.25">
      <c r="A590" t="s">
        <v>8</v>
      </c>
      <c r="B590" s="5">
        <v>46168</v>
      </c>
      <c r="C590" t="s">
        <v>54</v>
      </c>
      <c r="D590" t="s">
        <v>646</v>
      </c>
      <c r="E590">
        <v>17428994</v>
      </c>
      <c r="F590" t="s">
        <v>56</v>
      </c>
      <c r="G590" t="s">
        <v>57</v>
      </c>
      <c r="H590">
        <v>61100</v>
      </c>
      <c r="I590" t="s">
        <v>58</v>
      </c>
      <c r="J590">
        <v>21.65</v>
      </c>
      <c r="K590">
        <v>-17.680608365019019</v>
      </c>
      <c r="L590">
        <v>60</v>
      </c>
      <c r="M590">
        <v>21.05</v>
      </c>
      <c r="N590">
        <v>11040</v>
      </c>
      <c r="O590">
        <v>46230</v>
      </c>
      <c r="P590">
        <v>1290</v>
      </c>
      <c r="Q590">
        <v>7590</v>
      </c>
      <c r="R590">
        <v>7830</v>
      </c>
      <c r="S590">
        <v>6540</v>
      </c>
      <c r="T590">
        <v>27.3</v>
      </c>
      <c r="U590">
        <v>27.35</v>
      </c>
      <c r="V590">
        <v>19.3</v>
      </c>
      <c r="W590">
        <v>26.3</v>
      </c>
      <c r="X590">
        <v>20.6</v>
      </c>
      <c r="Y590">
        <v>60</v>
      </c>
      <c r="Z590">
        <v>21.25</v>
      </c>
      <c r="AA590">
        <v>150</v>
      </c>
      <c r="AB590" s="6">
        <v>46147.586516203701</v>
      </c>
      <c r="AC590" s="6">
        <v>46147.581620370373</v>
      </c>
    </row>
    <row r="591" spans="1:29" x14ac:dyDescent="0.25">
      <c r="A591" t="s">
        <v>8</v>
      </c>
      <c r="B591" s="5">
        <v>46168</v>
      </c>
      <c r="C591" t="s">
        <v>54</v>
      </c>
      <c r="D591" t="s">
        <v>647</v>
      </c>
      <c r="E591">
        <v>17429250</v>
      </c>
      <c r="F591" t="s">
        <v>56</v>
      </c>
      <c r="G591" t="s">
        <v>57</v>
      </c>
      <c r="H591">
        <v>61100</v>
      </c>
      <c r="I591" t="s">
        <v>60</v>
      </c>
      <c r="J591">
        <v>8733.6</v>
      </c>
      <c r="K591">
        <v>0</v>
      </c>
      <c r="L591">
        <v>30</v>
      </c>
      <c r="M591">
        <v>0</v>
      </c>
      <c r="N591">
        <v>0</v>
      </c>
      <c r="O591">
        <v>2370</v>
      </c>
      <c r="P591">
        <v>4710</v>
      </c>
      <c r="Q591">
        <v>330</v>
      </c>
      <c r="R591">
        <v>330</v>
      </c>
      <c r="S591">
        <v>330</v>
      </c>
      <c r="T591">
        <v>0</v>
      </c>
      <c r="U591">
        <v>0</v>
      </c>
      <c r="V591">
        <v>0</v>
      </c>
      <c r="W591">
        <v>8733.6</v>
      </c>
      <c r="X591">
        <v>5792.45</v>
      </c>
      <c r="Y591">
        <v>300</v>
      </c>
      <c r="Z591">
        <v>6292.5</v>
      </c>
      <c r="AA591">
        <v>300</v>
      </c>
      <c r="AB591" s="6">
        <v>46147.586261574077</v>
      </c>
      <c r="AC591" s="6">
        <v>46104.543865740743</v>
      </c>
    </row>
    <row r="592" spans="1:29" x14ac:dyDescent="0.25">
      <c r="A592" t="s">
        <v>8</v>
      </c>
      <c r="B592" s="5">
        <v>46168</v>
      </c>
      <c r="C592" t="s">
        <v>54</v>
      </c>
      <c r="D592" t="s">
        <v>648</v>
      </c>
      <c r="E592">
        <v>17429506</v>
      </c>
      <c r="F592" t="s">
        <v>56</v>
      </c>
      <c r="G592" t="s">
        <v>57</v>
      </c>
      <c r="H592">
        <v>61200</v>
      </c>
      <c r="I592" t="s">
        <v>58</v>
      </c>
      <c r="J592">
        <v>20.25</v>
      </c>
      <c r="K592">
        <v>-18.016194331983804</v>
      </c>
      <c r="L592">
        <v>60</v>
      </c>
      <c r="M592">
        <v>19.54</v>
      </c>
      <c r="N592">
        <v>10560</v>
      </c>
      <c r="O592">
        <v>43110</v>
      </c>
      <c r="P592">
        <v>1320</v>
      </c>
      <c r="Q592">
        <v>10680</v>
      </c>
      <c r="R592">
        <v>10980</v>
      </c>
      <c r="S592">
        <v>10110</v>
      </c>
      <c r="T592">
        <v>26.8</v>
      </c>
      <c r="U592">
        <v>26.8</v>
      </c>
      <c r="V592">
        <v>17.899999999999999</v>
      </c>
      <c r="W592">
        <v>24.7</v>
      </c>
      <c r="X592">
        <v>18.649999999999999</v>
      </c>
      <c r="Y592">
        <v>240</v>
      </c>
      <c r="Z592">
        <v>20.05</v>
      </c>
      <c r="AA592">
        <v>30</v>
      </c>
      <c r="AB592" s="6">
        <v>46147.586157407408</v>
      </c>
      <c r="AC592" s="6">
        <v>46147.583738425928</v>
      </c>
    </row>
    <row r="593" spans="1:29" x14ac:dyDescent="0.25">
      <c r="A593" t="s">
        <v>8</v>
      </c>
      <c r="B593" s="5">
        <v>46168</v>
      </c>
      <c r="C593" t="s">
        <v>54</v>
      </c>
      <c r="D593" t="s">
        <v>649</v>
      </c>
      <c r="E593">
        <v>17430274</v>
      </c>
      <c r="F593" t="s">
        <v>56</v>
      </c>
      <c r="G593" t="s">
        <v>57</v>
      </c>
      <c r="H593">
        <v>61200</v>
      </c>
      <c r="I593" t="s">
        <v>60</v>
      </c>
      <c r="J593">
        <v>8804.9</v>
      </c>
      <c r="K593">
        <v>0</v>
      </c>
      <c r="L593">
        <v>30</v>
      </c>
      <c r="M593">
        <v>0</v>
      </c>
      <c r="N593">
        <v>0</v>
      </c>
      <c r="O593">
        <v>2100</v>
      </c>
      <c r="P593">
        <v>4020</v>
      </c>
      <c r="Q593">
        <v>240</v>
      </c>
      <c r="R593">
        <v>240</v>
      </c>
      <c r="S593">
        <v>240</v>
      </c>
      <c r="T593">
        <v>0</v>
      </c>
      <c r="U593">
        <v>0</v>
      </c>
      <c r="V593">
        <v>0</v>
      </c>
      <c r="W593">
        <v>8804.9</v>
      </c>
      <c r="X593">
        <v>5884.5</v>
      </c>
      <c r="Y593">
        <v>300</v>
      </c>
      <c r="Z593">
        <v>6397.65</v>
      </c>
      <c r="AA593">
        <v>300</v>
      </c>
      <c r="AB593" s="6">
        <v>46147.586527777778</v>
      </c>
      <c r="AC593" s="6">
        <v>46104.537974537037</v>
      </c>
    </row>
    <row r="594" spans="1:29" x14ac:dyDescent="0.25">
      <c r="A594" t="s">
        <v>8</v>
      </c>
      <c r="B594" s="5">
        <v>46168</v>
      </c>
      <c r="C594" t="s">
        <v>54</v>
      </c>
      <c r="D594" t="s">
        <v>650</v>
      </c>
      <c r="E594">
        <v>17430530</v>
      </c>
      <c r="F594" t="s">
        <v>56</v>
      </c>
      <c r="G594" t="s">
        <v>57</v>
      </c>
      <c r="H594">
        <v>61300</v>
      </c>
      <c r="I594" t="s">
        <v>58</v>
      </c>
      <c r="J594">
        <v>19.45</v>
      </c>
      <c r="K594">
        <v>-17.234042553191493</v>
      </c>
      <c r="L594">
        <v>30</v>
      </c>
      <c r="M594">
        <v>19.04</v>
      </c>
      <c r="N594">
        <v>5790</v>
      </c>
      <c r="O594">
        <v>47790</v>
      </c>
      <c r="P594">
        <v>1200</v>
      </c>
      <c r="Q594">
        <v>7590</v>
      </c>
      <c r="R594">
        <v>7680</v>
      </c>
      <c r="S594">
        <v>7140</v>
      </c>
      <c r="T594">
        <v>25.8</v>
      </c>
      <c r="U594">
        <v>25.8</v>
      </c>
      <c r="V594">
        <v>17.55</v>
      </c>
      <c r="W594">
        <v>23.5</v>
      </c>
      <c r="X594">
        <v>18.55</v>
      </c>
      <c r="Y594">
        <v>30</v>
      </c>
      <c r="Z594">
        <v>19.649999999999999</v>
      </c>
      <c r="AA594">
        <v>30</v>
      </c>
      <c r="AB594" s="6">
        <v>46147.586261574077</v>
      </c>
      <c r="AC594" s="6">
        <v>46147.558900462966</v>
      </c>
    </row>
    <row r="595" spans="1:29" x14ac:dyDescent="0.25">
      <c r="A595" t="s">
        <v>8</v>
      </c>
      <c r="B595" s="5">
        <v>46168</v>
      </c>
      <c r="C595" t="s">
        <v>54</v>
      </c>
      <c r="D595" t="s">
        <v>651</v>
      </c>
      <c r="E595">
        <v>17430786</v>
      </c>
      <c r="F595" t="s">
        <v>56</v>
      </c>
      <c r="G595" t="s">
        <v>57</v>
      </c>
      <c r="H595">
        <v>61300</v>
      </c>
      <c r="I595" t="s">
        <v>60</v>
      </c>
      <c r="J595">
        <v>3600</v>
      </c>
      <c r="K595">
        <v>0</v>
      </c>
      <c r="L595">
        <v>30</v>
      </c>
      <c r="M595">
        <v>0</v>
      </c>
      <c r="N595">
        <v>0</v>
      </c>
      <c r="O595">
        <v>4050</v>
      </c>
      <c r="P595">
        <v>2220</v>
      </c>
      <c r="Q595">
        <v>150</v>
      </c>
      <c r="R595">
        <v>150</v>
      </c>
      <c r="S595">
        <v>150</v>
      </c>
      <c r="T595">
        <v>0</v>
      </c>
      <c r="U595">
        <v>0</v>
      </c>
      <c r="V595">
        <v>0</v>
      </c>
      <c r="W595">
        <v>3600</v>
      </c>
      <c r="X595">
        <v>5991.25</v>
      </c>
      <c r="Y595">
        <v>300</v>
      </c>
      <c r="Z595">
        <v>6492.25</v>
      </c>
      <c r="AA595">
        <v>300</v>
      </c>
      <c r="AB595" s="6">
        <v>46147.586527777778</v>
      </c>
      <c r="AC595" s="6">
        <v>46134.478101851855</v>
      </c>
    </row>
    <row r="596" spans="1:29" x14ac:dyDescent="0.25">
      <c r="A596" t="s">
        <v>8</v>
      </c>
      <c r="B596" s="5">
        <v>46168</v>
      </c>
      <c r="C596" t="s">
        <v>54</v>
      </c>
      <c r="D596" t="s">
        <v>652</v>
      </c>
      <c r="E596">
        <v>17431042</v>
      </c>
      <c r="F596" t="s">
        <v>56</v>
      </c>
      <c r="G596" t="s">
        <v>57</v>
      </c>
      <c r="H596">
        <v>61400</v>
      </c>
      <c r="I596" t="s">
        <v>58</v>
      </c>
      <c r="J596">
        <v>18.05</v>
      </c>
      <c r="K596">
        <v>-17.954545454545453</v>
      </c>
      <c r="L596">
        <v>30</v>
      </c>
      <c r="M596">
        <v>17.45</v>
      </c>
      <c r="N596">
        <v>4050</v>
      </c>
      <c r="O596">
        <v>41580</v>
      </c>
      <c r="P596">
        <v>3960</v>
      </c>
      <c r="Q596">
        <v>3600</v>
      </c>
      <c r="R596">
        <v>3840</v>
      </c>
      <c r="S596">
        <v>2580</v>
      </c>
      <c r="T596">
        <v>16.850000000000001</v>
      </c>
      <c r="U596">
        <v>20.3</v>
      </c>
      <c r="V596">
        <v>16</v>
      </c>
      <c r="W596">
        <v>22</v>
      </c>
      <c r="X596">
        <v>17.149999999999999</v>
      </c>
      <c r="Y596">
        <v>60</v>
      </c>
      <c r="Z596">
        <v>18.55</v>
      </c>
      <c r="AA596">
        <v>120</v>
      </c>
      <c r="AB596" s="6">
        <v>46147.586168981485</v>
      </c>
      <c r="AC596" s="6">
        <v>46147.58388888889</v>
      </c>
    </row>
    <row r="597" spans="1:29" x14ac:dyDescent="0.25">
      <c r="A597" t="s">
        <v>8</v>
      </c>
      <c r="B597" s="5">
        <v>46168</v>
      </c>
      <c r="C597" t="s">
        <v>54</v>
      </c>
      <c r="D597" t="s">
        <v>653</v>
      </c>
      <c r="E597">
        <v>17431298</v>
      </c>
      <c r="F597" t="s">
        <v>56</v>
      </c>
      <c r="G597" t="s">
        <v>57</v>
      </c>
      <c r="H597">
        <v>61400</v>
      </c>
      <c r="I597" t="s">
        <v>60</v>
      </c>
      <c r="J597">
        <v>6667.6</v>
      </c>
      <c r="K597">
        <v>0</v>
      </c>
      <c r="L597">
        <v>30</v>
      </c>
      <c r="M597">
        <v>0</v>
      </c>
      <c r="N597">
        <v>0</v>
      </c>
      <c r="O597">
        <v>4890</v>
      </c>
      <c r="P597">
        <v>4890</v>
      </c>
      <c r="Q597">
        <v>90</v>
      </c>
      <c r="R597">
        <v>90</v>
      </c>
      <c r="S597">
        <v>90</v>
      </c>
      <c r="T597">
        <v>0</v>
      </c>
      <c r="U597">
        <v>0</v>
      </c>
      <c r="V597">
        <v>0</v>
      </c>
      <c r="W597">
        <v>6667.6</v>
      </c>
      <c r="X597">
        <v>6078.05</v>
      </c>
      <c r="Y597">
        <v>300</v>
      </c>
      <c r="Z597">
        <v>6829.1</v>
      </c>
      <c r="AA597">
        <v>300</v>
      </c>
      <c r="AB597" s="6">
        <v>46147.586527777778</v>
      </c>
      <c r="AC597" s="6">
        <v>46101.494074074071</v>
      </c>
    </row>
    <row r="598" spans="1:29" x14ac:dyDescent="0.25">
      <c r="A598" t="s">
        <v>8</v>
      </c>
      <c r="B598" s="5">
        <v>46168</v>
      </c>
      <c r="C598" t="s">
        <v>54</v>
      </c>
      <c r="D598" t="s">
        <v>654</v>
      </c>
      <c r="E598">
        <v>17431554</v>
      </c>
      <c r="F598" t="s">
        <v>56</v>
      </c>
      <c r="G598" t="s">
        <v>57</v>
      </c>
      <c r="H598">
        <v>61500</v>
      </c>
      <c r="I598" t="s">
        <v>58</v>
      </c>
      <c r="J598">
        <v>16.649999999999999</v>
      </c>
      <c r="K598">
        <v>-19.174757281553411</v>
      </c>
      <c r="L598">
        <v>60</v>
      </c>
      <c r="M598">
        <v>17.22</v>
      </c>
      <c r="N598">
        <v>148230</v>
      </c>
      <c r="O598">
        <v>133920</v>
      </c>
      <c r="P598">
        <v>6240</v>
      </c>
      <c r="Q598">
        <v>142410</v>
      </c>
      <c r="R598">
        <v>165330</v>
      </c>
      <c r="S598">
        <v>142320</v>
      </c>
      <c r="T598">
        <v>17.350000000000001</v>
      </c>
      <c r="U598">
        <v>19.2</v>
      </c>
      <c r="V598">
        <v>15.9</v>
      </c>
      <c r="W598">
        <v>20.6</v>
      </c>
      <c r="X598">
        <v>16.75</v>
      </c>
      <c r="Y598">
        <v>90</v>
      </c>
      <c r="Z598">
        <v>17.05</v>
      </c>
      <c r="AA598">
        <v>90</v>
      </c>
      <c r="AB598" s="6">
        <v>46147.586458333331</v>
      </c>
      <c r="AC598" s="6">
        <v>46147.585428240738</v>
      </c>
    </row>
    <row r="599" spans="1:29" x14ac:dyDescent="0.25">
      <c r="A599" t="s">
        <v>8</v>
      </c>
      <c r="B599" s="5">
        <v>46168</v>
      </c>
      <c r="C599" t="s">
        <v>54</v>
      </c>
      <c r="D599" t="s">
        <v>655</v>
      </c>
      <c r="E599">
        <v>17431810</v>
      </c>
      <c r="F599" t="s">
        <v>56</v>
      </c>
      <c r="G599" t="s">
        <v>57</v>
      </c>
      <c r="H599">
        <v>61500</v>
      </c>
      <c r="I599" t="s">
        <v>60</v>
      </c>
      <c r="J599">
        <v>6320.75</v>
      </c>
      <c r="K599">
        <v>0</v>
      </c>
      <c r="L599">
        <v>30</v>
      </c>
      <c r="M599">
        <v>0</v>
      </c>
      <c r="N599">
        <v>0</v>
      </c>
      <c r="O599">
        <v>4650</v>
      </c>
      <c r="P599">
        <v>4230</v>
      </c>
      <c r="Q599">
        <v>5910</v>
      </c>
      <c r="R599">
        <v>5910</v>
      </c>
      <c r="S599">
        <v>5910</v>
      </c>
      <c r="T599">
        <v>0</v>
      </c>
      <c r="U599">
        <v>0</v>
      </c>
      <c r="V599">
        <v>0</v>
      </c>
      <c r="W599">
        <v>6320.75</v>
      </c>
      <c r="X599">
        <v>6179.15</v>
      </c>
      <c r="Y599">
        <v>330</v>
      </c>
      <c r="Z599">
        <v>6576.3</v>
      </c>
      <c r="AA599">
        <v>30</v>
      </c>
      <c r="AB599" s="6">
        <v>46147.586261574077</v>
      </c>
      <c r="AC599" s="6">
        <v>46146.554143518515</v>
      </c>
    </row>
    <row r="600" spans="1:29" x14ac:dyDescent="0.25">
      <c r="A600" t="s">
        <v>8</v>
      </c>
      <c r="B600" s="5">
        <v>46168</v>
      </c>
      <c r="C600" t="s">
        <v>54</v>
      </c>
      <c r="D600" t="s">
        <v>656</v>
      </c>
      <c r="E600">
        <v>17432066</v>
      </c>
      <c r="F600" t="s">
        <v>56</v>
      </c>
      <c r="G600" t="s">
        <v>57</v>
      </c>
      <c r="H600">
        <v>61600</v>
      </c>
      <c r="I600" t="s">
        <v>58</v>
      </c>
      <c r="J600">
        <v>15.5</v>
      </c>
      <c r="K600">
        <v>-21.319796954314718</v>
      </c>
      <c r="L600">
        <v>30</v>
      </c>
      <c r="M600">
        <v>16.25</v>
      </c>
      <c r="N600">
        <v>2730</v>
      </c>
      <c r="O600">
        <v>45090</v>
      </c>
      <c r="P600">
        <v>2280</v>
      </c>
      <c r="Q600">
        <v>6090</v>
      </c>
      <c r="R600">
        <v>6090</v>
      </c>
      <c r="S600">
        <v>5730</v>
      </c>
      <c r="T600">
        <v>17.2</v>
      </c>
      <c r="U600">
        <v>17.75</v>
      </c>
      <c r="V600">
        <v>15.5</v>
      </c>
      <c r="W600">
        <v>19.7</v>
      </c>
      <c r="X600">
        <v>15.5</v>
      </c>
      <c r="Y600">
        <v>30</v>
      </c>
      <c r="Z600">
        <v>16.8</v>
      </c>
      <c r="AA600">
        <v>150</v>
      </c>
      <c r="AB600" s="6">
        <v>46147.586168981485</v>
      </c>
      <c r="AC600" s="6">
        <v>46147.572789351849</v>
      </c>
    </row>
    <row r="601" spans="1:29" x14ac:dyDescent="0.25">
      <c r="A601" t="s">
        <v>8</v>
      </c>
      <c r="B601" s="5">
        <v>46168</v>
      </c>
      <c r="C601" t="s">
        <v>54</v>
      </c>
      <c r="D601" t="s">
        <v>657</v>
      </c>
      <c r="E601">
        <v>17432834</v>
      </c>
      <c r="F601" t="s">
        <v>56</v>
      </c>
      <c r="G601" t="s">
        <v>57</v>
      </c>
      <c r="H601">
        <v>61600</v>
      </c>
      <c r="I601" t="s">
        <v>60</v>
      </c>
      <c r="J601">
        <v>6857.3</v>
      </c>
      <c r="K601">
        <v>0</v>
      </c>
      <c r="L601">
        <v>30</v>
      </c>
      <c r="M601">
        <v>0</v>
      </c>
      <c r="N601">
        <v>0</v>
      </c>
      <c r="O601">
        <v>4800</v>
      </c>
      <c r="P601">
        <v>4470</v>
      </c>
      <c r="Q601">
        <v>90</v>
      </c>
      <c r="R601">
        <v>90</v>
      </c>
      <c r="S601">
        <v>90</v>
      </c>
      <c r="T601">
        <v>0</v>
      </c>
      <c r="U601">
        <v>0</v>
      </c>
      <c r="V601">
        <v>0</v>
      </c>
      <c r="W601">
        <v>6857.3</v>
      </c>
      <c r="X601">
        <v>6260.1</v>
      </c>
      <c r="Y601">
        <v>1170</v>
      </c>
      <c r="Z601">
        <v>6783.2</v>
      </c>
      <c r="AA601">
        <v>300</v>
      </c>
      <c r="AB601" s="6">
        <v>46147.586168981485</v>
      </c>
      <c r="AC601" s="6">
        <v>46101.494074074071</v>
      </c>
    </row>
    <row r="602" spans="1:29" x14ac:dyDescent="0.25">
      <c r="A602" t="s">
        <v>8</v>
      </c>
      <c r="B602" s="5">
        <v>46168</v>
      </c>
      <c r="C602" t="s">
        <v>54</v>
      </c>
      <c r="D602" t="s">
        <v>658</v>
      </c>
      <c r="E602">
        <v>17433090</v>
      </c>
      <c r="F602" t="s">
        <v>56</v>
      </c>
      <c r="G602" t="s">
        <v>57</v>
      </c>
      <c r="H602">
        <v>61700</v>
      </c>
      <c r="I602" t="s">
        <v>58</v>
      </c>
      <c r="J602">
        <v>15.2</v>
      </c>
      <c r="K602">
        <v>-19.788918205804752</v>
      </c>
      <c r="L602">
        <v>30</v>
      </c>
      <c r="M602">
        <v>15.5</v>
      </c>
      <c r="N602">
        <v>9510</v>
      </c>
      <c r="O602">
        <v>46800</v>
      </c>
      <c r="P602">
        <v>2490</v>
      </c>
      <c r="Q602">
        <v>4080</v>
      </c>
      <c r="R602">
        <v>4980</v>
      </c>
      <c r="S602">
        <v>3420</v>
      </c>
      <c r="T602">
        <v>14.3</v>
      </c>
      <c r="U602">
        <v>17.05</v>
      </c>
      <c r="V602">
        <v>14.25</v>
      </c>
      <c r="W602">
        <v>18.95</v>
      </c>
      <c r="X602">
        <v>15</v>
      </c>
      <c r="Y602">
        <v>150</v>
      </c>
      <c r="Z602">
        <v>16.2</v>
      </c>
      <c r="AA602">
        <v>180</v>
      </c>
      <c r="AB602" s="6">
        <v>46147.586261574077</v>
      </c>
      <c r="AC602" s="6">
        <v>46147.581956018519</v>
      </c>
    </row>
    <row r="603" spans="1:29" x14ac:dyDescent="0.25">
      <c r="A603" t="s">
        <v>8</v>
      </c>
      <c r="B603" s="5">
        <v>46168</v>
      </c>
      <c r="C603" t="s">
        <v>54</v>
      </c>
      <c r="D603" t="s">
        <v>659</v>
      </c>
      <c r="E603">
        <v>17433858</v>
      </c>
      <c r="F603" t="s">
        <v>56</v>
      </c>
      <c r="G603" t="s">
        <v>57</v>
      </c>
      <c r="H603">
        <v>61700</v>
      </c>
      <c r="I603" t="s">
        <v>60</v>
      </c>
      <c r="J603">
        <v>6951.45</v>
      </c>
      <c r="K603">
        <v>0</v>
      </c>
      <c r="L603">
        <v>30</v>
      </c>
      <c r="M603">
        <v>0</v>
      </c>
      <c r="N603">
        <v>0</v>
      </c>
      <c r="O603">
        <v>4530</v>
      </c>
      <c r="P603">
        <v>4530</v>
      </c>
      <c r="Q603">
        <v>60</v>
      </c>
      <c r="R603">
        <v>60</v>
      </c>
      <c r="S603">
        <v>60</v>
      </c>
      <c r="T603">
        <v>0</v>
      </c>
      <c r="U603">
        <v>0</v>
      </c>
      <c r="V603">
        <v>0</v>
      </c>
      <c r="W603">
        <v>6951.45</v>
      </c>
      <c r="X603">
        <v>6352.45</v>
      </c>
      <c r="Y603">
        <v>300</v>
      </c>
      <c r="Z603">
        <v>6887.85</v>
      </c>
      <c r="AA603">
        <v>300</v>
      </c>
      <c r="AB603" s="6">
        <v>46147.586261574077</v>
      </c>
      <c r="AC603" s="6">
        <v>46101.494074074071</v>
      </c>
    </row>
    <row r="604" spans="1:29" x14ac:dyDescent="0.25">
      <c r="A604" t="s">
        <v>8</v>
      </c>
      <c r="B604" s="5">
        <v>46168</v>
      </c>
      <c r="C604" t="s">
        <v>54</v>
      </c>
      <c r="D604" t="s">
        <v>660</v>
      </c>
      <c r="E604">
        <v>17434114</v>
      </c>
      <c r="F604" t="s">
        <v>56</v>
      </c>
      <c r="G604" t="s">
        <v>57</v>
      </c>
      <c r="H604">
        <v>61800</v>
      </c>
      <c r="I604" t="s">
        <v>58</v>
      </c>
      <c r="J604">
        <v>14.35</v>
      </c>
      <c r="K604">
        <v>-19.382022471910119</v>
      </c>
      <c r="L604">
        <v>30</v>
      </c>
      <c r="M604">
        <v>15.36</v>
      </c>
      <c r="N604">
        <v>4050</v>
      </c>
      <c r="O604">
        <v>46650</v>
      </c>
      <c r="P604">
        <v>3240</v>
      </c>
      <c r="Q604">
        <v>8370</v>
      </c>
      <c r="R604">
        <v>9330</v>
      </c>
      <c r="S604">
        <v>8370</v>
      </c>
      <c r="T604">
        <v>16.05</v>
      </c>
      <c r="U604">
        <v>17.3</v>
      </c>
      <c r="V604">
        <v>13.7</v>
      </c>
      <c r="W604">
        <v>17.8</v>
      </c>
      <c r="X604">
        <v>14.3</v>
      </c>
      <c r="Y604">
        <v>60</v>
      </c>
      <c r="Z604">
        <v>15.7</v>
      </c>
      <c r="AA604">
        <v>180</v>
      </c>
      <c r="AB604" s="6">
        <v>46147.586168981485</v>
      </c>
      <c r="AC604" s="6">
        <v>46147.541435185187</v>
      </c>
    </row>
    <row r="605" spans="1:29" x14ac:dyDescent="0.25">
      <c r="A605" t="s">
        <v>8</v>
      </c>
      <c r="B605" s="5">
        <v>46168</v>
      </c>
      <c r="C605" t="s">
        <v>54</v>
      </c>
      <c r="D605" t="s">
        <v>661</v>
      </c>
      <c r="E605">
        <v>17434370</v>
      </c>
      <c r="F605" t="s">
        <v>56</v>
      </c>
      <c r="G605" t="s">
        <v>57</v>
      </c>
      <c r="H605">
        <v>61800</v>
      </c>
      <c r="I605" t="s">
        <v>60</v>
      </c>
      <c r="J605">
        <v>7051</v>
      </c>
      <c r="K605">
        <v>0</v>
      </c>
      <c r="L605">
        <v>30</v>
      </c>
      <c r="M605">
        <v>0</v>
      </c>
      <c r="N605">
        <v>0</v>
      </c>
      <c r="O605">
        <v>4890</v>
      </c>
      <c r="P605">
        <v>4530</v>
      </c>
      <c r="Q605">
        <v>60</v>
      </c>
      <c r="R605">
        <v>60</v>
      </c>
      <c r="S605">
        <v>60</v>
      </c>
      <c r="T605">
        <v>0</v>
      </c>
      <c r="U605">
        <v>0</v>
      </c>
      <c r="V605">
        <v>0</v>
      </c>
      <c r="W605">
        <v>7051</v>
      </c>
      <c r="X605">
        <v>6448.85</v>
      </c>
      <c r="Y605">
        <v>300</v>
      </c>
      <c r="Z605">
        <v>6978.75</v>
      </c>
      <c r="AA605">
        <v>300</v>
      </c>
      <c r="AB605" s="6">
        <v>46147.586168981485</v>
      </c>
      <c r="AC605" s="6">
        <v>46101.494131944448</v>
      </c>
    </row>
    <row r="606" spans="1:29" x14ac:dyDescent="0.25">
      <c r="A606" t="s">
        <v>8</v>
      </c>
      <c r="B606" s="5">
        <v>46168</v>
      </c>
      <c r="C606" t="s">
        <v>54</v>
      </c>
      <c r="D606" t="s">
        <v>662</v>
      </c>
      <c r="E606">
        <v>17434626</v>
      </c>
      <c r="F606" t="s">
        <v>56</v>
      </c>
      <c r="G606" t="s">
        <v>57</v>
      </c>
      <c r="H606">
        <v>61900</v>
      </c>
      <c r="I606" t="s">
        <v>58</v>
      </c>
      <c r="J606">
        <v>14.45</v>
      </c>
      <c r="K606">
        <v>-16.473988439306364</v>
      </c>
      <c r="L606">
        <v>30</v>
      </c>
      <c r="M606">
        <v>14.68</v>
      </c>
      <c r="N606">
        <v>5100</v>
      </c>
      <c r="O606">
        <v>39660</v>
      </c>
      <c r="P606">
        <v>3120</v>
      </c>
      <c r="Q606">
        <v>5580</v>
      </c>
      <c r="R606">
        <v>6990</v>
      </c>
      <c r="S606">
        <v>5340</v>
      </c>
      <c r="T606">
        <v>17</v>
      </c>
      <c r="U606">
        <v>17.5</v>
      </c>
      <c r="V606">
        <v>13.65</v>
      </c>
      <c r="W606">
        <v>17.3</v>
      </c>
      <c r="X606">
        <v>13.8</v>
      </c>
      <c r="Y606">
        <v>150</v>
      </c>
      <c r="Z606">
        <v>14.8</v>
      </c>
      <c r="AA606">
        <v>30</v>
      </c>
      <c r="AB606" s="6">
        <v>46147.586261574077</v>
      </c>
      <c r="AC606" s="6">
        <v>46147.578287037039</v>
      </c>
    </row>
    <row r="607" spans="1:29" x14ac:dyDescent="0.25">
      <c r="A607" t="s">
        <v>8</v>
      </c>
      <c r="B607" s="5">
        <v>46168</v>
      </c>
      <c r="C607" t="s">
        <v>54</v>
      </c>
      <c r="D607" t="s">
        <v>663</v>
      </c>
      <c r="E607">
        <v>17434882</v>
      </c>
      <c r="F607" t="s">
        <v>56</v>
      </c>
      <c r="G607" t="s">
        <v>57</v>
      </c>
      <c r="H607">
        <v>61900</v>
      </c>
      <c r="I607" t="s">
        <v>60</v>
      </c>
      <c r="J607">
        <v>7146.4</v>
      </c>
      <c r="K607">
        <v>0</v>
      </c>
      <c r="L607">
        <v>30</v>
      </c>
      <c r="M607">
        <v>0</v>
      </c>
      <c r="N607">
        <v>0</v>
      </c>
      <c r="O607">
        <v>4410</v>
      </c>
      <c r="P607">
        <v>4590</v>
      </c>
      <c r="Q607">
        <v>90</v>
      </c>
      <c r="R607">
        <v>90</v>
      </c>
      <c r="S607">
        <v>90</v>
      </c>
      <c r="T607">
        <v>0</v>
      </c>
      <c r="U607">
        <v>0</v>
      </c>
      <c r="V607">
        <v>0</v>
      </c>
      <c r="W607">
        <v>7146.4</v>
      </c>
      <c r="X607">
        <v>6568.5</v>
      </c>
      <c r="Y607">
        <v>300</v>
      </c>
      <c r="Z607">
        <v>7084.65</v>
      </c>
      <c r="AA607">
        <v>300</v>
      </c>
      <c r="AB607" s="6">
        <v>46147.586273148147</v>
      </c>
      <c r="AC607" s="6">
        <v>46101.49726851852</v>
      </c>
    </row>
    <row r="608" spans="1:29" x14ac:dyDescent="0.25">
      <c r="A608" t="s">
        <v>8</v>
      </c>
      <c r="B608" s="5">
        <v>46168</v>
      </c>
      <c r="C608" t="s">
        <v>54</v>
      </c>
      <c r="D608" t="s">
        <v>664</v>
      </c>
      <c r="E608">
        <v>17435138</v>
      </c>
      <c r="F608" t="s">
        <v>56</v>
      </c>
      <c r="G608" t="s">
        <v>57</v>
      </c>
      <c r="H608">
        <v>62000</v>
      </c>
      <c r="I608" t="s">
        <v>58</v>
      </c>
      <c r="J608">
        <v>13.6</v>
      </c>
      <c r="K608">
        <v>-17.824773413897287</v>
      </c>
      <c r="L608">
        <v>30</v>
      </c>
      <c r="M608">
        <v>13.97</v>
      </c>
      <c r="N608">
        <v>185070</v>
      </c>
      <c r="O608">
        <v>145440</v>
      </c>
      <c r="P608">
        <v>7320</v>
      </c>
      <c r="Q608">
        <v>304950</v>
      </c>
      <c r="R608">
        <v>326340</v>
      </c>
      <c r="S608">
        <v>304800</v>
      </c>
      <c r="T608">
        <v>13.7</v>
      </c>
      <c r="U608">
        <v>15.55</v>
      </c>
      <c r="V608">
        <v>12.8</v>
      </c>
      <c r="W608">
        <v>16.55</v>
      </c>
      <c r="X608">
        <v>13.55</v>
      </c>
      <c r="Y608">
        <v>60</v>
      </c>
      <c r="Z608">
        <v>13.65</v>
      </c>
      <c r="AA608">
        <v>30</v>
      </c>
      <c r="AB608" s="6">
        <v>46147.586168981485</v>
      </c>
      <c r="AC608" s="6">
        <v>46147.58520833333</v>
      </c>
    </row>
    <row r="609" spans="1:29" x14ac:dyDescent="0.25">
      <c r="A609" t="s">
        <v>8</v>
      </c>
      <c r="B609" s="5">
        <v>46168</v>
      </c>
      <c r="C609" t="s">
        <v>54</v>
      </c>
      <c r="D609" t="s">
        <v>665</v>
      </c>
      <c r="E609">
        <v>17435394</v>
      </c>
      <c r="F609" t="s">
        <v>56</v>
      </c>
      <c r="G609" t="s">
        <v>57</v>
      </c>
      <c r="H609">
        <v>62000</v>
      </c>
      <c r="I609" t="s">
        <v>60</v>
      </c>
      <c r="J609">
        <v>6924</v>
      </c>
      <c r="K609">
        <v>2.1231406848032068</v>
      </c>
      <c r="L609">
        <v>60</v>
      </c>
      <c r="M609">
        <v>7243.02</v>
      </c>
      <c r="N609">
        <v>660</v>
      </c>
      <c r="O609">
        <v>5820</v>
      </c>
      <c r="P609">
        <v>3720</v>
      </c>
      <c r="Q609">
        <v>71850</v>
      </c>
      <c r="R609">
        <v>72270</v>
      </c>
      <c r="S609">
        <v>71850</v>
      </c>
      <c r="T609">
        <v>7090</v>
      </c>
      <c r="U609">
        <v>7459.2</v>
      </c>
      <c r="V609">
        <v>6875</v>
      </c>
      <c r="W609">
        <v>6780.05</v>
      </c>
      <c r="X609">
        <v>6914.25</v>
      </c>
      <c r="Y609">
        <v>180</v>
      </c>
      <c r="Z609">
        <v>6970.8</v>
      </c>
      <c r="AA609">
        <v>60</v>
      </c>
      <c r="AB609" s="6">
        <v>46147.586539351854</v>
      </c>
      <c r="AC609" s="6">
        <v>46147.573553240742</v>
      </c>
    </row>
    <row r="610" spans="1:29" x14ac:dyDescent="0.25">
      <c r="A610" t="s">
        <v>8</v>
      </c>
      <c r="B610" s="5">
        <v>46168</v>
      </c>
      <c r="C610" t="s">
        <v>54</v>
      </c>
      <c r="D610" t="s">
        <v>666</v>
      </c>
      <c r="E610">
        <v>17435650</v>
      </c>
      <c r="F610" t="s">
        <v>56</v>
      </c>
      <c r="G610" t="s">
        <v>57</v>
      </c>
      <c r="H610">
        <v>62100</v>
      </c>
      <c r="I610" t="s">
        <v>58</v>
      </c>
      <c r="J610">
        <v>13.8</v>
      </c>
      <c r="K610">
        <v>-10.389610389610388</v>
      </c>
      <c r="L610">
        <v>60</v>
      </c>
      <c r="M610">
        <v>13.6</v>
      </c>
      <c r="N610">
        <v>1830</v>
      </c>
      <c r="O610">
        <v>40200</v>
      </c>
      <c r="P610">
        <v>2400</v>
      </c>
      <c r="Q610">
        <v>3120</v>
      </c>
      <c r="R610">
        <v>3180</v>
      </c>
      <c r="S610">
        <v>2850</v>
      </c>
      <c r="T610">
        <v>13.9</v>
      </c>
      <c r="U610">
        <v>14.6</v>
      </c>
      <c r="V610">
        <v>12.5</v>
      </c>
      <c r="W610">
        <v>15.4</v>
      </c>
      <c r="X610">
        <v>12.35</v>
      </c>
      <c r="Y610">
        <v>150</v>
      </c>
      <c r="Z610">
        <v>13.45</v>
      </c>
      <c r="AA610">
        <v>150</v>
      </c>
      <c r="AB610" s="6">
        <v>46147.586273148147</v>
      </c>
      <c r="AC610" s="6">
        <v>46147.561909722222</v>
      </c>
    </row>
    <row r="611" spans="1:29" x14ac:dyDescent="0.25">
      <c r="A611" t="s">
        <v>8</v>
      </c>
      <c r="B611" s="5">
        <v>46168</v>
      </c>
      <c r="C611" t="s">
        <v>54</v>
      </c>
      <c r="D611" t="s">
        <v>667</v>
      </c>
      <c r="E611">
        <v>17435906</v>
      </c>
      <c r="F611" t="s">
        <v>56</v>
      </c>
      <c r="G611" t="s">
        <v>57</v>
      </c>
      <c r="H611">
        <v>62100</v>
      </c>
      <c r="I611" t="s">
        <v>60</v>
      </c>
      <c r="J611">
        <v>7339.75</v>
      </c>
      <c r="K611">
        <v>0</v>
      </c>
      <c r="L611">
        <v>30</v>
      </c>
      <c r="M611">
        <v>0</v>
      </c>
      <c r="N611">
        <v>0</v>
      </c>
      <c r="O611">
        <v>4590</v>
      </c>
      <c r="P611">
        <v>4890</v>
      </c>
      <c r="Q611">
        <v>60</v>
      </c>
      <c r="R611">
        <v>60</v>
      </c>
      <c r="S611">
        <v>60</v>
      </c>
      <c r="T611">
        <v>0</v>
      </c>
      <c r="U611">
        <v>0</v>
      </c>
      <c r="V611">
        <v>0</v>
      </c>
      <c r="W611">
        <v>7339.75</v>
      </c>
      <c r="X611">
        <v>6664.05</v>
      </c>
      <c r="Y611">
        <v>300</v>
      </c>
      <c r="Z611">
        <v>7386.2</v>
      </c>
      <c r="AA611">
        <v>300</v>
      </c>
      <c r="AB611" s="6">
        <v>46147.586273148147</v>
      </c>
      <c r="AC611" s="6">
        <v>46101.49763888889</v>
      </c>
    </row>
    <row r="612" spans="1:29" x14ac:dyDescent="0.25">
      <c r="A612" t="s">
        <v>8</v>
      </c>
      <c r="B612" s="5">
        <v>46168</v>
      </c>
      <c r="C612" t="s">
        <v>54</v>
      </c>
      <c r="D612" t="s">
        <v>668</v>
      </c>
      <c r="E612">
        <v>17436162</v>
      </c>
      <c r="F612" t="s">
        <v>56</v>
      </c>
      <c r="G612" t="s">
        <v>57</v>
      </c>
      <c r="H612">
        <v>62200</v>
      </c>
      <c r="I612" t="s">
        <v>58</v>
      </c>
      <c r="J612">
        <v>12.7</v>
      </c>
      <c r="K612">
        <v>-12.110726643598616</v>
      </c>
      <c r="L612">
        <v>150</v>
      </c>
      <c r="M612">
        <v>12.83</v>
      </c>
      <c r="N612">
        <v>2400</v>
      </c>
      <c r="O612">
        <v>34470</v>
      </c>
      <c r="P612">
        <v>2400</v>
      </c>
      <c r="Q612">
        <v>2460</v>
      </c>
      <c r="R612">
        <v>2610</v>
      </c>
      <c r="S612">
        <v>2370</v>
      </c>
      <c r="T612">
        <v>13.35</v>
      </c>
      <c r="U612">
        <v>15.1</v>
      </c>
      <c r="V612">
        <v>11.6</v>
      </c>
      <c r="W612">
        <v>14.45</v>
      </c>
      <c r="X612">
        <v>11.75</v>
      </c>
      <c r="Y612">
        <v>150</v>
      </c>
      <c r="Z612">
        <v>13.1</v>
      </c>
      <c r="AA612">
        <v>90</v>
      </c>
      <c r="AB612" s="6">
        <v>46147.586168981485</v>
      </c>
      <c r="AC612" s="6">
        <v>46147.583773148152</v>
      </c>
    </row>
    <row r="613" spans="1:29" x14ac:dyDescent="0.25">
      <c r="A613" t="s">
        <v>8</v>
      </c>
      <c r="B613" s="5">
        <v>46168</v>
      </c>
      <c r="C613" t="s">
        <v>54</v>
      </c>
      <c r="D613" t="s">
        <v>669</v>
      </c>
      <c r="E613">
        <v>17436418</v>
      </c>
      <c r="F613" t="s">
        <v>56</v>
      </c>
      <c r="G613" t="s">
        <v>57</v>
      </c>
      <c r="H613">
        <v>62200</v>
      </c>
      <c r="I613" t="s">
        <v>60</v>
      </c>
      <c r="J613">
        <v>7439.85</v>
      </c>
      <c r="K613">
        <v>0</v>
      </c>
      <c r="L613">
        <v>30</v>
      </c>
      <c r="M613">
        <v>0</v>
      </c>
      <c r="N613">
        <v>0</v>
      </c>
      <c r="O613">
        <v>4500</v>
      </c>
      <c r="P613">
        <v>4860</v>
      </c>
      <c r="Q613">
        <v>60</v>
      </c>
      <c r="R613">
        <v>60</v>
      </c>
      <c r="S613">
        <v>60</v>
      </c>
      <c r="T613">
        <v>0</v>
      </c>
      <c r="U613">
        <v>0</v>
      </c>
      <c r="V613">
        <v>0</v>
      </c>
      <c r="W613">
        <v>7439.85</v>
      </c>
      <c r="X613">
        <v>6768.45</v>
      </c>
      <c r="Y613">
        <v>300</v>
      </c>
      <c r="Z613">
        <v>7492.4</v>
      </c>
      <c r="AA613">
        <v>300</v>
      </c>
      <c r="AB613" s="6">
        <v>46147.584629629629</v>
      </c>
      <c r="AC613" s="6">
        <v>46101.498506944445</v>
      </c>
    </row>
    <row r="614" spans="1:29" x14ac:dyDescent="0.25">
      <c r="A614" t="s">
        <v>8</v>
      </c>
      <c r="B614" s="5">
        <v>46168</v>
      </c>
      <c r="C614" t="s">
        <v>54</v>
      </c>
      <c r="D614" t="s">
        <v>670</v>
      </c>
      <c r="E614">
        <v>17436674</v>
      </c>
      <c r="F614" t="s">
        <v>56</v>
      </c>
      <c r="G614" t="s">
        <v>57</v>
      </c>
      <c r="H614">
        <v>62300</v>
      </c>
      <c r="I614" t="s">
        <v>58</v>
      </c>
      <c r="J614">
        <v>12.4</v>
      </c>
      <c r="K614">
        <v>-11.743772241992884</v>
      </c>
      <c r="L614">
        <v>30</v>
      </c>
      <c r="M614">
        <v>12.21</v>
      </c>
      <c r="N614">
        <v>6330</v>
      </c>
      <c r="O614">
        <v>33420</v>
      </c>
      <c r="P614">
        <v>3600</v>
      </c>
      <c r="Q614">
        <v>9960</v>
      </c>
      <c r="R614">
        <v>10050</v>
      </c>
      <c r="S614">
        <v>9810</v>
      </c>
      <c r="T614">
        <v>11</v>
      </c>
      <c r="U614">
        <v>13.65</v>
      </c>
      <c r="V614">
        <v>11</v>
      </c>
      <c r="W614">
        <v>14.05</v>
      </c>
      <c r="X614">
        <v>11.45</v>
      </c>
      <c r="Y614">
        <v>330</v>
      </c>
      <c r="Z614">
        <v>12.85</v>
      </c>
      <c r="AA614">
        <v>180</v>
      </c>
      <c r="AB614" s="6">
        <v>46147.586273148147</v>
      </c>
      <c r="AC614" s="6">
        <v>46147.572638888887</v>
      </c>
    </row>
    <row r="615" spans="1:29" x14ac:dyDescent="0.25">
      <c r="A615" t="s">
        <v>8</v>
      </c>
      <c r="B615" s="5">
        <v>46168</v>
      </c>
      <c r="C615" t="s">
        <v>54</v>
      </c>
      <c r="D615" t="s">
        <v>671</v>
      </c>
      <c r="E615">
        <v>17436930</v>
      </c>
      <c r="F615" t="s">
        <v>56</v>
      </c>
      <c r="G615" t="s">
        <v>57</v>
      </c>
      <c r="H615">
        <v>62300</v>
      </c>
      <c r="I615" t="s">
        <v>60</v>
      </c>
      <c r="J615">
        <v>7536.9</v>
      </c>
      <c r="K615">
        <v>0</v>
      </c>
      <c r="L615">
        <v>30</v>
      </c>
      <c r="M615">
        <v>0</v>
      </c>
      <c r="N615">
        <v>0</v>
      </c>
      <c r="O615">
        <v>4590</v>
      </c>
      <c r="P615">
        <v>4470</v>
      </c>
      <c r="Q615">
        <v>60</v>
      </c>
      <c r="R615">
        <v>60</v>
      </c>
      <c r="S615">
        <v>60</v>
      </c>
      <c r="T615">
        <v>0</v>
      </c>
      <c r="U615">
        <v>0</v>
      </c>
      <c r="V615">
        <v>0</v>
      </c>
      <c r="W615">
        <v>7536.9</v>
      </c>
      <c r="X615">
        <v>6855.75</v>
      </c>
      <c r="Y615">
        <v>300</v>
      </c>
      <c r="Z615">
        <v>7586.4</v>
      </c>
      <c r="AA615">
        <v>300</v>
      </c>
      <c r="AB615" s="6">
        <v>46147.585277777776</v>
      </c>
      <c r="AC615" s="6">
        <v>46101.498553240737</v>
      </c>
    </row>
    <row r="616" spans="1:29" x14ac:dyDescent="0.25">
      <c r="A616" t="s">
        <v>8</v>
      </c>
      <c r="B616" s="5">
        <v>46168</v>
      </c>
      <c r="C616" t="s">
        <v>54</v>
      </c>
      <c r="D616" t="s">
        <v>672</v>
      </c>
      <c r="E616">
        <v>17437186</v>
      </c>
      <c r="F616" t="s">
        <v>56</v>
      </c>
      <c r="G616" t="s">
        <v>57</v>
      </c>
      <c r="H616">
        <v>62400</v>
      </c>
      <c r="I616" t="s">
        <v>58</v>
      </c>
      <c r="J616">
        <v>11.8</v>
      </c>
      <c r="K616">
        <v>-22.368421052631572</v>
      </c>
      <c r="L616">
        <v>30</v>
      </c>
      <c r="M616">
        <v>12.4</v>
      </c>
      <c r="N616">
        <v>25140</v>
      </c>
      <c r="O616">
        <v>39450</v>
      </c>
      <c r="P616">
        <v>5430</v>
      </c>
      <c r="Q616">
        <v>5850</v>
      </c>
      <c r="R616">
        <v>16530</v>
      </c>
      <c r="S616">
        <v>4440</v>
      </c>
      <c r="T616">
        <v>15.2</v>
      </c>
      <c r="U616">
        <v>15.2</v>
      </c>
      <c r="V616">
        <v>11</v>
      </c>
      <c r="W616">
        <v>15.2</v>
      </c>
      <c r="X616">
        <v>11.05</v>
      </c>
      <c r="Y616">
        <v>150</v>
      </c>
      <c r="Z616">
        <v>13</v>
      </c>
      <c r="AA616">
        <v>150</v>
      </c>
      <c r="AB616" s="6">
        <v>46147.585648148146</v>
      </c>
      <c r="AC616" s="6">
        <v>46147.581643518519</v>
      </c>
    </row>
    <row r="617" spans="1:29" x14ac:dyDescent="0.25">
      <c r="A617" t="s">
        <v>8</v>
      </c>
      <c r="B617" s="5">
        <v>46168</v>
      </c>
      <c r="C617" t="s">
        <v>54</v>
      </c>
      <c r="D617" t="s">
        <v>673</v>
      </c>
      <c r="E617">
        <v>17437442</v>
      </c>
      <c r="F617" t="s">
        <v>56</v>
      </c>
      <c r="G617" t="s">
        <v>57</v>
      </c>
      <c r="H617">
        <v>62400</v>
      </c>
      <c r="I617" t="s">
        <v>60</v>
      </c>
      <c r="J617">
        <v>7634.05</v>
      </c>
      <c r="K617">
        <v>0</v>
      </c>
      <c r="L617">
        <v>30</v>
      </c>
      <c r="M617">
        <v>0</v>
      </c>
      <c r="N617">
        <v>0</v>
      </c>
      <c r="O617">
        <v>4350</v>
      </c>
      <c r="P617">
        <v>4470</v>
      </c>
      <c r="Q617">
        <v>60</v>
      </c>
      <c r="R617">
        <v>60</v>
      </c>
      <c r="S617">
        <v>60</v>
      </c>
      <c r="T617">
        <v>0</v>
      </c>
      <c r="U617">
        <v>0</v>
      </c>
      <c r="V617">
        <v>0</v>
      </c>
      <c r="W617">
        <v>7634.05</v>
      </c>
      <c r="X617">
        <v>6960.5</v>
      </c>
      <c r="Y617">
        <v>300</v>
      </c>
      <c r="Z617">
        <v>7690.85</v>
      </c>
      <c r="AA617">
        <v>300</v>
      </c>
      <c r="AB617" s="6">
        <v>46147.586180555554</v>
      </c>
      <c r="AC617" s="6">
        <v>46101.498553240737</v>
      </c>
    </row>
    <row r="618" spans="1:29" x14ac:dyDescent="0.25">
      <c r="A618" t="s">
        <v>8</v>
      </c>
      <c r="B618" s="5">
        <v>46168</v>
      </c>
      <c r="C618" t="s">
        <v>54</v>
      </c>
      <c r="D618" t="s">
        <v>674</v>
      </c>
      <c r="E618">
        <v>17437698</v>
      </c>
      <c r="F618" t="s">
        <v>56</v>
      </c>
      <c r="G618" t="s">
        <v>57</v>
      </c>
      <c r="H618">
        <v>62500</v>
      </c>
      <c r="I618" t="s">
        <v>58</v>
      </c>
      <c r="J618">
        <v>10.85</v>
      </c>
      <c r="K618">
        <v>-16.53846153846154</v>
      </c>
      <c r="L618">
        <v>30</v>
      </c>
      <c r="M618">
        <v>11.26</v>
      </c>
      <c r="N618">
        <v>40860</v>
      </c>
      <c r="O618">
        <v>108270</v>
      </c>
      <c r="P618">
        <v>6210</v>
      </c>
      <c r="Q618">
        <v>46950</v>
      </c>
      <c r="R618">
        <v>54030</v>
      </c>
      <c r="S618">
        <v>45480</v>
      </c>
      <c r="T618">
        <v>13</v>
      </c>
      <c r="U618">
        <v>13.4</v>
      </c>
      <c r="V618">
        <v>10.35</v>
      </c>
      <c r="W618">
        <v>13</v>
      </c>
      <c r="X618">
        <v>10.9</v>
      </c>
      <c r="Y618">
        <v>30</v>
      </c>
      <c r="Z618">
        <v>11.2</v>
      </c>
      <c r="AA618">
        <v>30</v>
      </c>
      <c r="AB618" s="6">
        <v>46147.586458333331</v>
      </c>
      <c r="AC618" s="6">
        <v>46147.585543981484</v>
      </c>
    </row>
    <row r="619" spans="1:29" x14ac:dyDescent="0.25">
      <c r="A619" t="s">
        <v>8</v>
      </c>
      <c r="B619" s="5">
        <v>46168</v>
      </c>
      <c r="C619" t="s">
        <v>54</v>
      </c>
      <c r="D619" t="s">
        <v>675</v>
      </c>
      <c r="E619">
        <v>17438466</v>
      </c>
      <c r="F619" t="s">
        <v>56</v>
      </c>
      <c r="G619" t="s">
        <v>57</v>
      </c>
      <c r="H619">
        <v>62500</v>
      </c>
      <c r="I619" t="s">
        <v>60</v>
      </c>
      <c r="J619">
        <v>8000</v>
      </c>
      <c r="K619">
        <v>11.111111111111111</v>
      </c>
      <c r="L619">
        <v>60</v>
      </c>
      <c r="M619">
        <v>8000</v>
      </c>
      <c r="N619">
        <v>60</v>
      </c>
      <c r="O619">
        <v>4830</v>
      </c>
      <c r="P619">
        <v>5400</v>
      </c>
      <c r="Q619">
        <v>2790</v>
      </c>
      <c r="R619">
        <v>2790</v>
      </c>
      <c r="S619">
        <v>2790</v>
      </c>
      <c r="T619">
        <v>8000</v>
      </c>
      <c r="U619">
        <v>8000</v>
      </c>
      <c r="V619">
        <v>8000</v>
      </c>
      <c r="W619">
        <v>7200</v>
      </c>
      <c r="X619">
        <v>7212</v>
      </c>
      <c r="Y619">
        <v>300</v>
      </c>
      <c r="Z619">
        <v>7566</v>
      </c>
      <c r="AA619">
        <v>60</v>
      </c>
      <c r="AB619" s="6">
        <v>46147.586527777778</v>
      </c>
      <c r="AC619" s="6">
        <v>46147.468645833331</v>
      </c>
    </row>
    <row r="620" spans="1:29" x14ac:dyDescent="0.25">
      <c r="A620" t="s">
        <v>8</v>
      </c>
      <c r="B620" s="5">
        <v>46168</v>
      </c>
      <c r="C620" t="s">
        <v>54</v>
      </c>
      <c r="D620" t="s">
        <v>676</v>
      </c>
      <c r="E620">
        <v>17438722</v>
      </c>
      <c r="F620" t="s">
        <v>56</v>
      </c>
      <c r="G620" t="s">
        <v>57</v>
      </c>
      <c r="H620">
        <v>62600</v>
      </c>
      <c r="I620" t="s">
        <v>58</v>
      </c>
      <c r="J620">
        <v>11.4</v>
      </c>
      <c r="K620">
        <v>-12.643678160919542</v>
      </c>
      <c r="L620">
        <v>30</v>
      </c>
      <c r="M620">
        <v>10.88</v>
      </c>
      <c r="N620">
        <v>1500</v>
      </c>
      <c r="O620">
        <v>35430</v>
      </c>
      <c r="P620">
        <v>4350</v>
      </c>
      <c r="Q620">
        <v>2670</v>
      </c>
      <c r="R620">
        <v>2670</v>
      </c>
      <c r="S620">
        <v>2400</v>
      </c>
      <c r="T620">
        <v>10.85</v>
      </c>
      <c r="U620">
        <v>12.15</v>
      </c>
      <c r="V620">
        <v>9.4</v>
      </c>
      <c r="W620">
        <v>13.05</v>
      </c>
      <c r="X620">
        <v>10.15</v>
      </c>
      <c r="Y620">
        <v>30</v>
      </c>
      <c r="Z620">
        <v>11.75</v>
      </c>
      <c r="AA620">
        <v>90</v>
      </c>
      <c r="AB620" s="6">
        <v>46147.586180555554</v>
      </c>
      <c r="AC620" s="6">
        <v>46147.548113425924</v>
      </c>
    </row>
    <row r="621" spans="1:29" x14ac:dyDescent="0.25">
      <c r="A621" t="s">
        <v>8</v>
      </c>
      <c r="B621" s="5">
        <v>46168</v>
      </c>
      <c r="C621" t="s">
        <v>54</v>
      </c>
      <c r="D621" t="s">
        <v>677</v>
      </c>
      <c r="E621">
        <v>17438978</v>
      </c>
      <c r="F621" t="s">
        <v>56</v>
      </c>
      <c r="G621" t="s">
        <v>57</v>
      </c>
      <c r="H621">
        <v>62600</v>
      </c>
      <c r="I621" t="s">
        <v>60</v>
      </c>
      <c r="J621">
        <v>9296.1</v>
      </c>
      <c r="K621">
        <v>0</v>
      </c>
      <c r="L621">
        <v>30</v>
      </c>
      <c r="M621">
        <v>0</v>
      </c>
      <c r="N621">
        <v>0</v>
      </c>
      <c r="O621">
        <v>4890</v>
      </c>
      <c r="P621">
        <v>4590</v>
      </c>
      <c r="Q621">
        <v>60</v>
      </c>
      <c r="R621">
        <v>60</v>
      </c>
      <c r="S621">
        <v>60</v>
      </c>
      <c r="T621">
        <v>0</v>
      </c>
      <c r="U621">
        <v>0</v>
      </c>
      <c r="V621">
        <v>0</v>
      </c>
      <c r="W621">
        <v>9296.1</v>
      </c>
      <c r="X621">
        <v>6963</v>
      </c>
      <c r="Y621">
        <v>300</v>
      </c>
      <c r="Z621">
        <v>8071</v>
      </c>
      <c r="AA621">
        <v>300</v>
      </c>
      <c r="AB621" s="6">
        <v>46147.585648148146</v>
      </c>
      <c r="AC621" s="6">
        <v>46105.614583333336</v>
      </c>
    </row>
    <row r="622" spans="1:29" x14ac:dyDescent="0.25">
      <c r="A622" t="s">
        <v>8</v>
      </c>
      <c r="B622" s="5">
        <v>46168</v>
      </c>
      <c r="C622" t="s">
        <v>54</v>
      </c>
      <c r="D622" t="s">
        <v>678</v>
      </c>
      <c r="E622">
        <v>17439234</v>
      </c>
      <c r="F622" t="s">
        <v>56</v>
      </c>
      <c r="G622" t="s">
        <v>57</v>
      </c>
      <c r="H622">
        <v>62700</v>
      </c>
      <c r="I622" t="s">
        <v>58</v>
      </c>
      <c r="J622">
        <v>10.25</v>
      </c>
      <c r="K622">
        <v>-14.583333333333334</v>
      </c>
      <c r="L622">
        <v>30</v>
      </c>
      <c r="M622">
        <v>10.61</v>
      </c>
      <c r="N622">
        <v>5340</v>
      </c>
      <c r="O622">
        <v>35340</v>
      </c>
      <c r="P622">
        <v>5610</v>
      </c>
      <c r="Q622">
        <v>4890</v>
      </c>
      <c r="R622">
        <v>5880</v>
      </c>
      <c r="S622">
        <v>4740</v>
      </c>
      <c r="T622">
        <v>10.7</v>
      </c>
      <c r="U622">
        <v>12.95</v>
      </c>
      <c r="V622">
        <v>9.0500000000000007</v>
      </c>
      <c r="W622">
        <v>12</v>
      </c>
      <c r="X622">
        <v>9.8000000000000007</v>
      </c>
      <c r="Y622">
        <v>30</v>
      </c>
      <c r="Z622">
        <v>11.1</v>
      </c>
      <c r="AA622">
        <v>90</v>
      </c>
      <c r="AB622" s="6">
        <v>46147.586273148147</v>
      </c>
      <c r="AC622" s="6">
        <v>46147.571388888886</v>
      </c>
    </row>
    <row r="623" spans="1:29" x14ac:dyDescent="0.25">
      <c r="A623" t="s">
        <v>8</v>
      </c>
      <c r="B623" s="5">
        <v>46168</v>
      </c>
      <c r="C623" t="s">
        <v>54</v>
      </c>
      <c r="D623" t="s">
        <v>679</v>
      </c>
      <c r="E623">
        <v>17440002</v>
      </c>
      <c r="F623" t="s">
        <v>56</v>
      </c>
      <c r="G623" t="s">
        <v>57</v>
      </c>
      <c r="H623">
        <v>62700</v>
      </c>
      <c r="I623" t="s">
        <v>60</v>
      </c>
      <c r="J623">
        <v>9390.5</v>
      </c>
      <c r="K623">
        <v>0</v>
      </c>
      <c r="L623">
        <v>30</v>
      </c>
      <c r="M623">
        <v>0</v>
      </c>
      <c r="N623">
        <v>0</v>
      </c>
      <c r="O623">
        <v>4830</v>
      </c>
      <c r="P623">
        <v>4830</v>
      </c>
      <c r="Q623">
        <v>60</v>
      </c>
      <c r="R623">
        <v>60</v>
      </c>
      <c r="S623">
        <v>60</v>
      </c>
      <c r="T623">
        <v>0</v>
      </c>
      <c r="U623">
        <v>0</v>
      </c>
      <c r="V623">
        <v>0</v>
      </c>
      <c r="W623">
        <v>9390.5</v>
      </c>
      <c r="X623">
        <v>7106.9</v>
      </c>
      <c r="Y623">
        <v>300</v>
      </c>
      <c r="Z623">
        <v>8131.9</v>
      </c>
      <c r="AA623">
        <v>300</v>
      </c>
      <c r="AB623" s="6">
        <v>46147.586273148147</v>
      </c>
      <c r="AC623" s="6">
        <v>46105.614583333336</v>
      </c>
    </row>
    <row r="624" spans="1:29" x14ac:dyDescent="0.25">
      <c r="A624" t="s">
        <v>8</v>
      </c>
      <c r="B624" s="5">
        <v>46168</v>
      </c>
      <c r="C624" t="s">
        <v>54</v>
      </c>
      <c r="D624" t="s">
        <v>680</v>
      </c>
      <c r="E624">
        <v>17440258</v>
      </c>
      <c r="F624" t="s">
        <v>56</v>
      </c>
      <c r="G624" t="s">
        <v>57</v>
      </c>
      <c r="H624">
        <v>62800</v>
      </c>
      <c r="I624" t="s">
        <v>58</v>
      </c>
      <c r="J624">
        <v>10</v>
      </c>
      <c r="K624">
        <v>-23.664122137404576</v>
      </c>
      <c r="L624">
        <v>180</v>
      </c>
      <c r="M624">
        <v>10.54</v>
      </c>
      <c r="N624">
        <v>5760</v>
      </c>
      <c r="O624">
        <v>34920</v>
      </c>
      <c r="P624">
        <v>2880</v>
      </c>
      <c r="Q624">
        <v>2880</v>
      </c>
      <c r="R624">
        <v>4020</v>
      </c>
      <c r="S624">
        <v>2820</v>
      </c>
      <c r="T624">
        <v>12.4</v>
      </c>
      <c r="U624">
        <v>13.1</v>
      </c>
      <c r="V624">
        <v>9.5</v>
      </c>
      <c r="W624">
        <v>13.1</v>
      </c>
      <c r="X624">
        <v>9.4499999999999993</v>
      </c>
      <c r="Y624">
        <v>150</v>
      </c>
      <c r="Z624">
        <v>10.5</v>
      </c>
      <c r="AA624">
        <v>30</v>
      </c>
      <c r="AB624" s="6">
        <v>46147.586180555554</v>
      </c>
      <c r="AC624" s="6">
        <v>46147.568009259259</v>
      </c>
    </row>
    <row r="625" spans="1:29" x14ac:dyDescent="0.25">
      <c r="A625" t="s">
        <v>8</v>
      </c>
      <c r="B625" s="5">
        <v>46168</v>
      </c>
      <c r="C625" t="s">
        <v>54</v>
      </c>
      <c r="D625" t="s">
        <v>681</v>
      </c>
      <c r="E625">
        <v>17440514</v>
      </c>
      <c r="F625" t="s">
        <v>56</v>
      </c>
      <c r="G625" t="s">
        <v>57</v>
      </c>
      <c r="H625">
        <v>62800</v>
      </c>
      <c r="I625" t="s">
        <v>60</v>
      </c>
      <c r="J625">
        <v>9484.15</v>
      </c>
      <c r="K625">
        <v>0</v>
      </c>
      <c r="L625">
        <v>30</v>
      </c>
      <c r="M625">
        <v>0</v>
      </c>
      <c r="N625">
        <v>0</v>
      </c>
      <c r="O625">
        <v>4830</v>
      </c>
      <c r="P625">
        <v>4470</v>
      </c>
      <c r="Q625">
        <v>60</v>
      </c>
      <c r="R625">
        <v>60</v>
      </c>
      <c r="S625">
        <v>60</v>
      </c>
      <c r="T625">
        <v>0</v>
      </c>
      <c r="U625">
        <v>0</v>
      </c>
      <c r="V625">
        <v>0</v>
      </c>
      <c r="W625">
        <v>9484.15</v>
      </c>
      <c r="X625">
        <v>7040.65</v>
      </c>
      <c r="Y625">
        <v>300</v>
      </c>
      <c r="Z625">
        <v>8277</v>
      </c>
      <c r="AA625">
        <v>300</v>
      </c>
      <c r="AB625" s="6">
        <v>46147.586180555554</v>
      </c>
      <c r="AC625" s="6">
        <v>46105.614583333336</v>
      </c>
    </row>
    <row r="626" spans="1:29" x14ac:dyDescent="0.25">
      <c r="A626" t="s">
        <v>8</v>
      </c>
      <c r="B626" s="5">
        <v>46168</v>
      </c>
      <c r="C626" t="s">
        <v>54</v>
      </c>
      <c r="D626" t="s">
        <v>682</v>
      </c>
      <c r="E626">
        <v>17440770</v>
      </c>
      <c r="F626" t="s">
        <v>56</v>
      </c>
      <c r="G626" t="s">
        <v>57</v>
      </c>
      <c r="H626">
        <v>62900</v>
      </c>
      <c r="I626" t="s">
        <v>58</v>
      </c>
      <c r="J626">
        <v>9</v>
      </c>
      <c r="K626">
        <v>-22.41379310344827</v>
      </c>
      <c r="L626">
        <v>30</v>
      </c>
      <c r="M626">
        <v>9.5</v>
      </c>
      <c r="N626">
        <v>1350</v>
      </c>
      <c r="O626">
        <v>34590</v>
      </c>
      <c r="P626">
        <v>1500</v>
      </c>
      <c r="Q626">
        <v>1770</v>
      </c>
      <c r="R626">
        <v>2070</v>
      </c>
      <c r="S626">
        <v>1770</v>
      </c>
      <c r="T626">
        <v>9.9</v>
      </c>
      <c r="U626">
        <v>10</v>
      </c>
      <c r="V626">
        <v>8.75</v>
      </c>
      <c r="W626">
        <v>11.6</v>
      </c>
      <c r="X626">
        <v>9.25</v>
      </c>
      <c r="Y626">
        <v>30</v>
      </c>
      <c r="Z626">
        <v>10.4</v>
      </c>
      <c r="AA626">
        <v>90</v>
      </c>
      <c r="AB626" s="6">
        <v>46147.586273148147</v>
      </c>
      <c r="AC626" s="6">
        <v>46147.52920138889</v>
      </c>
    </row>
    <row r="627" spans="1:29" x14ac:dyDescent="0.25">
      <c r="A627" t="s">
        <v>8</v>
      </c>
      <c r="B627" s="5">
        <v>46168</v>
      </c>
      <c r="C627" t="s">
        <v>54</v>
      </c>
      <c r="D627" t="s">
        <v>683</v>
      </c>
      <c r="E627">
        <v>17441026</v>
      </c>
      <c r="F627" t="s">
        <v>56</v>
      </c>
      <c r="G627" t="s">
        <v>57</v>
      </c>
      <c r="H627">
        <v>62900</v>
      </c>
      <c r="I627" t="s">
        <v>60</v>
      </c>
      <c r="J627">
        <v>6473.5</v>
      </c>
      <c r="K627">
        <v>0</v>
      </c>
      <c r="L627">
        <v>30</v>
      </c>
      <c r="M627">
        <v>0</v>
      </c>
      <c r="N627">
        <v>0</v>
      </c>
      <c r="O627">
        <v>5730</v>
      </c>
      <c r="P627">
        <v>5730</v>
      </c>
      <c r="Q627">
        <v>30</v>
      </c>
      <c r="R627">
        <v>30</v>
      </c>
      <c r="S627">
        <v>30</v>
      </c>
      <c r="T627">
        <v>0</v>
      </c>
      <c r="U627">
        <v>0</v>
      </c>
      <c r="V627">
        <v>0</v>
      </c>
      <c r="W627">
        <v>6473.5</v>
      </c>
      <c r="X627">
        <v>6989.6</v>
      </c>
      <c r="Y627">
        <v>300</v>
      </c>
      <c r="Z627">
        <v>8786.85</v>
      </c>
      <c r="AA627">
        <v>300</v>
      </c>
      <c r="AB627" s="6">
        <v>46147.583796296298</v>
      </c>
      <c r="AC627" s="6">
        <v>46128.642951388887</v>
      </c>
    </row>
    <row r="628" spans="1:29" x14ac:dyDescent="0.25">
      <c r="A628" t="s">
        <v>8</v>
      </c>
      <c r="B628" s="5">
        <v>46168</v>
      </c>
      <c r="C628" t="s">
        <v>54</v>
      </c>
      <c r="D628" t="s">
        <v>684</v>
      </c>
      <c r="E628">
        <v>17441282</v>
      </c>
      <c r="F628" t="s">
        <v>56</v>
      </c>
      <c r="G628" t="s">
        <v>57</v>
      </c>
      <c r="H628">
        <v>63000</v>
      </c>
      <c r="I628" t="s">
        <v>58</v>
      </c>
      <c r="J628">
        <v>8.85</v>
      </c>
      <c r="K628">
        <v>-16.509433962264151</v>
      </c>
      <c r="L628">
        <v>90</v>
      </c>
      <c r="M628">
        <v>9.4600000000000009</v>
      </c>
      <c r="N628">
        <v>147750</v>
      </c>
      <c r="O628">
        <v>138750</v>
      </c>
      <c r="P628">
        <v>6480</v>
      </c>
      <c r="Q628">
        <v>157230</v>
      </c>
      <c r="R628">
        <v>182430</v>
      </c>
      <c r="S628">
        <v>150000</v>
      </c>
      <c r="T628">
        <v>10.75</v>
      </c>
      <c r="U628">
        <v>10.75</v>
      </c>
      <c r="V628">
        <v>8.8000000000000007</v>
      </c>
      <c r="W628">
        <v>10.6</v>
      </c>
      <c r="X628">
        <v>8.9</v>
      </c>
      <c r="Y628">
        <v>30</v>
      </c>
      <c r="Z628">
        <v>9</v>
      </c>
      <c r="AA628">
        <v>120</v>
      </c>
      <c r="AB628" s="6">
        <v>46147.586458333331</v>
      </c>
      <c r="AC628" s="6">
        <v>46147.586145833331</v>
      </c>
    </row>
    <row r="629" spans="1:29" x14ac:dyDescent="0.25">
      <c r="A629" t="s">
        <v>8</v>
      </c>
      <c r="B629" s="5">
        <v>46168</v>
      </c>
      <c r="C629" t="s">
        <v>54</v>
      </c>
      <c r="D629" t="s">
        <v>685</v>
      </c>
      <c r="E629">
        <v>17441538</v>
      </c>
      <c r="F629" t="s">
        <v>56</v>
      </c>
      <c r="G629" t="s">
        <v>57</v>
      </c>
      <c r="H629">
        <v>63000</v>
      </c>
      <c r="I629" t="s">
        <v>60</v>
      </c>
      <c r="J629">
        <v>7945</v>
      </c>
      <c r="K629">
        <v>11.118881118881118</v>
      </c>
      <c r="L629">
        <v>30</v>
      </c>
      <c r="M629">
        <v>8342.2800000000007</v>
      </c>
      <c r="N629">
        <v>2040</v>
      </c>
      <c r="O629">
        <v>5310</v>
      </c>
      <c r="P629">
        <v>4650</v>
      </c>
      <c r="Q629">
        <v>44370</v>
      </c>
      <c r="R629">
        <v>46200</v>
      </c>
      <c r="S629">
        <v>44370</v>
      </c>
      <c r="T629">
        <v>8250</v>
      </c>
      <c r="U629">
        <v>8419.15</v>
      </c>
      <c r="V629">
        <v>7945</v>
      </c>
      <c r="W629">
        <v>7150</v>
      </c>
      <c r="X629">
        <v>7901.45</v>
      </c>
      <c r="Y629">
        <v>30</v>
      </c>
      <c r="Z629">
        <v>7974.35</v>
      </c>
      <c r="AA629">
        <v>60</v>
      </c>
      <c r="AB629" s="6">
        <v>46147.586527777778</v>
      </c>
      <c r="AC629" s="6">
        <v>46147.568888888891</v>
      </c>
    </row>
    <row r="630" spans="1:29" x14ac:dyDescent="0.25">
      <c r="A630" t="s">
        <v>8</v>
      </c>
      <c r="B630" s="5">
        <v>46168</v>
      </c>
      <c r="C630" t="s">
        <v>54</v>
      </c>
      <c r="D630" t="s">
        <v>686</v>
      </c>
      <c r="E630">
        <v>17441794</v>
      </c>
      <c r="F630" t="s">
        <v>56</v>
      </c>
      <c r="G630" t="s">
        <v>57</v>
      </c>
      <c r="H630">
        <v>63100</v>
      </c>
      <c r="I630" t="s">
        <v>58</v>
      </c>
      <c r="J630">
        <v>8.75</v>
      </c>
      <c r="K630">
        <v>-15.865384615384617</v>
      </c>
      <c r="L630">
        <v>30</v>
      </c>
      <c r="M630">
        <v>9.16</v>
      </c>
      <c r="N630">
        <v>7020</v>
      </c>
      <c r="O630">
        <v>26250</v>
      </c>
      <c r="P630">
        <v>2610</v>
      </c>
      <c r="Q630">
        <v>3510</v>
      </c>
      <c r="R630">
        <v>3720</v>
      </c>
      <c r="S630">
        <v>2550</v>
      </c>
      <c r="T630">
        <v>10.4</v>
      </c>
      <c r="U630">
        <v>10.95</v>
      </c>
      <c r="V630">
        <v>8.4499999999999993</v>
      </c>
      <c r="W630">
        <v>10.4</v>
      </c>
      <c r="X630">
        <v>8.5500000000000007</v>
      </c>
      <c r="Y630">
        <v>150</v>
      </c>
      <c r="Z630">
        <v>9.0500000000000007</v>
      </c>
      <c r="AA630">
        <v>150</v>
      </c>
      <c r="AB630" s="6">
        <v>46147.586284722223</v>
      </c>
      <c r="AC630" s="6">
        <v>46147.580023148148</v>
      </c>
    </row>
    <row r="631" spans="1:29" x14ac:dyDescent="0.25">
      <c r="A631" t="s">
        <v>8</v>
      </c>
      <c r="B631" s="5">
        <v>46168</v>
      </c>
      <c r="C631" t="s">
        <v>54</v>
      </c>
      <c r="D631" t="s">
        <v>687</v>
      </c>
      <c r="E631">
        <v>17442050</v>
      </c>
      <c r="F631" t="s">
        <v>56</v>
      </c>
      <c r="G631" t="s">
        <v>57</v>
      </c>
      <c r="H631">
        <v>63100</v>
      </c>
      <c r="I631" t="s">
        <v>60</v>
      </c>
      <c r="J631">
        <v>6570</v>
      </c>
      <c r="K631">
        <v>0</v>
      </c>
      <c r="L631">
        <v>30</v>
      </c>
      <c r="M631">
        <v>0</v>
      </c>
      <c r="N631">
        <v>0</v>
      </c>
      <c r="O631">
        <v>4410</v>
      </c>
      <c r="P631">
        <v>5730</v>
      </c>
      <c r="Q631">
        <v>90</v>
      </c>
      <c r="R631">
        <v>90</v>
      </c>
      <c r="S631">
        <v>90</v>
      </c>
      <c r="T631">
        <v>0</v>
      </c>
      <c r="U631">
        <v>0</v>
      </c>
      <c r="V631">
        <v>0</v>
      </c>
      <c r="W631">
        <v>6570</v>
      </c>
      <c r="X631">
        <v>7491.5</v>
      </c>
      <c r="Y631">
        <v>300</v>
      </c>
      <c r="Z631">
        <v>9092.15</v>
      </c>
      <c r="AA631">
        <v>300</v>
      </c>
      <c r="AB631" s="6">
        <v>46147.582233796296</v>
      </c>
      <c r="AC631" s="6">
        <v>46139.404826388891</v>
      </c>
    </row>
    <row r="632" spans="1:29" x14ac:dyDescent="0.25">
      <c r="A632" t="s">
        <v>8</v>
      </c>
      <c r="B632" s="5">
        <v>46168</v>
      </c>
      <c r="C632" t="s">
        <v>54</v>
      </c>
      <c r="D632" t="s">
        <v>688</v>
      </c>
      <c r="E632">
        <v>17442306</v>
      </c>
      <c r="F632" t="s">
        <v>56</v>
      </c>
      <c r="G632" t="s">
        <v>57</v>
      </c>
      <c r="H632">
        <v>63200</v>
      </c>
      <c r="I632" t="s">
        <v>58</v>
      </c>
      <c r="J632">
        <v>8.75</v>
      </c>
      <c r="K632">
        <v>-17.061611374407587</v>
      </c>
      <c r="L632">
        <v>150</v>
      </c>
      <c r="M632">
        <v>9.19</v>
      </c>
      <c r="N632">
        <v>5430</v>
      </c>
      <c r="O632">
        <v>24780</v>
      </c>
      <c r="P632">
        <v>11310</v>
      </c>
      <c r="Q632">
        <v>12810</v>
      </c>
      <c r="R632">
        <v>12810</v>
      </c>
      <c r="S632">
        <v>10740</v>
      </c>
      <c r="T632">
        <v>8.9</v>
      </c>
      <c r="U632">
        <v>10.25</v>
      </c>
      <c r="V632">
        <v>8.35</v>
      </c>
      <c r="W632">
        <v>10.55</v>
      </c>
      <c r="X632">
        <v>8.35</v>
      </c>
      <c r="Y632">
        <v>180</v>
      </c>
      <c r="Z632">
        <v>8.9499999999999993</v>
      </c>
      <c r="AA632">
        <v>90</v>
      </c>
      <c r="AB632" s="6">
        <v>46147.586180555554</v>
      </c>
      <c r="AC632" s="6">
        <v>46147.574293981481</v>
      </c>
    </row>
    <row r="633" spans="1:29" x14ac:dyDescent="0.25">
      <c r="A633" t="s">
        <v>8</v>
      </c>
      <c r="B633" s="5">
        <v>46168</v>
      </c>
      <c r="C633" t="s">
        <v>54</v>
      </c>
      <c r="D633" t="s">
        <v>689</v>
      </c>
      <c r="E633">
        <v>17442562</v>
      </c>
      <c r="F633" t="s">
        <v>56</v>
      </c>
      <c r="G633" t="s">
        <v>57</v>
      </c>
      <c r="H633">
        <v>63200</v>
      </c>
      <c r="I633" t="s">
        <v>60</v>
      </c>
      <c r="J633">
        <v>9865.35</v>
      </c>
      <c r="K633">
        <v>0</v>
      </c>
      <c r="L633">
        <v>30</v>
      </c>
      <c r="M633">
        <v>0</v>
      </c>
      <c r="N633">
        <v>0</v>
      </c>
      <c r="O633">
        <v>4410</v>
      </c>
      <c r="P633">
        <v>5730</v>
      </c>
      <c r="Q633">
        <v>60</v>
      </c>
      <c r="R633">
        <v>60</v>
      </c>
      <c r="S633">
        <v>60</v>
      </c>
      <c r="T633">
        <v>0</v>
      </c>
      <c r="U633">
        <v>0</v>
      </c>
      <c r="V633">
        <v>0</v>
      </c>
      <c r="W633">
        <v>9865.35</v>
      </c>
      <c r="X633">
        <v>7571.65</v>
      </c>
      <c r="Y633">
        <v>300</v>
      </c>
      <c r="Z633">
        <v>9136.7999999999993</v>
      </c>
      <c r="AA633">
        <v>300</v>
      </c>
      <c r="AB633" s="6">
        <v>46147.582488425927</v>
      </c>
      <c r="AC633" s="6">
        <v>46105.614594907405</v>
      </c>
    </row>
    <row r="634" spans="1:29" x14ac:dyDescent="0.25">
      <c r="A634" t="s">
        <v>8</v>
      </c>
      <c r="B634" s="5">
        <v>46168</v>
      </c>
      <c r="C634" t="s">
        <v>54</v>
      </c>
      <c r="D634" t="s">
        <v>690</v>
      </c>
      <c r="E634">
        <v>17442818</v>
      </c>
      <c r="F634" t="s">
        <v>56</v>
      </c>
      <c r="G634" t="s">
        <v>57</v>
      </c>
      <c r="H634">
        <v>63300</v>
      </c>
      <c r="I634" t="s">
        <v>58</v>
      </c>
      <c r="J634">
        <v>8.15</v>
      </c>
      <c r="K634">
        <v>-23.113207547169807</v>
      </c>
      <c r="L634">
        <v>30</v>
      </c>
      <c r="M634">
        <v>8.6</v>
      </c>
      <c r="N634">
        <v>810</v>
      </c>
      <c r="O634">
        <v>22710</v>
      </c>
      <c r="P634">
        <v>1590</v>
      </c>
      <c r="Q634">
        <v>960</v>
      </c>
      <c r="R634">
        <v>1050</v>
      </c>
      <c r="S634">
        <v>930</v>
      </c>
      <c r="T634">
        <v>9</v>
      </c>
      <c r="U634">
        <v>9.35</v>
      </c>
      <c r="V634">
        <v>7.35</v>
      </c>
      <c r="W634">
        <v>10.6</v>
      </c>
      <c r="X634">
        <v>7.55</v>
      </c>
      <c r="Y634">
        <v>600</v>
      </c>
      <c r="Z634">
        <v>8.9499999999999993</v>
      </c>
      <c r="AA634">
        <v>30</v>
      </c>
      <c r="AB634" s="6">
        <v>46147.585775462961</v>
      </c>
      <c r="AC634" s="6">
        <v>46147.532511574071</v>
      </c>
    </row>
    <row r="635" spans="1:29" x14ac:dyDescent="0.25">
      <c r="A635" t="s">
        <v>8</v>
      </c>
      <c r="B635" s="5">
        <v>46168</v>
      </c>
      <c r="C635" t="s">
        <v>54</v>
      </c>
      <c r="D635" t="s">
        <v>691</v>
      </c>
      <c r="E635">
        <v>17443074</v>
      </c>
      <c r="F635" t="s">
        <v>56</v>
      </c>
      <c r="G635" t="s">
        <v>57</v>
      </c>
      <c r="H635">
        <v>63300</v>
      </c>
      <c r="I635" t="s">
        <v>60</v>
      </c>
      <c r="J635">
        <v>9961</v>
      </c>
      <c r="K635">
        <v>0</v>
      </c>
      <c r="L635">
        <v>30</v>
      </c>
      <c r="M635">
        <v>0</v>
      </c>
      <c r="N635">
        <v>0</v>
      </c>
      <c r="O635">
        <v>4410</v>
      </c>
      <c r="P635">
        <v>5730</v>
      </c>
      <c r="Q635">
        <v>30</v>
      </c>
      <c r="R635">
        <v>30</v>
      </c>
      <c r="S635">
        <v>30</v>
      </c>
      <c r="T635">
        <v>0</v>
      </c>
      <c r="U635">
        <v>0</v>
      </c>
      <c r="V635">
        <v>0</v>
      </c>
      <c r="W635">
        <v>9961</v>
      </c>
      <c r="X635">
        <v>7660.45</v>
      </c>
      <c r="Y635">
        <v>300</v>
      </c>
      <c r="Z635">
        <v>9080.5</v>
      </c>
      <c r="AA635">
        <v>300</v>
      </c>
      <c r="AB635" s="6">
        <v>46147.585289351853</v>
      </c>
      <c r="AC635" s="6">
        <v>46105.614583333336</v>
      </c>
    </row>
    <row r="636" spans="1:29" x14ac:dyDescent="0.25">
      <c r="A636" t="s">
        <v>8</v>
      </c>
      <c r="B636" s="5">
        <v>46168</v>
      </c>
      <c r="C636" t="s">
        <v>54</v>
      </c>
      <c r="D636" t="s">
        <v>692</v>
      </c>
      <c r="E636">
        <v>17443330</v>
      </c>
      <c r="F636" t="s">
        <v>56</v>
      </c>
      <c r="G636" t="s">
        <v>57</v>
      </c>
      <c r="H636">
        <v>63400</v>
      </c>
      <c r="I636" t="s">
        <v>58</v>
      </c>
      <c r="J636">
        <v>8.65</v>
      </c>
      <c r="K636">
        <v>-8.4656084656084545</v>
      </c>
      <c r="L636">
        <v>30</v>
      </c>
      <c r="M636">
        <v>8.6300000000000008</v>
      </c>
      <c r="N636">
        <v>2730</v>
      </c>
      <c r="O636">
        <v>23100</v>
      </c>
      <c r="P636">
        <v>1830</v>
      </c>
      <c r="Q636">
        <v>2130</v>
      </c>
      <c r="R636">
        <v>2700</v>
      </c>
      <c r="S636">
        <v>2010</v>
      </c>
      <c r="T636">
        <v>7.6</v>
      </c>
      <c r="U636">
        <v>9.4</v>
      </c>
      <c r="V636">
        <v>6.35</v>
      </c>
      <c r="W636">
        <v>9.4499999999999993</v>
      </c>
      <c r="X636">
        <v>7.6</v>
      </c>
      <c r="Y636">
        <v>120</v>
      </c>
      <c r="Z636">
        <v>8.9499999999999993</v>
      </c>
      <c r="AA636">
        <v>30</v>
      </c>
      <c r="AB636" s="6">
        <v>46147.582488425927</v>
      </c>
      <c r="AC636" s="6">
        <v>46147.549212962964</v>
      </c>
    </row>
    <row r="637" spans="1:29" x14ac:dyDescent="0.25">
      <c r="A637" t="s">
        <v>8</v>
      </c>
      <c r="B637" s="5">
        <v>46168</v>
      </c>
      <c r="C637" t="s">
        <v>54</v>
      </c>
      <c r="D637" t="s">
        <v>693</v>
      </c>
      <c r="E637">
        <v>17443586</v>
      </c>
      <c r="F637" t="s">
        <v>56</v>
      </c>
      <c r="G637" t="s">
        <v>57</v>
      </c>
      <c r="H637">
        <v>63400</v>
      </c>
      <c r="I637" t="s">
        <v>60</v>
      </c>
      <c r="J637">
        <v>10056.450000000001</v>
      </c>
      <c r="K637">
        <v>0</v>
      </c>
      <c r="L637">
        <v>30</v>
      </c>
      <c r="M637">
        <v>0</v>
      </c>
      <c r="N637">
        <v>0</v>
      </c>
      <c r="O637">
        <v>4410</v>
      </c>
      <c r="P637">
        <v>5490</v>
      </c>
      <c r="Q637">
        <v>30</v>
      </c>
      <c r="R637">
        <v>30</v>
      </c>
      <c r="S637">
        <v>30</v>
      </c>
      <c r="T637">
        <v>0</v>
      </c>
      <c r="U637">
        <v>0</v>
      </c>
      <c r="V637">
        <v>0</v>
      </c>
      <c r="W637">
        <v>10056.450000000001</v>
      </c>
      <c r="X637">
        <v>7727.8</v>
      </c>
      <c r="Y637">
        <v>300</v>
      </c>
      <c r="Z637">
        <v>9346.65</v>
      </c>
      <c r="AA637">
        <v>300</v>
      </c>
      <c r="AB637" s="6">
        <v>46147.586180555554</v>
      </c>
      <c r="AC637" s="6">
        <v>46105.614583333336</v>
      </c>
    </row>
    <row r="638" spans="1:29" x14ac:dyDescent="0.25">
      <c r="A638" t="s">
        <v>8</v>
      </c>
      <c r="B638" s="5">
        <v>46168</v>
      </c>
      <c r="C638" t="s">
        <v>54</v>
      </c>
      <c r="D638" t="s">
        <v>694</v>
      </c>
      <c r="E638">
        <v>17443842</v>
      </c>
      <c r="F638" t="s">
        <v>56</v>
      </c>
      <c r="G638" t="s">
        <v>57</v>
      </c>
      <c r="H638">
        <v>63500</v>
      </c>
      <c r="I638" t="s">
        <v>58</v>
      </c>
      <c r="J638">
        <v>7.35</v>
      </c>
      <c r="K638">
        <v>-20.540540540540544</v>
      </c>
      <c r="L638">
        <v>30</v>
      </c>
      <c r="M638">
        <v>7.8</v>
      </c>
      <c r="N638">
        <v>6750</v>
      </c>
      <c r="O638">
        <v>83460</v>
      </c>
      <c r="P638">
        <v>3600</v>
      </c>
      <c r="Q638">
        <v>16770</v>
      </c>
      <c r="R638">
        <v>17040</v>
      </c>
      <c r="S638">
        <v>16350</v>
      </c>
      <c r="T638">
        <v>7.4</v>
      </c>
      <c r="U638">
        <v>8.9</v>
      </c>
      <c r="V638">
        <v>7.35</v>
      </c>
      <c r="W638">
        <v>9.25</v>
      </c>
      <c r="X638">
        <v>7.35</v>
      </c>
      <c r="Y638">
        <v>60</v>
      </c>
      <c r="Z638">
        <v>7.7</v>
      </c>
      <c r="AA638">
        <v>30</v>
      </c>
      <c r="AB638" s="6">
        <v>46147.586284722223</v>
      </c>
      <c r="AC638" s="6">
        <v>46147.584722222222</v>
      </c>
    </row>
    <row r="639" spans="1:29" x14ac:dyDescent="0.25">
      <c r="A639" t="s">
        <v>8</v>
      </c>
      <c r="B639" s="5">
        <v>46168</v>
      </c>
      <c r="C639" t="s">
        <v>54</v>
      </c>
      <c r="D639" t="s">
        <v>695</v>
      </c>
      <c r="E639">
        <v>17444098</v>
      </c>
      <c r="F639" t="s">
        <v>56</v>
      </c>
      <c r="G639" t="s">
        <v>57</v>
      </c>
      <c r="H639">
        <v>63500</v>
      </c>
      <c r="I639" t="s">
        <v>60</v>
      </c>
      <c r="J639">
        <v>7069.55</v>
      </c>
      <c r="K639">
        <v>0</v>
      </c>
      <c r="L639">
        <v>30</v>
      </c>
      <c r="M639">
        <v>0</v>
      </c>
      <c r="N639">
        <v>0</v>
      </c>
      <c r="O639">
        <v>4410</v>
      </c>
      <c r="P639">
        <v>5730</v>
      </c>
      <c r="Q639">
        <v>60</v>
      </c>
      <c r="R639">
        <v>60</v>
      </c>
      <c r="S639">
        <v>60</v>
      </c>
      <c r="T639">
        <v>0</v>
      </c>
      <c r="U639">
        <v>0</v>
      </c>
      <c r="V639">
        <v>0</v>
      </c>
      <c r="W639">
        <v>7069.55</v>
      </c>
      <c r="X639">
        <v>7865.75</v>
      </c>
      <c r="Y639">
        <v>300</v>
      </c>
      <c r="Z639">
        <v>9316.85</v>
      </c>
      <c r="AA639">
        <v>300</v>
      </c>
      <c r="AB639" s="6">
        <v>46147.583796296298</v>
      </c>
      <c r="AC639" s="6">
        <v>46128.642974537041</v>
      </c>
    </row>
    <row r="640" spans="1:29" x14ac:dyDescent="0.25">
      <c r="A640" t="s">
        <v>8</v>
      </c>
      <c r="B640" s="5">
        <v>46168</v>
      </c>
      <c r="C640" t="s">
        <v>54</v>
      </c>
      <c r="D640" t="s">
        <v>696</v>
      </c>
      <c r="E640">
        <v>17444354</v>
      </c>
      <c r="F640" t="s">
        <v>56</v>
      </c>
      <c r="G640" t="s">
        <v>57</v>
      </c>
      <c r="H640">
        <v>63600</v>
      </c>
      <c r="I640" t="s">
        <v>58</v>
      </c>
      <c r="J640">
        <v>7.3</v>
      </c>
      <c r="K640">
        <v>-21.505376344086027</v>
      </c>
      <c r="L640">
        <v>30</v>
      </c>
      <c r="M640">
        <v>7.42</v>
      </c>
      <c r="N640">
        <v>870</v>
      </c>
      <c r="O640">
        <v>20790</v>
      </c>
      <c r="P640">
        <v>3900</v>
      </c>
      <c r="Q640">
        <v>2880</v>
      </c>
      <c r="R640">
        <v>2940</v>
      </c>
      <c r="S640">
        <v>2820</v>
      </c>
      <c r="T640">
        <v>8</v>
      </c>
      <c r="U640">
        <v>8.4</v>
      </c>
      <c r="V640">
        <v>6.25</v>
      </c>
      <c r="W640">
        <v>9.3000000000000007</v>
      </c>
      <c r="X640">
        <v>6.65</v>
      </c>
      <c r="Y640">
        <v>90</v>
      </c>
      <c r="Z640">
        <v>7.85</v>
      </c>
      <c r="AA640">
        <v>90</v>
      </c>
      <c r="AB640" s="6">
        <v>46147.579513888886</v>
      </c>
      <c r="AC640" s="6">
        <v>46147.578472222223</v>
      </c>
    </row>
    <row r="641" spans="1:29" x14ac:dyDescent="0.25">
      <c r="A641" t="s">
        <v>8</v>
      </c>
      <c r="B641" s="5">
        <v>46168</v>
      </c>
      <c r="C641" t="s">
        <v>54</v>
      </c>
      <c r="D641" t="s">
        <v>697</v>
      </c>
      <c r="E641">
        <v>17444610</v>
      </c>
      <c r="F641" t="s">
        <v>56</v>
      </c>
      <c r="G641" t="s">
        <v>57</v>
      </c>
      <c r="H641">
        <v>63600</v>
      </c>
      <c r="I641" t="s">
        <v>60</v>
      </c>
      <c r="J641">
        <v>10249.1</v>
      </c>
      <c r="K641">
        <v>0</v>
      </c>
      <c r="L641">
        <v>30</v>
      </c>
      <c r="M641">
        <v>0</v>
      </c>
      <c r="N641">
        <v>0</v>
      </c>
      <c r="O641">
        <v>4410</v>
      </c>
      <c r="P641">
        <v>4830</v>
      </c>
      <c r="Q641">
        <v>30</v>
      </c>
      <c r="R641">
        <v>30</v>
      </c>
      <c r="S641">
        <v>30</v>
      </c>
      <c r="T641">
        <v>0</v>
      </c>
      <c r="U641">
        <v>0</v>
      </c>
      <c r="V641">
        <v>0</v>
      </c>
      <c r="W641">
        <v>10249.1</v>
      </c>
      <c r="X641">
        <v>7853</v>
      </c>
      <c r="Y641">
        <v>300</v>
      </c>
      <c r="Z641">
        <v>9372.2999999999993</v>
      </c>
      <c r="AA641">
        <v>300</v>
      </c>
      <c r="AB641" s="6">
        <v>46147.58357638889</v>
      </c>
      <c r="AC641" s="6">
        <v>46105.614583333336</v>
      </c>
    </row>
    <row r="642" spans="1:29" x14ac:dyDescent="0.25">
      <c r="A642" t="s">
        <v>8</v>
      </c>
      <c r="B642" s="5">
        <v>46168</v>
      </c>
      <c r="C642" t="s">
        <v>54</v>
      </c>
      <c r="D642" t="s">
        <v>698</v>
      </c>
      <c r="E642">
        <v>17444866</v>
      </c>
      <c r="F642" t="s">
        <v>56</v>
      </c>
      <c r="G642" t="s">
        <v>57</v>
      </c>
      <c r="H642">
        <v>63700</v>
      </c>
      <c r="I642" t="s">
        <v>58</v>
      </c>
      <c r="J642">
        <v>6.5</v>
      </c>
      <c r="K642">
        <v>-24.855491329479772</v>
      </c>
      <c r="L642">
        <v>30</v>
      </c>
      <c r="M642">
        <v>7.43</v>
      </c>
      <c r="N642">
        <v>240</v>
      </c>
      <c r="O642">
        <v>20940</v>
      </c>
      <c r="P642">
        <v>3720</v>
      </c>
      <c r="Q642">
        <v>570</v>
      </c>
      <c r="R642">
        <v>570</v>
      </c>
      <c r="S642">
        <v>510</v>
      </c>
      <c r="T642">
        <v>8</v>
      </c>
      <c r="U642">
        <v>8</v>
      </c>
      <c r="V642">
        <v>6.5</v>
      </c>
      <c r="W642">
        <v>8.65</v>
      </c>
      <c r="X642">
        <v>6.2</v>
      </c>
      <c r="Y642">
        <v>90</v>
      </c>
      <c r="Z642">
        <v>7.95</v>
      </c>
      <c r="AA642">
        <v>30</v>
      </c>
      <c r="AB642" s="6">
        <v>46147.578125</v>
      </c>
      <c r="AC642" s="6">
        <v>46147.546712962961</v>
      </c>
    </row>
    <row r="643" spans="1:29" x14ac:dyDescent="0.25">
      <c r="A643" t="s">
        <v>8</v>
      </c>
      <c r="B643" s="5">
        <v>46168</v>
      </c>
      <c r="C643" t="s">
        <v>54</v>
      </c>
      <c r="D643" t="s">
        <v>699</v>
      </c>
      <c r="E643">
        <v>17445122</v>
      </c>
      <c r="F643" t="s">
        <v>56</v>
      </c>
      <c r="G643" t="s">
        <v>57</v>
      </c>
      <c r="H643">
        <v>63700</v>
      </c>
      <c r="I643" t="s">
        <v>60</v>
      </c>
      <c r="J643">
        <v>10342.9</v>
      </c>
      <c r="K643">
        <v>0</v>
      </c>
      <c r="L643">
        <v>30</v>
      </c>
      <c r="M643">
        <v>0</v>
      </c>
      <c r="N643">
        <v>0</v>
      </c>
      <c r="O643">
        <v>4770</v>
      </c>
      <c r="P643">
        <v>4830</v>
      </c>
      <c r="Q643">
        <v>30</v>
      </c>
      <c r="R643">
        <v>30</v>
      </c>
      <c r="S643">
        <v>30</v>
      </c>
      <c r="T643">
        <v>0</v>
      </c>
      <c r="U643">
        <v>0</v>
      </c>
      <c r="V643">
        <v>0</v>
      </c>
      <c r="W643">
        <v>10342.9</v>
      </c>
      <c r="X643">
        <v>7910.15</v>
      </c>
      <c r="Y643">
        <v>300</v>
      </c>
      <c r="Z643">
        <v>9514.2000000000007</v>
      </c>
      <c r="AA643">
        <v>300</v>
      </c>
      <c r="AB643" s="6">
        <v>46147.586284722223</v>
      </c>
      <c r="AC643" s="6">
        <v>46105.614583333336</v>
      </c>
    </row>
    <row r="644" spans="1:29" x14ac:dyDescent="0.25">
      <c r="A644" t="s">
        <v>8</v>
      </c>
      <c r="B644" s="5">
        <v>46168</v>
      </c>
      <c r="C644" t="s">
        <v>54</v>
      </c>
      <c r="D644" t="s">
        <v>700</v>
      </c>
      <c r="E644">
        <v>17445378</v>
      </c>
      <c r="F644" t="s">
        <v>56</v>
      </c>
      <c r="G644" t="s">
        <v>57</v>
      </c>
      <c r="H644">
        <v>63800</v>
      </c>
      <c r="I644" t="s">
        <v>58</v>
      </c>
      <c r="J644">
        <v>6.7</v>
      </c>
      <c r="K644">
        <v>-20.710059171597624</v>
      </c>
      <c r="L644">
        <v>30</v>
      </c>
      <c r="M644">
        <v>7.09</v>
      </c>
      <c r="N644">
        <v>1530</v>
      </c>
      <c r="O644">
        <v>17040</v>
      </c>
      <c r="P644">
        <v>3750</v>
      </c>
      <c r="Q644">
        <v>1770</v>
      </c>
      <c r="R644">
        <v>1920</v>
      </c>
      <c r="S644">
        <v>1740</v>
      </c>
      <c r="T644">
        <v>8.4499999999999993</v>
      </c>
      <c r="U644">
        <v>8.4499999999999993</v>
      </c>
      <c r="V644">
        <v>6.15</v>
      </c>
      <c r="W644">
        <v>8.4499999999999993</v>
      </c>
      <c r="X644">
        <v>6.2</v>
      </c>
      <c r="Y644">
        <v>90</v>
      </c>
      <c r="Z644">
        <v>7.9</v>
      </c>
      <c r="AA644">
        <v>60</v>
      </c>
      <c r="AB644" s="6">
        <v>46147.586180555554</v>
      </c>
      <c r="AC644" s="6">
        <v>46147.585196759261</v>
      </c>
    </row>
    <row r="645" spans="1:29" x14ac:dyDescent="0.25">
      <c r="A645" t="s">
        <v>8</v>
      </c>
      <c r="B645" s="5">
        <v>46168</v>
      </c>
      <c r="C645" t="s">
        <v>54</v>
      </c>
      <c r="D645" t="s">
        <v>701</v>
      </c>
      <c r="E645">
        <v>17446146</v>
      </c>
      <c r="F645" t="s">
        <v>56</v>
      </c>
      <c r="G645" t="s">
        <v>57</v>
      </c>
      <c r="H645">
        <v>63800</v>
      </c>
      <c r="I645" t="s">
        <v>60</v>
      </c>
      <c r="J645">
        <v>10438.4</v>
      </c>
      <c r="K645">
        <v>0</v>
      </c>
      <c r="L645">
        <v>30</v>
      </c>
      <c r="M645">
        <v>0</v>
      </c>
      <c r="N645">
        <v>0</v>
      </c>
      <c r="O645">
        <v>4470</v>
      </c>
      <c r="P645">
        <v>4830</v>
      </c>
      <c r="Q645">
        <v>30</v>
      </c>
      <c r="R645">
        <v>30</v>
      </c>
      <c r="S645">
        <v>30</v>
      </c>
      <c r="T645">
        <v>0</v>
      </c>
      <c r="U645">
        <v>0</v>
      </c>
      <c r="V645">
        <v>0</v>
      </c>
      <c r="W645">
        <v>10438.4</v>
      </c>
      <c r="X645">
        <v>8011.2</v>
      </c>
      <c r="Y645">
        <v>300</v>
      </c>
      <c r="Z645">
        <v>9663.5</v>
      </c>
      <c r="AA645">
        <v>300</v>
      </c>
      <c r="AB645" s="6">
        <v>46147.586180555554</v>
      </c>
      <c r="AC645" s="6">
        <v>46105.614583333336</v>
      </c>
    </row>
    <row r="646" spans="1:29" x14ac:dyDescent="0.25">
      <c r="A646" t="s">
        <v>8</v>
      </c>
      <c r="B646" s="5">
        <v>46168</v>
      </c>
      <c r="C646" t="s">
        <v>54</v>
      </c>
      <c r="D646" t="s">
        <v>702</v>
      </c>
      <c r="E646">
        <v>17446402</v>
      </c>
      <c r="F646" t="s">
        <v>56</v>
      </c>
      <c r="G646" t="s">
        <v>57</v>
      </c>
      <c r="H646">
        <v>63900</v>
      </c>
      <c r="I646" t="s">
        <v>58</v>
      </c>
      <c r="J646">
        <v>6.7</v>
      </c>
      <c r="K646">
        <v>-19.760479041916163</v>
      </c>
      <c r="L646">
        <v>60</v>
      </c>
      <c r="M646">
        <v>7.36</v>
      </c>
      <c r="N646">
        <v>360</v>
      </c>
      <c r="O646">
        <v>12690</v>
      </c>
      <c r="P646">
        <v>3390</v>
      </c>
      <c r="Q646">
        <v>1200</v>
      </c>
      <c r="R646">
        <v>1200</v>
      </c>
      <c r="S646">
        <v>1200</v>
      </c>
      <c r="T646">
        <v>7.5</v>
      </c>
      <c r="U646">
        <v>7.5</v>
      </c>
      <c r="V646">
        <v>6.7</v>
      </c>
      <c r="W646">
        <v>8.35</v>
      </c>
      <c r="X646">
        <v>5.7</v>
      </c>
      <c r="Y646">
        <v>30</v>
      </c>
      <c r="Z646">
        <v>8</v>
      </c>
      <c r="AA646">
        <v>60</v>
      </c>
      <c r="AB646" s="6">
        <v>46147.585289351853</v>
      </c>
      <c r="AC646" s="6">
        <v>46147.477372685185</v>
      </c>
    </row>
    <row r="647" spans="1:29" x14ac:dyDescent="0.25">
      <c r="A647" t="s">
        <v>8</v>
      </c>
      <c r="B647" s="5">
        <v>46168</v>
      </c>
      <c r="C647" t="s">
        <v>54</v>
      </c>
      <c r="D647" t="s">
        <v>703</v>
      </c>
      <c r="E647">
        <v>17446658</v>
      </c>
      <c r="F647" t="s">
        <v>56</v>
      </c>
      <c r="G647" t="s">
        <v>57</v>
      </c>
      <c r="H647">
        <v>63900</v>
      </c>
      <c r="I647" t="s">
        <v>60</v>
      </c>
      <c r="J647">
        <v>10549.5</v>
      </c>
      <c r="K647">
        <v>0</v>
      </c>
      <c r="L647">
        <v>30</v>
      </c>
      <c r="M647">
        <v>0</v>
      </c>
      <c r="N647">
        <v>0</v>
      </c>
      <c r="O647">
        <v>4410</v>
      </c>
      <c r="P647">
        <v>4830</v>
      </c>
      <c r="Q647">
        <v>30</v>
      </c>
      <c r="R647">
        <v>30</v>
      </c>
      <c r="S647">
        <v>30</v>
      </c>
      <c r="T647">
        <v>0</v>
      </c>
      <c r="U647">
        <v>0</v>
      </c>
      <c r="V647">
        <v>0</v>
      </c>
      <c r="W647">
        <v>10549.5</v>
      </c>
      <c r="X647">
        <v>8122.75</v>
      </c>
      <c r="Y647">
        <v>300</v>
      </c>
      <c r="Z647">
        <v>9703.7999999999993</v>
      </c>
      <c r="AA647">
        <v>300</v>
      </c>
      <c r="AB647" s="6">
        <v>46147.586284722223</v>
      </c>
      <c r="AC647" s="6">
        <v>46105.614583333336</v>
      </c>
    </row>
    <row r="648" spans="1:29" x14ac:dyDescent="0.25">
      <c r="A648" t="s">
        <v>8</v>
      </c>
      <c r="B648" s="5">
        <v>46168</v>
      </c>
      <c r="C648" t="s">
        <v>54</v>
      </c>
      <c r="D648" t="s">
        <v>704</v>
      </c>
      <c r="E648">
        <v>17446914</v>
      </c>
      <c r="F648" t="s">
        <v>56</v>
      </c>
      <c r="G648" t="s">
        <v>57</v>
      </c>
      <c r="H648">
        <v>64000</v>
      </c>
      <c r="I648" t="s">
        <v>58</v>
      </c>
      <c r="J648">
        <v>5.6</v>
      </c>
      <c r="K648">
        <v>-26.315789473684212</v>
      </c>
      <c r="L648">
        <v>150</v>
      </c>
      <c r="M648">
        <v>6.11</v>
      </c>
      <c r="N648">
        <v>63870</v>
      </c>
      <c r="O648">
        <v>145950</v>
      </c>
      <c r="P648">
        <v>17550</v>
      </c>
      <c r="Q648">
        <v>125220</v>
      </c>
      <c r="R648">
        <v>125220</v>
      </c>
      <c r="S648">
        <v>95040</v>
      </c>
      <c r="T648">
        <v>7.2</v>
      </c>
      <c r="U648">
        <v>7.5</v>
      </c>
      <c r="V648">
        <v>5.6</v>
      </c>
      <c r="W648">
        <v>7.6</v>
      </c>
      <c r="X648">
        <v>5.55</v>
      </c>
      <c r="Y648">
        <v>240</v>
      </c>
      <c r="Z648">
        <v>5.65</v>
      </c>
      <c r="AA648">
        <v>540</v>
      </c>
      <c r="AB648" s="6">
        <v>46147.586446759262</v>
      </c>
      <c r="AC648" s="6">
        <v>46147.586145833331</v>
      </c>
    </row>
    <row r="649" spans="1:29" x14ac:dyDescent="0.25">
      <c r="A649" t="s">
        <v>8</v>
      </c>
      <c r="B649" s="5">
        <v>46168</v>
      </c>
      <c r="C649" t="s">
        <v>54</v>
      </c>
      <c r="D649" t="s">
        <v>705</v>
      </c>
      <c r="E649">
        <v>17447170</v>
      </c>
      <c r="F649" t="s">
        <v>56</v>
      </c>
      <c r="G649" t="s">
        <v>57</v>
      </c>
      <c r="H649">
        <v>64000</v>
      </c>
      <c r="I649" t="s">
        <v>60</v>
      </c>
      <c r="J649">
        <v>8123.4</v>
      </c>
      <c r="K649">
        <v>0</v>
      </c>
      <c r="L649">
        <v>30</v>
      </c>
      <c r="M649">
        <v>0</v>
      </c>
      <c r="N649">
        <v>0</v>
      </c>
      <c r="O649">
        <v>4350</v>
      </c>
      <c r="P649">
        <v>3420</v>
      </c>
      <c r="Q649">
        <v>25860</v>
      </c>
      <c r="R649">
        <v>25860</v>
      </c>
      <c r="S649">
        <v>25860</v>
      </c>
      <c r="T649">
        <v>0</v>
      </c>
      <c r="U649">
        <v>0</v>
      </c>
      <c r="V649">
        <v>0</v>
      </c>
      <c r="W649">
        <v>8123.4</v>
      </c>
      <c r="X649">
        <v>8845.6</v>
      </c>
      <c r="Y649">
        <v>30</v>
      </c>
      <c r="Z649">
        <v>9014.5</v>
      </c>
      <c r="AA649">
        <v>30</v>
      </c>
      <c r="AB649" s="6">
        <v>46147.586192129631</v>
      </c>
      <c r="AC649" s="6">
        <v>46140.642361111109</v>
      </c>
    </row>
    <row r="650" spans="1:29" x14ac:dyDescent="0.25">
      <c r="A650" t="s">
        <v>8</v>
      </c>
      <c r="B650" s="5">
        <v>46168</v>
      </c>
      <c r="C650" t="s">
        <v>54</v>
      </c>
      <c r="D650" t="s">
        <v>706</v>
      </c>
      <c r="E650">
        <v>17447426</v>
      </c>
      <c r="F650" t="s">
        <v>56</v>
      </c>
      <c r="G650" t="s">
        <v>57</v>
      </c>
      <c r="H650">
        <v>64100</v>
      </c>
      <c r="I650" t="s">
        <v>58</v>
      </c>
      <c r="J650">
        <v>6.25</v>
      </c>
      <c r="K650">
        <v>-13.793103448275861</v>
      </c>
      <c r="L650">
        <v>30</v>
      </c>
      <c r="M650">
        <v>6.71</v>
      </c>
      <c r="N650">
        <v>810</v>
      </c>
      <c r="O650">
        <v>17190</v>
      </c>
      <c r="P650">
        <v>3570</v>
      </c>
      <c r="Q650">
        <v>720</v>
      </c>
      <c r="R650">
        <v>780</v>
      </c>
      <c r="S650">
        <v>720</v>
      </c>
      <c r="T650">
        <v>7.15</v>
      </c>
      <c r="U650">
        <v>7.15</v>
      </c>
      <c r="V650">
        <v>5.7</v>
      </c>
      <c r="W650">
        <v>7.25</v>
      </c>
      <c r="X650">
        <v>5.8</v>
      </c>
      <c r="Y650">
        <v>90</v>
      </c>
      <c r="Z650">
        <v>6.75</v>
      </c>
      <c r="AA650">
        <v>30</v>
      </c>
      <c r="AB650" s="6">
        <v>46147.584305555552</v>
      </c>
      <c r="AC650" s="6">
        <v>46147.467800925922</v>
      </c>
    </row>
    <row r="651" spans="1:29" x14ac:dyDescent="0.25">
      <c r="A651" t="s">
        <v>8</v>
      </c>
      <c r="B651" s="5">
        <v>46168</v>
      </c>
      <c r="C651" t="s">
        <v>54</v>
      </c>
      <c r="D651" t="s">
        <v>707</v>
      </c>
      <c r="E651">
        <v>17448194</v>
      </c>
      <c r="F651" t="s">
        <v>56</v>
      </c>
      <c r="G651" t="s">
        <v>57</v>
      </c>
      <c r="H651">
        <v>64100</v>
      </c>
      <c r="I651" t="s">
        <v>60</v>
      </c>
      <c r="J651">
        <v>10727.5</v>
      </c>
      <c r="K651">
        <v>0</v>
      </c>
      <c r="L651">
        <v>30</v>
      </c>
      <c r="M651">
        <v>0</v>
      </c>
      <c r="N651">
        <v>0</v>
      </c>
      <c r="O651">
        <v>4830</v>
      </c>
      <c r="P651">
        <v>4830</v>
      </c>
      <c r="Q651">
        <v>30</v>
      </c>
      <c r="R651">
        <v>30</v>
      </c>
      <c r="S651">
        <v>30</v>
      </c>
      <c r="T651">
        <v>0</v>
      </c>
      <c r="U651">
        <v>0</v>
      </c>
      <c r="V651">
        <v>0</v>
      </c>
      <c r="W651">
        <v>10727.5</v>
      </c>
      <c r="X651">
        <v>8268.5499999999993</v>
      </c>
      <c r="Y651">
        <v>300</v>
      </c>
      <c r="Z651">
        <v>10237.35</v>
      </c>
      <c r="AA651">
        <v>300</v>
      </c>
      <c r="AB651" s="6">
        <v>46147.586284722223</v>
      </c>
      <c r="AC651" s="6">
        <v>46105.614583333336</v>
      </c>
    </row>
    <row r="652" spans="1:29" x14ac:dyDescent="0.25">
      <c r="A652" t="s">
        <v>8</v>
      </c>
      <c r="B652" s="5">
        <v>46168</v>
      </c>
      <c r="C652" t="s">
        <v>54</v>
      </c>
      <c r="D652" t="s">
        <v>708</v>
      </c>
      <c r="E652">
        <v>17448450</v>
      </c>
      <c r="F652" t="s">
        <v>56</v>
      </c>
      <c r="G652" t="s">
        <v>57</v>
      </c>
      <c r="H652">
        <v>64200</v>
      </c>
      <c r="I652" t="s">
        <v>58</v>
      </c>
      <c r="J652">
        <v>6.1</v>
      </c>
      <c r="K652">
        <v>-19.205298013245038</v>
      </c>
      <c r="L652">
        <v>30</v>
      </c>
      <c r="M652">
        <v>6.24</v>
      </c>
      <c r="N652">
        <v>2040</v>
      </c>
      <c r="O652">
        <v>21660</v>
      </c>
      <c r="P652">
        <v>4470</v>
      </c>
      <c r="Q652">
        <v>7020</v>
      </c>
      <c r="R652">
        <v>7470</v>
      </c>
      <c r="S652">
        <v>6780</v>
      </c>
      <c r="T652">
        <v>5.55</v>
      </c>
      <c r="U652">
        <v>7.4</v>
      </c>
      <c r="V652">
        <v>5.55</v>
      </c>
      <c r="W652">
        <v>7.55</v>
      </c>
      <c r="X652">
        <v>5.7</v>
      </c>
      <c r="Y652">
        <v>90</v>
      </c>
      <c r="Z652">
        <v>6.65</v>
      </c>
      <c r="AA652">
        <v>90</v>
      </c>
      <c r="AB652" s="6">
        <v>46147.578564814816</v>
      </c>
      <c r="AC652" s="6">
        <v>46147.542256944442</v>
      </c>
    </row>
    <row r="653" spans="1:29" x14ac:dyDescent="0.25">
      <c r="A653" t="s">
        <v>8</v>
      </c>
      <c r="B653" s="5">
        <v>46168</v>
      </c>
      <c r="C653" t="s">
        <v>54</v>
      </c>
      <c r="D653" t="s">
        <v>709</v>
      </c>
      <c r="E653">
        <v>17448706</v>
      </c>
      <c r="F653" t="s">
        <v>56</v>
      </c>
      <c r="G653" t="s">
        <v>57</v>
      </c>
      <c r="H653">
        <v>64200</v>
      </c>
      <c r="I653" t="s">
        <v>60</v>
      </c>
      <c r="J653">
        <v>10822.75</v>
      </c>
      <c r="K653">
        <v>0</v>
      </c>
      <c r="L653">
        <v>30</v>
      </c>
      <c r="M653">
        <v>0</v>
      </c>
      <c r="N653">
        <v>0</v>
      </c>
      <c r="O653">
        <v>4470</v>
      </c>
      <c r="P653">
        <v>4830</v>
      </c>
      <c r="Q653">
        <v>30</v>
      </c>
      <c r="R653">
        <v>30</v>
      </c>
      <c r="S653">
        <v>30</v>
      </c>
      <c r="T653">
        <v>0</v>
      </c>
      <c r="U653">
        <v>0</v>
      </c>
      <c r="V653">
        <v>0</v>
      </c>
      <c r="W653">
        <v>10822.75</v>
      </c>
      <c r="X653">
        <v>8389.15</v>
      </c>
      <c r="Y653">
        <v>300</v>
      </c>
      <c r="Z653">
        <v>10020.6</v>
      </c>
      <c r="AA653">
        <v>300</v>
      </c>
      <c r="AB653" s="6">
        <v>46147.586192129631</v>
      </c>
      <c r="AC653" s="6">
        <v>46105.614583333336</v>
      </c>
    </row>
    <row r="654" spans="1:29" x14ac:dyDescent="0.25">
      <c r="A654" t="s">
        <v>8</v>
      </c>
      <c r="B654" s="5">
        <v>46168</v>
      </c>
      <c r="C654" t="s">
        <v>54</v>
      </c>
      <c r="D654" t="s">
        <v>710</v>
      </c>
      <c r="E654">
        <v>17448962</v>
      </c>
      <c r="F654" t="s">
        <v>56</v>
      </c>
      <c r="G654" t="s">
        <v>57</v>
      </c>
      <c r="H654">
        <v>64300</v>
      </c>
      <c r="I654" t="s">
        <v>58</v>
      </c>
      <c r="J654">
        <v>5.75</v>
      </c>
      <c r="K654">
        <v>-16.666666666666671</v>
      </c>
      <c r="L654">
        <v>120</v>
      </c>
      <c r="M654">
        <v>6.08</v>
      </c>
      <c r="N654">
        <v>930</v>
      </c>
      <c r="O654">
        <v>15540</v>
      </c>
      <c r="P654">
        <v>3900</v>
      </c>
      <c r="Q654">
        <v>420</v>
      </c>
      <c r="R654">
        <v>420</v>
      </c>
      <c r="S654">
        <v>300</v>
      </c>
      <c r="T654">
        <v>5.85</v>
      </c>
      <c r="U654">
        <v>7.25</v>
      </c>
      <c r="V654">
        <v>5.5</v>
      </c>
      <c r="W654">
        <v>6.9</v>
      </c>
      <c r="X654">
        <v>5.45</v>
      </c>
      <c r="Y654">
        <v>150</v>
      </c>
      <c r="Z654">
        <v>6.55</v>
      </c>
      <c r="AA654">
        <v>30</v>
      </c>
      <c r="AB654" s="6">
        <v>46147.580081018517</v>
      </c>
      <c r="AC654" s="6">
        <v>46147.542175925926</v>
      </c>
    </row>
    <row r="655" spans="1:29" x14ac:dyDescent="0.25">
      <c r="A655" t="s">
        <v>8</v>
      </c>
      <c r="B655" s="5">
        <v>46168</v>
      </c>
      <c r="C655" t="s">
        <v>54</v>
      </c>
      <c r="D655" t="s">
        <v>711</v>
      </c>
      <c r="E655">
        <v>17449474</v>
      </c>
      <c r="F655" t="s">
        <v>56</v>
      </c>
      <c r="G655" t="s">
        <v>57</v>
      </c>
      <c r="H655">
        <v>64300</v>
      </c>
      <c r="I655" t="s">
        <v>60</v>
      </c>
      <c r="J655">
        <v>10935.2</v>
      </c>
      <c r="K655">
        <v>0</v>
      </c>
      <c r="L655">
        <v>30</v>
      </c>
      <c r="M655">
        <v>0</v>
      </c>
      <c r="N655">
        <v>0</v>
      </c>
      <c r="O655">
        <v>4410</v>
      </c>
      <c r="P655">
        <v>4770</v>
      </c>
      <c r="Q655">
        <v>30</v>
      </c>
      <c r="R655">
        <v>30</v>
      </c>
      <c r="S655">
        <v>30</v>
      </c>
      <c r="T655">
        <v>0</v>
      </c>
      <c r="U655">
        <v>0</v>
      </c>
      <c r="V655">
        <v>0</v>
      </c>
      <c r="W655">
        <v>10935.2</v>
      </c>
      <c r="X655">
        <v>8523.65</v>
      </c>
      <c r="Y655">
        <v>300</v>
      </c>
      <c r="Z655">
        <v>10209.450000000001</v>
      </c>
      <c r="AA655">
        <v>300</v>
      </c>
      <c r="AB655" s="6">
        <v>46147.581192129626</v>
      </c>
      <c r="AC655" s="6">
        <v>46105.614583333336</v>
      </c>
    </row>
    <row r="656" spans="1:29" x14ac:dyDescent="0.25">
      <c r="A656" t="s">
        <v>8</v>
      </c>
      <c r="B656" s="5">
        <v>46168</v>
      </c>
      <c r="C656" t="s">
        <v>54</v>
      </c>
      <c r="D656" t="s">
        <v>712</v>
      </c>
      <c r="E656">
        <v>17450498</v>
      </c>
      <c r="F656" t="s">
        <v>56</v>
      </c>
      <c r="G656" t="s">
        <v>57</v>
      </c>
      <c r="H656">
        <v>64400</v>
      </c>
      <c r="I656" t="s">
        <v>58</v>
      </c>
      <c r="J656">
        <v>6.65</v>
      </c>
      <c r="K656">
        <v>-8.2758620689655125</v>
      </c>
      <c r="L656">
        <v>30</v>
      </c>
      <c r="M656">
        <v>5.81</v>
      </c>
      <c r="N656">
        <v>4800</v>
      </c>
      <c r="O656">
        <v>36690</v>
      </c>
      <c r="P656">
        <v>5190</v>
      </c>
      <c r="Q656">
        <v>3450</v>
      </c>
      <c r="R656">
        <v>3690</v>
      </c>
      <c r="S656">
        <v>2310</v>
      </c>
      <c r="T656">
        <v>5.8</v>
      </c>
      <c r="U656">
        <v>6.75</v>
      </c>
      <c r="V656">
        <v>5.35</v>
      </c>
      <c r="W656">
        <v>7.25</v>
      </c>
      <c r="X656">
        <v>5.2</v>
      </c>
      <c r="Y656">
        <v>240</v>
      </c>
      <c r="Z656">
        <v>6.65</v>
      </c>
      <c r="AA656">
        <v>30</v>
      </c>
      <c r="AB656" s="6">
        <v>46147.586192129631</v>
      </c>
      <c r="AC656" s="6">
        <v>46147.531319444446</v>
      </c>
    </row>
    <row r="657" spans="1:29" x14ac:dyDescent="0.25">
      <c r="A657" t="s">
        <v>8</v>
      </c>
      <c r="B657" s="5">
        <v>46168</v>
      </c>
      <c r="C657" t="s">
        <v>54</v>
      </c>
      <c r="D657" t="s">
        <v>713</v>
      </c>
      <c r="E657">
        <v>17450754</v>
      </c>
      <c r="F657" t="s">
        <v>56</v>
      </c>
      <c r="G657" t="s">
        <v>57</v>
      </c>
      <c r="H657">
        <v>64400</v>
      </c>
      <c r="I657" t="s">
        <v>60</v>
      </c>
      <c r="J657">
        <v>7000.05</v>
      </c>
      <c r="K657">
        <v>0</v>
      </c>
      <c r="L657">
        <v>30</v>
      </c>
      <c r="M657">
        <v>0</v>
      </c>
      <c r="N657">
        <v>0</v>
      </c>
      <c r="O657">
        <v>4830</v>
      </c>
      <c r="P657">
        <v>4710</v>
      </c>
      <c r="Q657">
        <v>120</v>
      </c>
      <c r="R657">
        <v>120</v>
      </c>
      <c r="S657">
        <v>120</v>
      </c>
      <c r="T657">
        <v>0</v>
      </c>
      <c r="U657">
        <v>0</v>
      </c>
      <c r="V657">
        <v>0</v>
      </c>
      <c r="W657">
        <v>7000.05</v>
      </c>
      <c r="X657">
        <v>8556</v>
      </c>
      <c r="Y657">
        <v>300</v>
      </c>
      <c r="Z657">
        <v>10330.049999999999</v>
      </c>
      <c r="AA657">
        <v>300</v>
      </c>
      <c r="AB657" s="6">
        <v>46147.586192129631</v>
      </c>
      <c r="AC657" s="6">
        <v>46132.404328703706</v>
      </c>
    </row>
    <row r="658" spans="1:29" x14ac:dyDescent="0.25">
      <c r="A658" t="s">
        <v>8</v>
      </c>
      <c r="B658" s="5">
        <v>46168</v>
      </c>
      <c r="C658" t="s">
        <v>54</v>
      </c>
      <c r="D658" t="s">
        <v>714</v>
      </c>
      <c r="E658">
        <v>17451266</v>
      </c>
      <c r="F658" t="s">
        <v>56</v>
      </c>
      <c r="G658" t="s">
        <v>57</v>
      </c>
      <c r="H658">
        <v>64500</v>
      </c>
      <c r="I658" t="s">
        <v>58</v>
      </c>
      <c r="J658">
        <v>5.25</v>
      </c>
      <c r="K658">
        <v>-26.056338028169012</v>
      </c>
      <c r="L658">
        <v>60</v>
      </c>
      <c r="M658">
        <v>5.74</v>
      </c>
      <c r="N658">
        <v>45360</v>
      </c>
      <c r="O658">
        <v>69150</v>
      </c>
      <c r="P658">
        <v>24780</v>
      </c>
      <c r="Q658">
        <v>37140</v>
      </c>
      <c r="R658">
        <v>37140</v>
      </c>
      <c r="S658">
        <v>34980</v>
      </c>
      <c r="T658">
        <v>5.9</v>
      </c>
      <c r="U658">
        <v>6.8</v>
      </c>
      <c r="V658">
        <v>5.25</v>
      </c>
      <c r="W658">
        <v>7.1</v>
      </c>
      <c r="X658">
        <v>5.2</v>
      </c>
      <c r="Y658">
        <v>390</v>
      </c>
      <c r="Z658">
        <v>5.35</v>
      </c>
      <c r="AA658">
        <v>60</v>
      </c>
      <c r="AB658" s="6">
        <v>46147.586458333331</v>
      </c>
      <c r="AC658" s="6">
        <v>46147.586180555554</v>
      </c>
    </row>
    <row r="659" spans="1:29" x14ac:dyDescent="0.25">
      <c r="A659" t="s">
        <v>8</v>
      </c>
      <c r="B659" s="5">
        <v>46168</v>
      </c>
      <c r="C659" t="s">
        <v>54</v>
      </c>
      <c r="D659" t="s">
        <v>715</v>
      </c>
      <c r="E659">
        <v>17451522</v>
      </c>
      <c r="F659" t="s">
        <v>56</v>
      </c>
      <c r="G659" t="s">
        <v>57</v>
      </c>
      <c r="H659">
        <v>64500</v>
      </c>
      <c r="I659" t="s">
        <v>60</v>
      </c>
      <c r="J659">
        <v>11127.6</v>
      </c>
      <c r="K659">
        <v>0</v>
      </c>
      <c r="L659">
        <v>30</v>
      </c>
      <c r="M659">
        <v>0</v>
      </c>
      <c r="N659">
        <v>0</v>
      </c>
      <c r="O659">
        <v>4410</v>
      </c>
      <c r="P659">
        <v>4830</v>
      </c>
      <c r="Q659">
        <v>30</v>
      </c>
      <c r="R659">
        <v>30</v>
      </c>
      <c r="S659">
        <v>30</v>
      </c>
      <c r="T659">
        <v>0</v>
      </c>
      <c r="U659">
        <v>0</v>
      </c>
      <c r="V659">
        <v>0</v>
      </c>
      <c r="W659">
        <v>11127.6</v>
      </c>
      <c r="X659">
        <v>8699.5499999999993</v>
      </c>
      <c r="Y659">
        <v>300</v>
      </c>
      <c r="Z659">
        <v>10455.950000000001</v>
      </c>
      <c r="AA659">
        <v>300</v>
      </c>
      <c r="AB659" s="6">
        <v>46147.583807870367</v>
      </c>
      <c r="AC659" s="6">
        <v>46105.614583333336</v>
      </c>
    </row>
    <row r="660" spans="1:29" x14ac:dyDescent="0.25">
      <c r="A660" t="s">
        <v>8</v>
      </c>
      <c r="B660" s="5">
        <v>46168</v>
      </c>
      <c r="C660" t="s">
        <v>54</v>
      </c>
      <c r="D660" t="s">
        <v>716</v>
      </c>
      <c r="E660">
        <v>17451778</v>
      </c>
      <c r="F660" t="s">
        <v>56</v>
      </c>
      <c r="G660" t="s">
        <v>57</v>
      </c>
      <c r="H660">
        <v>64600</v>
      </c>
      <c r="I660" t="s">
        <v>58</v>
      </c>
      <c r="J660">
        <v>5.2</v>
      </c>
      <c r="K660">
        <v>-19.379844961240309</v>
      </c>
      <c r="L660">
        <v>30</v>
      </c>
      <c r="M660">
        <v>5.5</v>
      </c>
      <c r="N660">
        <v>1710</v>
      </c>
      <c r="O660">
        <v>13860</v>
      </c>
      <c r="P660">
        <v>13470</v>
      </c>
      <c r="Q660">
        <v>690</v>
      </c>
      <c r="R660">
        <v>1050</v>
      </c>
      <c r="S660">
        <v>690</v>
      </c>
      <c r="T660">
        <v>7.3</v>
      </c>
      <c r="U660">
        <v>7.3</v>
      </c>
      <c r="V660">
        <v>5.2</v>
      </c>
      <c r="W660">
        <v>6.45</v>
      </c>
      <c r="X660">
        <v>5.0999999999999996</v>
      </c>
      <c r="Y660">
        <v>270</v>
      </c>
      <c r="Z660">
        <v>6.8</v>
      </c>
      <c r="AA660">
        <v>30</v>
      </c>
      <c r="AB660" s="6">
        <v>46147.581597222219</v>
      </c>
      <c r="AC660" s="6">
        <v>46147.518946759257</v>
      </c>
    </row>
    <row r="661" spans="1:29" x14ac:dyDescent="0.25">
      <c r="A661" t="s">
        <v>8</v>
      </c>
      <c r="B661" s="5">
        <v>46168</v>
      </c>
      <c r="C661" t="s">
        <v>54</v>
      </c>
      <c r="D661" t="s">
        <v>717</v>
      </c>
      <c r="E661">
        <v>17452034</v>
      </c>
      <c r="F661" t="s">
        <v>56</v>
      </c>
      <c r="G661" t="s">
        <v>57</v>
      </c>
      <c r="H661">
        <v>64600</v>
      </c>
      <c r="I661" t="s">
        <v>60</v>
      </c>
      <c r="J661">
        <v>11223.95</v>
      </c>
      <c r="K661">
        <v>0</v>
      </c>
      <c r="L661">
        <v>30</v>
      </c>
      <c r="M661">
        <v>0</v>
      </c>
      <c r="N661">
        <v>0</v>
      </c>
      <c r="O661">
        <v>4830</v>
      </c>
      <c r="P661">
        <v>4830</v>
      </c>
      <c r="Q661">
        <v>30</v>
      </c>
      <c r="R661">
        <v>30</v>
      </c>
      <c r="S661">
        <v>30</v>
      </c>
      <c r="T661">
        <v>0</v>
      </c>
      <c r="U661">
        <v>0</v>
      </c>
      <c r="V661">
        <v>0</v>
      </c>
      <c r="W661">
        <v>11223.95</v>
      </c>
      <c r="X661">
        <v>8730.4500000000007</v>
      </c>
      <c r="Y661">
        <v>300</v>
      </c>
      <c r="Z661">
        <v>10554.55</v>
      </c>
      <c r="AA661">
        <v>300</v>
      </c>
      <c r="AB661" s="6">
        <v>46147.5856712963</v>
      </c>
      <c r="AC661" s="6">
        <v>46105.614583333336</v>
      </c>
    </row>
    <row r="662" spans="1:29" x14ac:dyDescent="0.25">
      <c r="A662" t="s">
        <v>8</v>
      </c>
      <c r="B662" s="5">
        <v>46168</v>
      </c>
      <c r="C662" t="s">
        <v>54</v>
      </c>
      <c r="D662" t="s">
        <v>718</v>
      </c>
      <c r="E662">
        <v>17452290</v>
      </c>
      <c r="F662" t="s">
        <v>56</v>
      </c>
      <c r="G662" t="s">
        <v>57</v>
      </c>
      <c r="H662">
        <v>64700</v>
      </c>
      <c r="I662" t="s">
        <v>58</v>
      </c>
      <c r="J662">
        <v>5.3</v>
      </c>
      <c r="K662">
        <v>-17.187500000000007</v>
      </c>
      <c r="L662">
        <v>30</v>
      </c>
      <c r="M662">
        <v>4.97</v>
      </c>
      <c r="N662">
        <v>2010</v>
      </c>
      <c r="O662">
        <v>26520</v>
      </c>
      <c r="P662">
        <v>11430</v>
      </c>
      <c r="Q662">
        <v>2070</v>
      </c>
      <c r="R662">
        <v>2310</v>
      </c>
      <c r="S662">
        <v>2070</v>
      </c>
      <c r="T662">
        <v>5.6</v>
      </c>
      <c r="U662">
        <v>5.6</v>
      </c>
      <c r="V662">
        <v>4.55</v>
      </c>
      <c r="W662">
        <v>6.4</v>
      </c>
      <c r="X662">
        <v>4.55</v>
      </c>
      <c r="Y662">
        <v>600</v>
      </c>
      <c r="Z662">
        <v>6</v>
      </c>
      <c r="AA662">
        <v>30</v>
      </c>
      <c r="AB662" s="6">
        <v>46147.582245370373</v>
      </c>
      <c r="AC662" s="6">
        <v>46147.513553240744</v>
      </c>
    </row>
    <row r="663" spans="1:29" x14ac:dyDescent="0.25">
      <c r="A663" t="s">
        <v>8</v>
      </c>
      <c r="B663" s="5">
        <v>46168</v>
      </c>
      <c r="C663" t="s">
        <v>54</v>
      </c>
      <c r="D663" t="s">
        <v>719</v>
      </c>
      <c r="E663">
        <v>17452546</v>
      </c>
      <c r="F663" t="s">
        <v>56</v>
      </c>
      <c r="G663" t="s">
        <v>57</v>
      </c>
      <c r="H663">
        <v>64700</v>
      </c>
      <c r="I663" t="s">
        <v>60</v>
      </c>
      <c r="J663">
        <v>11320.55</v>
      </c>
      <c r="K663">
        <v>0</v>
      </c>
      <c r="L663">
        <v>30</v>
      </c>
      <c r="M663">
        <v>0</v>
      </c>
      <c r="N663">
        <v>0</v>
      </c>
      <c r="O663">
        <v>4830</v>
      </c>
      <c r="P663">
        <v>4830</v>
      </c>
      <c r="Q663">
        <v>30</v>
      </c>
      <c r="R663">
        <v>30</v>
      </c>
      <c r="S663">
        <v>30</v>
      </c>
      <c r="T663">
        <v>0</v>
      </c>
      <c r="U663">
        <v>0</v>
      </c>
      <c r="V663">
        <v>0</v>
      </c>
      <c r="W663">
        <v>11320.55</v>
      </c>
      <c r="X663">
        <v>8837.7999999999993</v>
      </c>
      <c r="Y663">
        <v>300</v>
      </c>
      <c r="Z663">
        <v>10497.75</v>
      </c>
      <c r="AA663">
        <v>300</v>
      </c>
      <c r="AB663" s="6">
        <v>46147.586284722223</v>
      </c>
      <c r="AC663" s="6">
        <v>46105.614583333336</v>
      </c>
    </row>
    <row r="664" spans="1:29" x14ac:dyDescent="0.25">
      <c r="A664" t="s">
        <v>8</v>
      </c>
      <c r="B664" s="5">
        <v>46168</v>
      </c>
      <c r="C664" t="s">
        <v>54</v>
      </c>
      <c r="D664" t="s">
        <v>720</v>
      </c>
      <c r="E664">
        <v>17452802</v>
      </c>
      <c r="F664" t="s">
        <v>56</v>
      </c>
      <c r="G664" t="s">
        <v>57</v>
      </c>
      <c r="H664">
        <v>64800</v>
      </c>
      <c r="I664" t="s">
        <v>58</v>
      </c>
      <c r="J664">
        <v>4.9000000000000004</v>
      </c>
      <c r="K664">
        <v>-17.647058823529409</v>
      </c>
      <c r="L664">
        <v>30</v>
      </c>
      <c r="M664">
        <v>5.54</v>
      </c>
      <c r="N664">
        <v>660</v>
      </c>
      <c r="O664">
        <v>15840</v>
      </c>
      <c r="P664">
        <v>10860</v>
      </c>
      <c r="Q664">
        <v>840</v>
      </c>
      <c r="R664">
        <v>960</v>
      </c>
      <c r="S664">
        <v>840</v>
      </c>
      <c r="T664">
        <v>6.1</v>
      </c>
      <c r="U664">
        <v>6.5</v>
      </c>
      <c r="V664">
        <v>4.5999999999999996</v>
      </c>
      <c r="W664">
        <v>5.95</v>
      </c>
      <c r="X664">
        <v>4.6500000000000004</v>
      </c>
      <c r="Y664">
        <v>30</v>
      </c>
      <c r="Z664">
        <v>6</v>
      </c>
      <c r="AA664">
        <v>60</v>
      </c>
      <c r="AB664" s="6">
        <v>46147.581932870373</v>
      </c>
      <c r="AC664" s="6">
        <v>46147.558275462965</v>
      </c>
    </row>
    <row r="665" spans="1:29" x14ac:dyDescent="0.25">
      <c r="A665" t="s">
        <v>8</v>
      </c>
      <c r="B665" s="5">
        <v>46168</v>
      </c>
      <c r="C665" t="s">
        <v>54</v>
      </c>
      <c r="D665" t="s">
        <v>721</v>
      </c>
      <c r="E665">
        <v>17453058</v>
      </c>
      <c r="F665" t="s">
        <v>56</v>
      </c>
      <c r="G665" t="s">
        <v>57</v>
      </c>
      <c r="H665">
        <v>64800</v>
      </c>
      <c r="I665" t="s">
        <v>60</v>
      </c>
      <c r="J665">
        <v>11417.5</v>
      </c>
      <c r="K665">
        <v>0</v>
      </c>
      <c r="L665">
        <v>30</v>
      </c>
      <c r="M665">
        <v>0</v>
      </c>
      <c r="N665">
        <v>0</v>
      </c>
      <c r="O665">
        <v>3930</v>
      </c>
      <c r="P665">
        <v>4200</v>
      </c>
      <c r="Q665">
        <v>600</v>
      </c>
      <c r="R665">
        <v>600</v>
      </c>
      <c r="S665">
        <v>600</v>
      </c>
      <c r="T665">
        <v>0</v>
      </c>
      <c r="U665">
        <v>0</v>
      </c>
      <c r="V665">
        <v>0</v>
      </c>
      <c r="W665">
        <v>11417.5</v>
      </c>
      <c r="X665">
        <v>8916.25</v>
      </c>
      <c r="Y665">
        <v>300</v>
      </c>
      <c r="Z665">
        <v>10269.950000000001</v>
      </c>
      <c r="AA665">
        <v>300</v>
      </c>
      <c r="AB665" s="6">
        <v>46147.586192129631</v>
      </c>
      <c r="AC665" s="6">
        <v>46105.614583333336</v>
      </c>
    </row>
    <row r="666" spans="1:29" x14ac:dyDescent="0.25">
      <c r="A666" t="s">
        <v>8</v>
      </c>
      <c r="B666" s="5">
        <v>46168</v>
      </c>
      <c r="C666" t="s">
        <v>54</v>
      </c>
      <c r="D666" t="s">
        <v>722</v>
      </c>
      <c r="E666">
        <v>17453826</v>
      </c>
      <c r="F666" t="s">
        <v>56</v>
      </c>
      <c r="G666" t="s">
        <v>57</v>
      </c>
      <c r="H666">
        <v>64900</v>
      </c>
      <c r="I666" t="s">
        <v>58</v>
      </c>
      <c r="J666">
        <v>4.5999999999999996</v>
      </c>
      <c r="K666">
        <v>-30.303030303030305</v>
      </c>
      <c r="L666">
        <v>60</v>
      </c>
      <c r="M666">
        <v>4.88</v>
      </c>
      <c r="N666">
        <v>1080</v>
      </c>
      <c r="O666">
        <v>16050</v>
      </c>
      <c r="P666">
        <v>9030</v>
      </c>
      <c r="Q666">
        <v>930</v>
      </c>
      <c r="R666">
        <v>990</v>
      </c>
      <c r="S666">
        <v>900</v>
      </c>
      <c r="T666">
        <v>4.5999999999999996</v>
      </c>
      <c r="U666">
        <v>6</v>
      </c>
      <c r="V666">
        <v>4.3499999999999996</v>
      </c>
      <c r="W666">
        <v>6.6</v>
      </c>
      <c r="X666">
        <v>4.4000000000000004</v>
      </c>
      <c r="Y666">
        <v>90</v>
      </c>
      <c r="Z666">
        <v>5.9</v>
      </c>
      <c r="AA666">
        <v>30</v>
      </c>
      <c r="AB666" s="6">
        <v>46147.584317129629</v>
      </c>
      <c r="AC666" s="6">
        <v>46147.519814814812</v>
      </c>
    </row>
    <row r="667" spans="1:29" x14ac:dyDescent="0.25">
      <c r="A667" t="s">
        <v>8</v>
      </c>
      <c r="B667" s="5">
        <v>46168</v>
      </c>
      <c r="C667" t="s">
        <v>54</v>
      </c>
      <c r="D667" t="s">
        <v>723</v>
      </c>
      <c r="E667">
        <v>17456642</v>
      </c>
      <c r="F667" t="s">
        <v>56</v>
      </c>
      <c r="G667" t="s">
        <v>57</v>
      </c>
      <c r="H667">
        <v>64900</v>
      </c>
      <c r="I667" t="s">
        <v>60</v>
      </c>
      <c r="J667">
        <v>11514.05</v>
      </c>
      <c r="K667">
        <v>0</v>
      </c>
      <c r="L667">
        <v>30</v>
      </c>
      <c r="M667">
        <v>0</v>
      </c>
      <c r="N667">
        <v>0</v>
      </c>
      <c r="O667">
        <v>3630</v>
      </c>
      <c r="P667">
        <v>4230</v>
      </c>
      <c r="Q667">
        <v>600</v>
      </c>
      <c r="R667">
        <v>600</v>
      </c>
      <c r="S667">
        <v>600</v>
      </c>
      <c r="T667">
        <v>0</v>
      </c>
      <c r="U667">
        <v>0</v>
      </c>
      <c r="V667">
        <v>0</v>
      </c>
      <c r="W667">
        <v>11514.05</v>
      </c>
      <c r="X667">
        <v>9036.0499999999993</v>
      </c>
      <c r="Y667">
        <v>300</v>
      </c>
      <c r="Z667">
        <v>10384.950000000001</v>
      </c>
      <c r="AA667">
        <v>600</v>
      </c>
      <c r="AB667" s="6">
        <v>46147.586284722223</v>
      </c>
      <c r="AC667" s="6">
        <v>46105.614583333336</v>
      </c>
    </row>
    <row r="668" spans="1:29" x14ac:dyDescent="0.25">
      <c r="A668" t="s">
        <v>8</v>
      </c>
      <c r="B668" s="5">
        <v>46168</v>
      </c>
      <c r="C668" t="s">
        <v>54</v>
      </c>
      <c r="D668" t="s">
        <v>724</v>
      </c>
      <c r="E668">
        <v>17456898</v>
      </c>
      <c r="F668" t="s">
        <v>56</v>
      </c>
      <c r="G668" t="s">
        <v>57</v>
      </c>
      <c r="H668">
        <v>65000</v>
      </c>
      <c r="I668" t="s">
        <v>58</v>
      </c>
      <c r="J668">
        <v>4.5999999999999996</v>
      </c>
      <c r="K668">
        <v>-20.000000000000004</v>
      </c>
      <c r="L668">
        <v>90</v>
      </c>
      <c r="M668">
        <v>4.87</v>
      </c>
      <c r="N668">
        <v>41040</v>
      </c>
      <c r="O668">
        <v>107940</v>
      </c>
      <c r="P668">
        <v>25800</v>
      </c>
      <c r="Q668">
        <v>133410</v>
      </c>
      <c r="R668">
        <v>140100</v>
      </c>
      <c r="S668">
        <v>132240</v>
      </c>
      <c r="T668">
        <v>5.65</v>
      </c>
      <c r="U668">
        <v>5.7</v>
      </c>
      <c r="V668">
        <v>4.5</v>
      </c>
      <c r="W668">
        <v>5.75</v>
      </c>
      <c r="X668">
        <v>4.45</v>
      </c>
      <c r="Y668">
        <v>1260</v>
      </c>
      <c r="Z668">
        <v>4.5999999999999996</v>
      </c>
      <c r="AA668">
        <v>450</v>
      </c>
      <c r="AB668" s="6">
        <v>46147.586215277777</v>
      </c>
      <c r="AC668" s="6">
        <v>46147.583333333336</v>
      </c>
    </row>
    <row r="669" spans="1:29" x14ac:dyDescent="0.25">
      <c r="A669" t="s">
        <v>8</v>
      </c>
      <c r="B669" s="5">
        <v>46168</v>
      </c>
      <c r="C669" t="s">
        <v>54</v>
      </c>
      <c r="D669" t="s">
        <v>725</v>
      </c>
      <c r="E669">
        <v>17457154</v>
      </c>
      <c r="F669" t="s">
        <v>56</v>
      </c>
      <c r="G669" t="s">
        <v>57</v>
      </c>
      <c r="H669">
        <v>65000</v>
      </c>
      <c r="I669" t="s">
        <v>60</v>
      </c>
      <c r="J669">
        <v>9865.4</v>
      </c>
      <c r="K669">
        <v>1.0913115207656601</v>
      </c>
      <c r="L669">
        <v>30</v>
      </c>
      <c r="M669">
        <v>10216.36</v>
      </c>
      <c r="N669">
        <v>1530</v>
      </c>
      <c r="O669">
        <v>4410</v>
      </c>
      <c r="P669">
        <v>3900</v>
      </c>
      <c r="Q669">
        <v>63060</v>
      </c>
      <c r="R669">
        <v>63930</v>
      </c>
      <c r="S669">
        <v>63060</v>
      </c>
      <c r="T669">
        <v>10400</v>
      </c>
      <c r="U669">
        <v>10400</v>
      </c>
      <c r="V669">
        <v>9854.4</v>
      </c>
      <c r="W669">
        <v>9758.9</v>
      </c>
      <c r="X669">
        <v>9862.9500000000007</v>
      </c>
      <c r="Y669">
        <v>180</v>
      </c>
      <c r="Z669">
        <v>9965.9500000000007</v>
      </c>
      <c r="AA669">
        <v>30</v>
      </c>
      <c r="AB669" s="6">
        <v>46147.586527777778</v>
      </c>
      <c r="AC669" s="6">
        <v>46147.573240740741</v>
      </c>
    </row>
    <row r="670" spans="1:29" x14ac:dyDescent="0.25">
      <c r="A670" t="s">
        <v>8</v>
      </c>
      <c r="B670" s="5">
        <v>46168</v>
      </c>
      <c r="C670" t="s">
        <v>54</v>
      </c>
      <c r="D670" t="s">
        <v>726</v>
      </c>
      <c r="E670">
        <v>17457410</v>
      </c>
      <c r="F670" t="s">
        <v>56</v>
      </c>
      <c r="G670" t="s">
        <v>57</v>
      </c>
      <c r="H670">
        <v>65100</v>
      </c>
      <c r="I670" t="s">
        <v>58</v>
      </c>
      <c r="J670">
        <v>4.3499999999999996</v>
      </c>
      <c r="K670">
        <v>-26.271186440677972</v>
      </c>
      <c r="L670">
        <v>30</v>
      </c>
      <c r="M670">
        <v>4.72</v>
      </c>
      <c r="N670">
        <v>2940</v>
      </c>
      <c r="O670">
        <v>13410</v>
      </c>
      <c r="P670">
        <v>11940</v>
      </c>
      <c r="Q670">
        <v>1680</v>
      </c>
      <c r="R670">
        <v>2040</v>
      </c>
      <c r="S670">
        <v>1470</v>
      </c>
      <c r="T670">
        <v>5.9</v>
      </c>
      <c r="U670">
        <v>6.2</v>
      </c>
      <c r="V670">
        <v>4.0999999999999996</v>
      </c>
      <c r="W670">
        <v>5.9</v>
      </c>
      <c r="X670">
        <v>4.2</v>
      </c>
      <c r="Y670">
        <v>180</v>
      </c>
      <c r="Z670">
        <v>5.45</v>
      </c>
      <c r="AA670">
        <v>90</v>
      </c>
      <c r="AB670" s="6">
        <v>46147.586284722223</v>
      </c>
      <c r="AC670" s="6">
        <v>46147.578483796293</v>
      </c>
    </row>
    <row r="671" spans="1:29" x14ac:dyDescent="0.25">
      <c r="A671" t="s">
        <v>8</v>
      </c>
      <c r="B671" s="5">
        <v>46168</v>
      </c>
      <c r="C671" t="s">
        <v>54</v>
      </c>
      <c r="D671" t="s">
        <v>727</v>
      </c>
      <c r="E671">
        <v>17459202</v>
      </c>
      <c r="F671" t="s">
        <v>56</v>
      </c>
      <c r="G671" t="s">
        <v>57</v>
      </c>
      <c r="H671">
        <v>65100</v>
      </c>
      <c r="I671" t="s">
        <v>60</v>
      </c>
      <c r="J671">
        <v>10464.85</v>
      </c>
      <c r="K671">
        <v>0</v>
      </c>
      <c r="L671">
        <v>30</v>
      </c>
      <c r="M671">
        <v>0</v>
      </c>
      <c r="N671">
        <v>0</v>
      </c>
      <c r="O671">
        <v>3930</v>
      </c>
      <c r="P671">
        <v>4230</v>
      </c>
      <c r="Q671">
        <v>600</v>
      </c>
      <c r="R671">
        <v>600</v>
      </c>
      <c r="S671">
        <v>600</v>
      </c>
      <c r="T671">
        <v>0</v>
      </c>
      <c r="U671">
        <v>0</v>
      </c>
      <c r="V671">
        <v>0</v>
      </c>
      <c r="W671">
        <v>10464.85</v>
      </c>
      <c r="X671">
        <v>9282</v>
      </c>
      <c r="Y671">
        <v>300</v>
      </c>
      <c r="Z671">
        <v>10583.5</v>
      </c>
      <c r="AA671">
        <v>300</v>
      </c>
      <c r="AB671" s="6">
        <v>46147.586284722223</v>
      </c>
      <c r="AC671" s="6">
        <v>46106.614594907405</v>
      </c>
    </row>
    <row r="672" spans="1:29" x14ac:dyDescent="0.25">
      <c r="A672" t="s">
        <v>8</v>
      </c>
      <c r="B672" s="5">
        <v>46168</v>
      </c>
      <c r="C672" t="s">
        <v>54</v>
      </c>
      <c r="D672" t="s">
        <v>728</v>
      </c>
      <c r="E672">
        <v>17459458</v>
      </c>
      <c r="F672" t="s">
        <v>56</v>
      </c>
      <c r="G672" t="s">
        <v>57</v>
      </c>
      <c r="H672">
        <v>65200</v>
      </c>
      <c r="I672" t="s">
        <v>58</v>
      </c>
      <c r="J672">
        <v>4.95</v>
      </c>
      <c r="K672">
        <v>-14.6551724137931</v>
      </c>
      <c r="L672">
        <v>30</v>
      </c>
      <c r="M672">
        <v>6.04</v>
      </c>
      <c r="N672">
        <v>11790</v>
      </c>
      <c r="O672">
        <v>19470</v>
      </c>
      <c r="P672">
        <v>14730</v>
      </c>
      <c r="Q672">
        <v>10050</v>
      </c>
      <c r="R672">
        <v>10500</v>
      </c>
      <c r="S672">
        <v>4590</v>
      </c>
      <c r="T672">
        <v>6.75</v>
      </c>
      <c r="U672">
        <v>9</v>
      </c>
      <c r="V672">
        <v>4.0999999999999996</v>
      </c>
      <c r="W672">
        <v>5.8</v>
      </c>
      <c r="X672">
        <v>4.3</v>
      </c>
      <c r="Y672">
        <v>90</v>
      </c>
      <c r="Z672">
        <v>4.95</v>
      </c>
      <c r="AA672">
        <v>90</v>
      </c>
      <c r="AB672" s="6">
        <v>46147.581250000003</v>
      </c>
      <c r="AC672" s="6">
        <v>46147.549733796295</v>
      </c>
    </row>
    <row r="673" spans="1:29" x14ac:dyDescent="0.25">
      <c r="A673" t="s">
        <v>8</v>
      </c>
      <c r="B673" s="5">
        <v>46168</v>
      </c>
      <c r="C673" t="s">
        <v>54</v>
      </c>
      <c r="D673" t="s">
        <v>729</v>
      </c>
      <c r="E673">
        <v>17459714</v>
      </c>
      <c r="F673" t="s">
        <v>56</v>
      </c>
      <c r="G673" t="s">
        <v>57</v>
      </c>
      <c r="H673">
        <v>65200</v>
      </c>
      <c r="I673" t="s">
        <v>60</v>
      </c>
      <c r="J673">
        <v>10572.45</v>
      </c>
      <c r="K673">
        <v>0</v>
      </c>
      <c r="L673">
        <v>30</v>
      </c>
      <c r="M673">
        <v>0</v>
      </c>
      <c r="N673">
        <v>0</v>
      </c>
      <c r="O673">
        <v>3930</v>
      </c>
      <c r="P673">
        <v>4200</v>
      </c>
      <c r="Q673">
        <v>600</v>
      </c>
      <c r="R673">
        <v>600</v>
      </c>
      <c r="S673">
        <v>600</v>
      </c>
      <c r="T673">
        <v>0</v>
      </c>
      <c r="U673">
        <v>0</v>
      </c>
      <c r="V673">
        <v>0</v>
      </c>
      <c r="W673">
        <v>10572.45</v>
      </c>
      <c r="X673">
        <v>9394.4500000000007</v>
      </c>
      <c r="Y673">
        <v>300</v>
      </c>
      <c r="Z673">
        <v>10671.05</v>
      </c>
      <c r="AA673">
        <v>300</v>
      </c>
      <c r="AB673" s="6">
        <v>46147.586192129631</v>
      </c>
      <c r="AC673" s="6">
        <v>46106.614583333336</v>
      </c>
    </row>
    <row r="674" spans="1:29" x14ac:dyDescent="0.25">
      <c r="A674" t="s">
        <v>8</v>
      </c>
      <c r="B674" s="5">
        <v>46168</v>
      </c>
      <c r="C674" t="s">
        <v>54</v>
      </c>
      <c r="D674" t="s">
        <v>730</v>
      </c>
      <c r="E674">
        <v>17459970</v>
      </c>
      <c r="F674" t="s">
        <v>56</v>
      </c>
      <c r="G674" t="s">
        <v>57</v>
      </c>
      <c r="H674">
        <v>65300</v>
      </c>
      <c r="I674" t="s">
        <v>58</v>
      </c>
      <c r="J674">
        <v>5.5</v>
      </c>
      <c r="K674">
        <v>0</v>
      </c>
      <c r="L674">
        <v>120</v>
      </c>
      <c r="M674">
        <v>0</v>
      </c>
      <c r="N674">
        <v>0</v>
      </c>
      <c r="O674">
        <v>12510</v>
      </c>
      <c r="P674">
        <v>11100</v>
      </c>
      <c r="Q674">
        <v>1200</v>
      </c>
      <c r="R674">
        <v>1200</v>
      </c>
      <c r="S674">
        <v>1200</v>
      </c>
      <c r="T674">
        <v>0</v>
      </c>
      <c r="U674">
        <v>0</v>
      </c>
      <c r="V674">
        <v>0</v>
      </c>
      <c r="W674">
        <v>5.5</v>
      </c>
      <c r="X674">
        <v>4.1500000000000004</v>
      </c>
      <c r="Y674">
        <v>270</v>
      </c>
      <c r="Z674">
        <v>6</v>
      </c>
      <c r="AA674">
        <v>90</v>
      </c>
      <c r="AB674" s="6">
        <v>46147.58326388889</v>
      </c>
      <c r="AC674" s="6">
        <v>46146.604930555557</v>
      </c>
    </row>
    <row r="675" spans="1:29" x14ac:dyDescent="0.25">
      <c r="A675" t="s">
        <v>8</v>
      </c>
      <c r="B675" s="5">
        <v>46168</v>
      </c>
      <c r="C675" t="s">
        <v>54</v>
      </c>
      <c r="D675" t="s">
        <v>731</v>
      </c>
      <c r="E675">
        <v>17460226</v>
      </c>
      <c r="F675" t="s">
        <v>56</v>
      </c>
      <c r="G675" t="s">
        <v>57</v>
      </c>
      <c r="H675">
        <v>65300</v>
      </c>
      <c r="I675" t="s">
        <v>60</v>
      </c>
      <c r="J675">
        <v>7350</v>
      </c>
      <c r="K675">
        <v>0</v>
      </c>
      <c r="L675">
        <v>60</v>
      </c>
      <c r="M675">
        <v>0</v>
      </c>
      <c r="N675">
        <v>0</v>
      </c>
      <c r="O675">
        <v>3930</v>
      </c>
      <c r="P675">
        <v>4230</v>
      </c>
      <c r="Q675">
        <v>510</v>
      </c>
      <c r="R675">
        <v>510</v>
      </c>
      <c r="S675">
        <v>510</v>
      </c>
      <c r="T675">
        <v>0</v>
      </c>
      <c r="U675">
        <v>0</v>
      </c>
      <c r="V675">
        <v>0</v>
      </c>
      <c r="W675">
        <v>7350</v>
      </c>
      <c r="X675">
        <v>9345.5499999999993</v>
      </c>
      <c r="Y675">
        <v>300</v>
      </c>
      <c r="Z675">
        <v>10781.9</v>
      </c>
      <c r="AA675">
        <v>300</v>
      </c>
      <c r="AB675" s="6">
        <v>46147.586296296293</v>
      </c>
      <c r="AC675" s="6">
        <v>46134.442395833335</v>
      </c>
    </row>
    <row r="676" spans="1:29" x14ac:dyDescent="0.25">
      <c r="A676" t="s">
        <v>8</v>
      </c>
      <c r="B676" s="5">
        <v>46168</v>
      </c>
      <c r="C676" t="s">
        <v>54</v>
      </c>
      <c r="D676" t="s">
        <v>732</v>
      </c>
      <c r="E676">
        <v>17460482</v>
      </c>
      <c r="F676" t="s">
        <v>56</v>
      </c>
      <c r="G676" t="s">
        <v>57</v>
      </c>
      <c r="H676">
        <v>65400</v>
      </c>
      <c r="I676" t="s">
        <v>58</v>
      </c>
      <c r="J676">
        <v>4.1500000000000004</v>
      </c>
      <c r="K676">
        <v>-22.429906542056063</v>
      </c>
      <c r="L676">
        <v>30</v>
      </c>
      <c r="M676">
        <v>4.66</v>
      </c>
      <c r="N676">
        <v>1590</v>
      </c>
      <c r="O676">
        <v>10230</v>
      </c>
      <c r="P676">
        <v>10920</v>
      </c>
      <c r="Q676">
        <v>600</v>
      </c>
      <c r="R676">
        <v>690</v>
      </c>
      <c r="S676">
        <v>570</v>
      </c>
      <c r="T676">
        <v>5.25</v>
      </c>
      <c r="U676">
        <v>5.5</v>
      </c>
      <c r="V676">
        <v>4.05</v>
      </c>
      <c r="W676">
        <v>5.35</v>
      </c>
      <c r="X676">
        <v>4</v>
      </c>
      <c r="Y676">
        <v>150</v>
      </c>
      <c r="Z676">
        <v>5.5</v>
      </c>
      <c r="AA676">
        <v>90</v>
      </c>
      <c r="AB676" s="6">
        <v>46147.580254629633</v>
      </c>
      <c r="AC676" s="6">
        <v>46147.556759259256</v>
      </c>
    </row>
    <row r="677" spans="1:29" x14ac:dyDescent="0.25">
      <c r="A677" t="s">
        <v>8</v>
      </c>
      <c r="B677" s="5">
        <v>46168</v>
      </c>
      <c r="C677" t="s">
        <v>54</v>
      </c>
      <c r="D677" t="s">
        <v>733</v>
      </c>
      <c r="E677">
        <v>17460738</v>
      </c>
      <c r="F677" t="s">
        <v>56</v>
      </c>
      <c r="G677" t="s">
        <v>57</v>
      </c>
      <c r="H677">
        <v>65400</v>
      </c>
      <c r="I677" t="s">
        <v>60</v>
      </c>
      <c r="J677">
        <v>10104.75</v>
      </c>
      <c r="K677">
        <v>0</v>
      </c>
      <c r="L677">
        <v>30</v>
      </c>
      <c r="M677">
        <v>0</v>
      </c>
      <c r="N677">
        <v>0</v>
      </c>
      <c r="O677">
        <v>4830</v>
      </c>
      <c r="P677">
        <v>4890</v>
      </c>
      <c r="Q677">
        <v>570</v>
      </c>
      <c r="R677">
        <v>570</v>
      </c>
      <c r="S677">
        <v>570</v>
      </c>
      <c r="T677">
        <v>0</v>
      </c>
      <c r="U677">
        <v>0</v>
      </c>
      <c r="V677">
        <v>0</v>
      </c>
      <c r="W677">
        <v>10104.75</v>
      </c>
      <c r="X677">
        <v>9460.4</v>
      </c>
      <c r="Y677">
        <v>300</v>
      </c>
      <c r="Z677">
        <v>10738.3</v>
      </c>
      <c r="AA677">
        <v>360</v>
      </c>
      <c r="AB677" s="6">
        <v>46147.585150462961</v>
      </c>
      <c r="AC677" s="6">
        <v>46125.439340277779</v>
      </c>
    </row>
    <row r="678" spans="1:29" x14ac:dyDescent="0.25">
      <c r="A678" t="s">
        <v>8</v>
      </c>
      <c r="B678" s="5">
        <v>46168</v>
      </c>
      <c r="C678" t="s">
        <v>54</v>
      </c>
      <c r="D678" t="s">
        <v>734</v>
      </c>
      <c r="E678">
        <v>17460994</v>
      </c>
      <c r="F678" t="s">
        <v>56</v>
      </c>
      <c r="G678" t="s">
        <v>57</v>
      </c>
      <c r="H678">
        <v>65500</v>
      </c>
      <c r="I678" t="s">
        <v>58</v>
      </c>
      <c r="J678">
        <v>4.25</v>
      </c>
      <c r="K678">
        <v>-20.560747663551396</v>
      </c>
      <c r="L678">
        <v>90</v>
      </c>
      <c r="M678">
        <v>4.47</v>
      </c>
      <c r="N678">
        <v>810</v>
      </c>
      <c r="O678">
        <v>62760</v>
      </c>
      <c r="P678">
        <v>18360</v>
      </c>
      <c r="Q678">
        <v>5460</v>
      </c>
      <c r="R678">
        <v>5700</v>
      </c>
      <c r="S678">
        <v>5460</v>
      </c>
      <c r="T678">
        <v>4.05</v>
      </c>
      <c r="U678">
        <v>5</v>
      </c>
      <c r="V678">
        <v>4.05</v>
      </c>
      <c r="W678">
        <v>5.35</v>
      </c>
      <c r="X678">
        <v>4.25</v>
      </c>
      <c r="Y678">
        <v>90</v>
      </c>
      <c r="Z678">
        <v>4.5999999999999996</v>
      </c>
      <c r="AA678">
        <v>150</v>
      </c>
      <c r="AB678" s="6">
        <v>46147.586296296293</v>
      </c>
      <c r="AC678" s="6">
        <v>46147.517858796295</v>
      </c>
    </row>
    <row r="679" spans="1:29" x14ac:dyDescent="0.25">
      <c r="A679" t="s">
        <v>8</v>
      </c>
      <c r="B679" s="5">
        <v>46168</v>
      </c>
      <c r="C679" t="s">
        <v>54</v>
      </c>
      <c r="D679" t="s">
        <v>735</v>
      </c>
      <c r="E679">
        <v>17461762</v>
      </c>
      <c r="F679" t="s">
        <v>56</v>
      </c>
      <c r="G679" t="s">
        <v>57</v>
      </c>
      <c r="H679">
        <v>65500</v>
      </c>
      <c r="I679" t="s">
        <v>60</v>
      </c>
      <c r="J679">
        <v>10851.45</v>
      </c>
      <c r="K679">
        <v>0</v>
      </c>
      <c r="L679">
        <v>30</v>
      </c>
      <c r="M679">
        <v>0</v>
      </c>
      <c r="N679">
        <v>0</v>
      </c>
      <c r="O679">
        <v>3930</v>
      </c>
      <c r="P679">
        <v>4230</v>
      </c>
      <c r="Q679">
        <v>600</v>
      </c>
      <c r="R679">
        <v>600</v>
      </c>
      <c r="S679">
        <v>600</v>
      </c>
      <c r="T679">
        <v>0</v>
      </c>
      <c r="U679">
        <v>0</v>
      </c>
      <c r="V679">
        <v>0</v>
      </c>
      <c r="W679">
        <v>10851.45</v>
      </c>
      <c r="X679">
        <v>9505.9500000000007</v>
      </c>
      <c r="Y679">
        <v>300</v>
      </c>
      <c r="Z679">
        <v>10690.65</v>
      </c>
      <c r="AA679">
        <v>300</v>
      </c>
      <c r="AB679" s="6">
        <v>46147.586296296293</v>
      </c>
      <c r="AC679" s="6">
        <v>46106.614594907405</v>
      </c>
    </row>
    <row r="680" spans="1:29" x14ac:dyDescent="0.25">
      <c r="A680" t="s">
        <v>8</v>
      </c>
      <c r="B680" s="5">
        <v>46168</v>
      </c>
      <c r="C680" t="s">
        <v>54</v>
      </c>
      <c r="D680" t="s">
        <v>736</v>
      </c>
      <c r="E680">
        <v>17462018</v>
      </c>
      <c r="F680" t="s">
        <v>56</v>
      </c>
      <c r="G680" t="s">
        <v>57</v>
      </c>
      <c r="H680">
        <v>65600</v>
      </c>
      <c r="I680" t="s">
        <v>58</v>
      </c>
      <c r="J680">
        <v>6</v>
      </c>
      <c r="K680">
        <v>0</v>
      </c>
      <c r="L680">
        <v>30</v>
      </c>
      <c r="M680">
        <v>0</v>
      </c>
      <c r="N680">
        <v>0</v>
      </c>
      <c r="O680">
        <v>10050</v>
      </c>
      <c r="P680">
        <v>11880</v>
      </c>
      <c r="Q680">
        <v>420</v>
      </c>
      <c r="R680">
        <v>420</v>
      </c>
      <c r="S680">
        <v>420</v>
      </c>
      <c r="T680">
        <v>0</v>
      </c>
      <c r="U680">
        <v>0</v>
      </c>
      <c r="V680">
        <v>0</v>
      </c>
      <c r="W680">
        <v>6</v>
      </c>
      <c r="X680">
        <v>3.75</v>
      </c>
      <c r="Y680">
        <v>300</v>
      </c>
      <c r="Z680">
        <v>5.9</v>
      </c>
      <c r="AA680">
        <v>90</v>
      </c>
      <c r="AB680" s="6">
        <v>46147.583032407405</v>
      </c>
      <c r="AC680" s="6">
        <v>46141.613020833334</v>
      </c>
    </row>
    <row r="681" spans="1:29" x14ac:dyDescent="0.25">
      <c r="A681" t="s">
        <v>8</v>
      </c>
      <c r="B681" s="5">
        <v>46168</v>
      </c>
      <c r="C681" t="s">
        <v>54</v>
      </c>
      <c r="D681" t="s">
        <v>737</v>
      </c>
      <c r="E681">
        <v>17462274</v>
      </c>
      <c r="F681" t="s">
        <v>56</v>
      </c>
      <c r="G681" t="s">
        <v>57</v>
      </c>
      <c r="H681">
        <v>65600</v>
      </c>
      <c r="I681" t="s">
        <v>60</v>
      </c>
      <c r="J681">
        <v>10948.45</v>
      </c>
      <c r="K681">
        <v>0</v>
      </c>
      <c r="L681">
        <v>30</v>
      </c>
      <c r="M681">
        <v>0</v>
      </c>
      <c r="N681">
        <v>0</v>
      </c>
      <c r="O681">
        <v>4830</v>
      </c>
      <c r="P681">
        <v>4830</v>
      </c>
      <c r="Q681">
        <v>600</v>
      </c>
      <c r="R681">
        <v>600</v>
      </c>
      <c r="S681">
        <v>600</v>
      </c>
      <c r="T681">
        <v>0</v>
      </c>
      <c r="U681">
        <v>0</v>
      </c>
      <c r="V681">
        <v>0</v>
      </c>
      <c r="W681">
        <v>10948.45</v>
      </c>
      <c r="X681">
        <v>9613.65</v>
      </c>
      <c r="Y681">
        <v>300</v>
      </c>
      <c r="Z681">
        <v>11415.85</v>
      </c>
      <c r="AA681">
        <v>300</v>
      </c>
      <c r="AB681" s="6">
        <v>46147.583587962959</v>
      </c>
      <c r="AC681" s="6">
        <v>46106.614594907405</v>
      </c>
    </row>
    <row r="682" spans="1:29" x14ac:dyDescent="0.25">
      <c r="A682" t="s">
        <v>8</v>
      </c>
      <c r="B682" s="5">
        <v>46168</v>
      </c>
      <c r="C682" t="s">
        <v>54</v>
      </c>
      <c r="D682" t="s">
        <v>738</v>
      </c>
      <c r="E682">
        <v>17462530</v>
      </c>
      <c r="F682" t="s">
        <v>56</v>
      </c>
      <c r="G682" t="s">
        <v>57</v>
      </c>
      <c r="H682">
        <v>65700</v>
      </c>
      <c r="I682" t="s">
        <v>58</v>
      </c>
      <c r="J682">
        <v>4.5</v>
      </c>
      <c r="K682">
        <v>-12.621359223300976</v>
      </c>
      <c r="L682">
        <v>30</v>
      </c>
      <c r="M682">
        <v>4.2699999999999996</v>
      </c>
      <c r="N682">
        <v>120</v>
      </c>
      <c r="O682">
        <v>19080</v>
      </c>
      <c r="P682">
        <v>12540</v>
      </c>
      <c r="Q682">
        <v>480</v>
      </c>
      <c r="R682">
        <v>480</v>
      </c>
      <c r="S682">
        <v>480</v>
      </c>
      <c r="T682">
        <v>5.15</v>
      </c>
      <c r="U682">
        <v>5.15</v>
      </c>
      <c r="V682">
        <v>3.4</v>
      </c>
      <c r="W682">
        <v>5.15</v>
      </c>
      <c r="X682">
        <v>3.6</v>
      </c>
      <c r="Y682">
        <v>270</v>
      </c>
      <c r="Z682">
        <v>5.9</v>
      </c>
      <c r="AA682">
        <v>90</v>
      </c>
      <c r="AB682" s="6">
        <v>46147.583275462966</v>
      </c>
      <c r="AC682" s="6">
        <v>46147.581712962965</v>
      </c>
    </row>
    <row r="683" spans="1:29" x14ac:dyDescent="0.25">
      <c r="A683" t="s">
        <v>8</v>
      </c>
      <c r="B683" s="5">
        <v>46168</v>
      </c>
      <c r="C683" t="s">
        <v>54</v>
      </c>
      <c r="D683" t="s">
        <v>739</v>
      </c>
      <c r="E683">
        <v>17462786</v>
      </c>
      <c r="F683" t="s">
        <v>56</v>
      </c>
      <c r="G683" t="s">
        <v>57</v>
      </c>
      <c r="H683">
        <v>65700</v>
      </c>
      <c r="I683" t="s">
        <v>60</v>
      </c>
      <c r="J683">
        <v>11045.75</v>
      </c>
      <c r="K683">
        <v>0</v>
      </c>
      <c r="L683">
        <v>30</v>
      </c>
      <c r="M683">
        <v>0</v>
      </c>
      <c r="N683">
        <v>0</v>
      </c>
      <c r="O683">
        <v>4830</v>
      </c>
      <c r="P683">
        <v>4830</v>
      </c>
      <c r="Q683">
        <v>600</v>
      </c>
      <c r="R683">
        <v>600</v>
      </c>
      <c r="S683">
        <v>600</v>
      </c>
      <c r="T683">
        <v>0</v>
      </c>
      <c r="U683">
        <v>0</v>
      </c>
      <c r="V683">
        <v>0</v>
      </c>
      <c r="W683">
        <v>11045.75</v>
      </c>
      <c r="X683">
        <v>9708.15</v>
      </c>
      <c r="Y683">
        <v>300</v>
      </c>
      <c r="Z683">
        <v>11540.05</v>
      </c>
      <c r="AA683">
        <v>300</v>
      </c>
      <c r="AB683" s="6">
        <v>46147.583819444444</v>
      </c>
      <c r="AC683" s="6">
        <v>46106.614594907405</v>
      </c>
    </row>
    <row r="684" spans="1:29" x14ac:dyDescent="0.25">
      <c r="A684" t="s">
        <v>8</v>
      </c>
      <c r="B684" s="5">
        <v>46168</v>
      </c>
      <c r="C684" t="s">
        <v>54</v>
      </c>
      <c r="D684" t="s">
        <v>740</v>
      </c>
      <c r="E684">
        <v>17463042</v>
      </c>
      <c r="F684" t="s">
        <v>56</v>
      </c>
      <c r="G684" t="s">
        <v>57</v>
      </c>
      <c r="H684">
        <v>65800</v>
      </c>
      <c r="I684" t="s">
        <v>58</v>
      </c>
      <c r="J684">
        <v>3.95</v>
      </c>
      <c r="K684">
        <v>-16.84210526315789</v>
      </c>
      <c r="L684">
        <v>30</v>
      </c>
      <c r="M684">
        <v>3.91</v>
      </c>
      <c r="N684">
        <v>390</v>
      </c>
      <c r="O684">
        <v>17370</v>
      </c>
      <c r="P684">
        <v>12150</v>
      </c>
      <c r="Q684">
        <v>4350</v>
      </c>
      <c r="R684">
        <v>4410</v>
      </c>
      <c r="S684">
        <v>4350</v>
      </c>
      <c r="T684">
        <v>4.75</v>
      </c>
      <c r="U684">
        <v>4.75</v>
      </c>
      <c r="V684">
        <v>3.55</v>
      </c>
      <c r="W684">
        <v>4.75</v>
      </c>
      <c r="X684">
        <v>3.85</v>
      </c>
      <c r="Y684">
        <v>210</v>
      </c>
      <c r="Z684">
        <v>5.25</v>
      </c>
      <c r="AA684">
        <v>30</v>
      </c>
      <c r="AB684" s="6">
        <v>46147.581597222219</v>
      </c>
      <c r="AC684" s="6">
        <v>46147.550104166665</v>
      </c>
    </row>
    <row r="685" spans="1:29" x14ac:dyDescent="0.25">
      <c r="A685" t="s">
        <v>8</v>
      </c>
      <c r="B685" s="5">
        <v>46168</v>
      </c>
      <c r="C685" t="s">
        <v>54</v>
      </c>
      <c r="D685" t="s">
        <v>741</v>
      </c>
      <c r="E685">
        <v>17463298</v>
      </c>
      <c r="F685" t="s">
        <v>56</v>
      </c>
      <c r="G685" t="s">
        <v>57</v>
      </c>
      <c r="H685">
        <v>65800</v>
      </c>
      <c r="I685" t="s">
        <v>60</v>
      </c>
      <c r="J685">
        <v>11153.9</v>
      </c>
      <c r="K685">
        <v>0</v>
      </c>
      <c r="L685">
        <v>30</v>
      </c>
      <c r="M685">
        <v>0</v>
      </c>
      <c r="N685">
        <v>0</v>
      </c>
      <c r="O685">
        <v>3930</v>
      </c>
      <c r="P685">
        <v>4170</v>
      </c>
      <c r="Q685">
        <v>600</v>
      </c>
      <c r="R685">
        <v>600</v>
      </c>
      <c r="S685">
        <v>600</v>
      </c>
      <c r="T685">
        <v>0</v>
      </c>
      <c r="U685">
        <v>0</v>
      </c>
      <c r="V685">
        <v>0</v>
      </c>
      <c r="W685">
        <v>11153.9</v>
      </c>
      <c r="X685">
        <v>9772</v>
      </c>
      <c r="Y685">
        <v>300</v>
      </c>
      <c r="Z685">
        <v>11304.45</v>
      </c>
      <c r="AA685">
        <v>300</v>
      </c>
      <c r="AB685" s="6">
        <v>46147.586192129631</v>
      </c>
      <c r="AC685" s="6">
        <v>46106.614583333336</v>
      </c>
    </row>
    <row r="686" spans="1:29" x14ac:dyDescent="0.25">
      <c r="A686" t="s">
        <v>8</v>
      </c>
      <c r="B686" s="5">
        <v>46168</v>
      </c>
      <c r="C686" t="s">
        <v>54</v>
      </c>
      <c r="D686" t="s">
        <v>742</v>
      </c>
      <c r="E686">
        <v>17464066</v>
      </c>
      <c r="F686" t="s">
        <v>56</v>
      </c>
      <c r="G686" t="s">
        <v>57</v>
      </c>
      <c r="H686">
        <v>65900</v>
      </c>
      <c r="I686" t="s">
        <v>58</v>
      </c>
      <c r="J686">
        <v>4.5</v>
      </c>
      <c r="K686">
        <v>-11.764705882352935</v>
      </c>
      <c r="L686">
        <v>30</v>
      </c>
      <c r="M686">
        <v>4.71</v>
      </c>
      <c r="N686">
        <v>330</v>
      </c>
      <c r="O686">
        <v>12330</v>
      </c>
      <c r="P686">
        <v>10890</v>
      </c>
      <c r="Q686">
        <v>1350</v>
      </c>
      <c r="R686">
        <v>1410</v>
      </c>
      <c r="S686">
        <v>1350</v>
      </c>
      <c r="T686">
        <v>5.3</v>
      </c>
      <c r="U686">
        <v>5.3</v>
      </c>
      <c r="V686">
        <v>4.1500000000000004</v>
      </c>
      <c r="W686">
        <v>5.0999999999999996</v>
      </c>
      <c r="X686">
        <v>4.1500000000000004</v>
      </c>
      <c r="Y686">
        <v>180</v>
      </c>
      <c r="Z686">
        <v>5.5</v>
      </c>
      <c r="AA686">
        <v>30</v>
      </c>
      <c r="AB686" s="6">
        <v>46147.572222222225</v>
      </c>
      <c r="AC686" s="6">
        <v>46147.561469907407</v>
      </c>
    </row>
    <row r="687" spans="1:29" x14ac:dyDescent="0.25">
      <c r="A687" t="s">
        <v>8</v>
      </c>
      <c r="B687" s="5">
        <v>46168</v>
      </c>
      <c r="C687" t="s">
        <v>54</v>
      </c>
      <c r="D687" t="s">
        <v>743</v>
      </c>
      <c r="E687">
        <v>17464322</v>
      </c>
      <c r="F687" t="s">
        <v>56</v>
      </c>
      <c r="G687" t="s">
        <v>57</v>
      </c>
      <c r="H687">
        <v>65900</v>
      </c>
      <c r="I687" t="s">
        <v>60</v>
      </c>
      <c r="J687">
        <v>11256</v>
      </c>
      <c r="K687">
        <v>0</v>
      </c>
      <c r="L687">
        <v>30</v>
      </c>
      <c r="M687">
        <v>0</v>
      </c>
      <c r="N687">
        <v>0</v>
      </c>
      <c r="O687">
        <v>4830</v>
      </c>
      <c r="P687">
        <v>4830</v>
      </c>
      <c r="Q687">
        <v>600</v>
      </c>
      <c r="R687">
        <v>600</v>
      </c>
      <c r="S687">
        <v>600</v>
      </c>
      <c r="T687">
        <v>0</v>
      </c>
      <c r="U687">
        <v>0</v>
      </c>
      <c r="V687">
        <v>0</v>
      </c>
      <c r="W687">
        <v>11256</v>
      </c>
      <c r="X687">
        <v>9840.5</v>
      </c>
      <c r="Y687">
        <v>300</v>
      </c>
      <c r="Z687">
        <v>11692.95</v>
      </c>
      <c r="AA687">
        <v>300</v>
      </c>
      <c r="AB687" s="6">
        <v>46147.586296296293</v>
      </c>
      <c r="AC687" s="6">
        <v>46106.614583333336</v>
      </c>
    </row>
    <row r="688" spans="1:29" x14ac:dyDescent="0.25">
      <c r="A688" t="s">
        <v>8</v>
      </c>
      <c r="B688" s="5">
        <v>46168</v>
      </c>
      <c r="C688" t="s">
        <v>54</v>
      </c>
      <c r="D688" t="s">
        <v>744</v>
      </c>
      <c r="E688">
        <v>17464578</v>
      </c>
      <c r="F688" t="s">
        <v>56</v>
      </c>
      <c r="G688" t="s">
        <v>57</v>
      </c>
      <c r="H688">
        <v>66000</v>
      </c>
      <c r="I688" t="s">
        <v>58</v>
      </c>
      <c r="J688">
        <v>3.85</v>
      </c>
      <c r="K688">
        <v>-14.444444444444441</v>
      </c>
      <c r="L688">
        <v>60</v>
      </c>
      <c r="M688">
        <v>4.0199999999999996</v>
      </c>
      <c r="N688">
        <v>18840</v>
      </c>
      <c r="O688">
        <v>107130</v>
      </c>
      <c r="P688">
        <v>37650</v>
      </c>
      <c r="Q688">
        <v>72600</v>
      </c>
      <c r="R688">
        <v>78000</v>
      </c>
      <c r="S688">
        <v>72600</v>
      </c>
      <c r="T688">
        <v>4.7</v>
      </c>
      <c r="U688">
        <v>4.7</v>
      </c>
      <c r="V688">
        <v>3.75</v>
      </c>
      <c r="W688">
        <v>4.5</v>
      </c>
      <c r="X688">
        <v>3.6</v>
      </c>
      <c r="Y688">
        <v>360</v>
      </c>
      <c r="Z688">
        <v>3.8</v>
      </c>
      <c r="AA688">
        <v>210</v>
      </c>
      <c r="AB688" s="6">
        <v>46147.586192129631</v>
      </c>
      <c r="AC688" s="6">
        <v>46147.581643518519</v>
      </c>
    </row>
    <row r="689" spans="1:29" x14ac:dyDescent="0.25">
      <c r="A689" t="s">
        <v>8</v>
      </c>
      <c r="B689" s="5">
        <v>46168</v>
      </c>
      <c r="C689" t="s">
        <v>54</v>
      </c>
      <c r="D689" t="s">
        <v>745</v>
      </c>
      <c r="E689">
        <v>17464834</v>
      </c>
      <c r="F689" t="s">
        <v>56</v>
      </c>
      <c r="G689" t="s">
        <v>57</v>
      </c>
      <c r="H689">
        <v>66000</v>
      </c>
      <c r="I689" t="s">
        <v>60</v>
      </c>
      <c r="J689">
        <v>10708.7</v>
      </c>
      <c r="K689">
        <v>0</v>
      </c>
      <c r="L689">
        <v>30</v>
      </c>
      <c r="M689">
        <v>0</v>
      </c>
      <c r="N689">
        <v>0</v>
      </c>
      <c r="O689">
        <v>4560</v>
      </c>
      <c r="P689">
        <v>5400</v>
      </c>
      <c r="Q689">
        <v>24870</v>
      </c>
      <c r="R689">
        <v>24870</v>
      </c>
      <c r="S689">
        <v>24870</v>
      </c>
      <c r="T689">
        <v>0</v>
      </c>
      <c r="U689">
        <v>0</v>
      </c>
      <c r="V689">
        <v>0</v>
      </c>
      <c r="W689">
        <v>10708.7</v>
      </c>
      <c r="X689">
        <v>10204.200000000001</v>
      </c>
      <c r="Y689">
        <v>300</v>
      </c>
      <c r="Z689">
        <v>11319.35</v>
      </c>
      <c r="AA689">
        <v>330</v>
      </c>
      <c r="AB689" s="6">
        <v>46147.586192129631</v>
      </c>
      <c r="AC689" s="6">
        <v>46146.644143518519</v>
      </c>
    </row>
    <row r="690" spans="1:29" x14ac:dyDescent="0.25">
      <c r="A690" t="s">
        <v>8</v>
      </c>
      <c r="B690" s="5">
        <v>46168</v>
      </c>
      <c r="C690" t="s">
        <v>54</v>
      </c>
      <c r="D690" t="s">
        <v>746</v>
      </c>
      <c r="E690">
        <v>17465090</v>
      </c>
      <c r="F690" t="s">
        <v>56</v>
      </c>
      <c r="G690" t="s">
        <v>57</v>
      </c>
      <c r="H690">
        <v>66100</v>
      </c>
      <c r="I690" t="s">
        <v>58</v>
      </c>
      <c r="J690">
        <v>4.5</v>
      </c>
      <c r="K690">
        <v>0</v>
      </c>
      <c r="L690">
        <v>180</v>
      </c>
      <c r="M690">
        <v>0</v>
      </c>
      <c r="N690">
        <v>0</v>
      </c>
      <c r="O690">
        <v>8520</v>
      </c>
      <c r="P690">
        <v>10950</v>
      </c>
      <c r="Q690">
        <v>270</v>
      </c>
      <c r="R690">
        <v>270</v>
      </c>
      <c r="S690">
        <v>270</v>
      </c>
      <c r="T690">
        <v>0</v>
      </c>
      <c r="U690">
        <v>0</v>
      </c>
      <c r="V690">
        <v>0</v>
      </c>
      <c r="W690">
        <v>4.5</v>
      </c>
      <c r="X690">
        <v>3.25</v>
      </c>
      <c r="Y690">
        <v>330</v>
      </c>
      <c r="Z690">
        <v>4.9000000000000004</v>
      </c>
      <c r="AA690">
        <v>90</v>
      </c>
      <c r="AB690" s="6">
        <v>46147.583275462966</v>
      </c>
      <c r="AC690" s="6">
        <v>46146.572245370371</v>
      </c>
    </row>
    <row r="691" spans="1:29" x14ac:dyDescent="0.25">
      <c r="A691" t="s">
        <v>8</v>
      </c>
      <c r="B691" s="5">
        <v>46168</v>
      </c>
      <c r="C691" t="s">
        <v>54</v>
      </c>
      <c r="D691" t="s">
        <v>747</v>
      </c>
      <c r="E691">
        <v>17465858</v>
      </c>
      <c r="F691" t="s">
        <v>56</v>
      </c>
      <c r="G691" t="s">
        <v>57</v>
      </c>
      <c r="H691">
        <v>66100</v>
      </c>
      <c r="I691" t="s">
        <v>60</v>
      </c>
      <c r="J691">
        <v>8550</v>
      </c>
      <c r="K691">
        <v>0</v>
      </c>
      <c r="L691">
        <v>30</v>
      </c>
      <c r="M691">
        <v>0</v>
      </c>
      <c r="N691">
        <v>0</v>
      </c>
      <c r="O691">
        <v>3330</v>
      </c>
      <c r="P691">
        <v>3210</v>
      </c>
      <c r="Q691">
        <v>360</v>
      </c>
      <c r="R691">
        <v>360</v>
      </c>
      <c r="S691">
        <v>360</v>
      </c>
      <c r="T691">
        <v>0</v>
      </c>
      <c r="U691">
        <v>0</v>
      </c>
      <c r="V691">
        <v>0</v>
      </c>
      <c r="W691">
        <v>8550</v>
      </c>
      <c r="X691">
        <v>9987.75</v>
      </c>
      <c r="Y691">
        <v>300</v>
      </c>
      <c r="Z691">
        <v>11836</v>
      </c>
      <c r="AA691">
        <v>300</v>
      </c>
      <c r="AB691" s="6">
        <v>46147.586296296293</v>
      </c>
      <c r="AC691" s="6">
        <v>46135.433182870373</v>
      </c>
    </row>
    <row r="692" spans="1:29" x14ac:dyDescent="0.25">
      <c r="A692" t="s">
        <v>8</v>
      </c>
      <c r="B692" s="5">
        <v>46168</v>
      </c>
      <c r="C692" t="s">
        <v>54</v>
      </c>
      <c r="D692" t="s">
        <v>748</v>
      </c>
      <c r="E692">
        <v>17466626</v>
      </c>
      <c r="F692" t="s">
        <v>56</v>
      </c>
      <c r="G692" t="s">
        <v>57</v>
      </c>
      <c r="H692">
        <v>66200</v>
      </c>
      <c r="I692" t="s">
        <v>58</v>
      </c>
      <c r="J692">
        <v>3.95</v>
      </c>
      <c r="K692">
        <v>-10.22727272727273</v>
      </c>
      <c r="L692">
        <v>30</v>
      </c>
      <c r="M692">
        <v>3.71</v>
      </c>
      <c r="N692">
        <v>300</v>
      </c>
      <c r="O692">
        <v>11310</v>
      </c>
      <c r="P692">
        <v>14430</v>
      </c>
      <c r="Q692">
        <v>990</v>
      </c>
      <c r="R692">
        <v>1110</v>
      </c>
      <c r="S692">
        <v>990</v>
      </c>
      <c r="T692">
        <v>3.2</v>
      </c>
      <c r="U692">
        <v>4.4000000000000004</v>
      </c>
      <c r="V692">
        <v>3.2</v>
      </c>
      <c r="W692">
        <v>4.4000000000000004</v>
      </c>
      <c r="X692">
        <v>3.25</v>
      </c>
      <c r="Y692">
        <v>300</v>
      </c>
      <c r="Z692">
        <v>4.9000000000000004</v>
      </c>
      <c r="AA692">
        <v>90</v>
      </c>
      <c r="AB692" s="6">
        <v>46147.585416666669</v>
      </c>
      <c r="AC692" s="6">
        <v>46147.439409722225</v>
      </c>
    </row>
    <row r="693" spans="1:29" x14ac:dyDescent="0.25">
      <c r="A693" t="s">
        <v>8</v>
      </c>
      <c r="B693" s="5">
        <v>46168</v>
      </c>
      <c r="C693" t="s">
        <v>54</v>
      </c>
      <c r="D693" t="s">
        <v>749</v>
      </c>
      <c r="E693">
        <v>17466882</v>
      </c>
      <c r="F693" t="s">
        <v>56</v>
      </c>
      <c r="G693" t="s">
        <v>57</v>
      </c>
      <c r="H693">
        <v>66200</v>
      </c>
      <c r="I693" t="s">
        <v>60</v>
      </c>
      <c r="J693">
        <v>10450.450000000001</v>
      </c>
      <c r="K693">
        <v>0</v>
      </c>
      <c r="L693">
        <v>30</v>
      </c>
      <c r="M693">
        <v>0</v>
      </c>
      <c r="N693">
        <v>0</v>
      </c>
      <c r="O693">
        <v>3330</v>
      </c>
      <c r="P693">
        <v>3330</v>
      </c>
      <c r="Q693">
        <v>600</v>
      </c>
      <c r="R693">
        <v>600</v>
      </c>
      <c r="S693">
        <v>600</v>
      </c>
      <c r="T693">
        <v>0</v>
      </c>
      <c r="U693">
        <v>0</v>
      </c>
      <c r="V693">
        <v>0</v>
      </c>
      <c r="W693">
        <v>10450.450000000001</v>
      </c>
      <c r="X693">
        <v>10134.65</v>
      </c>
      <c r="Y693">
        <v>300</v>
      </c>
      <c r="Z693">
        <v>11992.15</v>
      </c>
      <c r="AA693">
        <v>300</v>
      </c>
      <c r="AB693" s="6">
        <v>46147.58084490741</v>
      </c>
      <c r="AC693" s="6">
        <v>46122.394097222219</v>
      </c>
    </row>
    <row r="694" spans="1:29" x14ac:dyDescent="0.25">
      <c r="A694" t="s">
        <v>8</v>
      </c>
      <c r="B694" s="5">
        <v>46168</v>
      </c>
      <c r="C694" t="s">
        <v>54</v>
      </c>
      <c r="D694" t="s">
        <v>750</v>
      </c>
      <c r="E694">
        <v>17469186</v>
      </c>
      <c r="F694" t="s">
        <v>56</v>
      </c>
      <c r="G694" t="s">
        <v>57</v>
      </c>
      <c r="H694">
        <v>66500</v>
      </c>
      <c r="I694" t="s">
        <v>58</v>
      </c>
      <c r="J694">
        <v>3.45</v>
      </c>
      <c r="K694">
        <v>-19.767441860465109</v>
      </c>
      <c r="L694">
        <v>60</v>
      </c>
      <c r="M694">
        <v>3.85</v>
      </c>
      <c r="N694">
        <v>2070</v>
      </c>
      <c r="O694">
        <v>47610</v>
      </c>
      <c r="P694">
        <v>13440</v>
      </c>
      <c r="Q694">
        <v>6210</v>
      </c>
      <c r="R694">
        <v>6780</v>
      </c>
      <c r="S694">
        <v>6150</v>
      </c>
      <c r="T694">
        <v>4.5</v>
      </c>
      <c r="U694">
        <v>4.8499999999999996</v>
      </c>
      <c r="V694">
        <v>3.45</v>
      </c>
      <c r="W694">
        <v>4.3</v>
      </c>
      <c r="X694">
        <v>3.45</v>
      </c>
      <c r="Y694">
        <v>540</v>
      </c>
      <c r="Z694">
        <v>3.9</v>
      </c>
      <c r="AA694">
        <v>150</v>
      </c>
      <c r="AB694" s="6">
        <v>46147.586458333331</v>
      </c>
      <c r="AC694" s="6">
        <v>46147.58625</v>
      </c>
    </row>
    <row r="695" spans="1:29" x14ac:dyDescent="0.25">
      <c r="A695" t="s">
        <v>8</v>
      </c>
      <c r="B695" s="5">
        <v>46168</v>
      </c>
      <c r="C695" t="s">
        <v>54</v>
      </c>
      <c r="D695" t="s">
        <v>751</v>
      </c>
      <c r="E695">
        <v>17469442</v>
      </c>
      <c r="F695" t="s">
        <v>56</v>
      </c>
      <c r="G695" t="s">
        <v>57</v>
      </c>
      <c r="H695">
        <v>66500</v>
      </c>
      <c r="I695" t="s">
        <v>60</v>
      </c>
      <c r="J695">
        <v>9643</v>
      </c>
      <c r="K695">
        <v>0</v>
      </c>
      <c r="L695">
        <v>30</v>
      </c>
      <c r="M695">
        <v>0</v>
      </c>
      <c r="N695">
        <v>0</v>
      </c>
      <c r="O695">
        <v>4830</v>
      </c>
      <c r="P695">
        <v>4770</v>
      </c>
      <c r="Q695">
        <v>1200</v>
      </c>
      <c r="R695">
        <v>1200</v>
      </c>
      <c r="S695">
        <v>1200</v>
      </c>
      <c r="T695">
        <v>0</v>
      </c>
      <c r="U695">
        <v>0</v>
      </c>
      <c r="V695">
        <v>0</v>
      </c>
      <c r="W695">
        <v>9643</v>
      </c>
      <c r="X695">
        <v>10404.5</v>
      </c>
      <c r="Y695">
        <v>300</v>
      </c>
      <c r="Z695">
        <v>12349.8</v>
      </c>
      <c r="AA695">
        <v>300</v>
      </c>
      <c r="AB695" s="6">
        <v>46147.583819444444</v>
      </c>
      <c r="AC695" s="6">
        <v>46135.574583333335</v>
      </c>
    </row>
    <row r="696" spans="1:29" x14ac:dyDescent="0.25">
      <c r="A696" t="s">
        <v>8</v>
      </c>
      <c r="B696" s="5">
        <v>46168</v>
      </c>
      <c r="C696" t="s">
        <v>54</v>
      </c>
      <c r="D696" t="s">
        <v>752</v>
      </c>
      <c r="E696">
        <v>17475842</v>
      </c>
      <c r="F696" t="s">
        <v>56</v>
      </c>
      <c r="G696" t="s">
        <v>57</v>
      </c>
      <c r="H696">
        <v>67000</v>
      </c>
      <c r="I696" t="s">
        <v>58</v>
      </c>
      <c r="J696">
        <v>3.55</v>
      </c>
      <c r="K696">
        <v>-10.12658227848102</v>
      </c>
      <c r="L696">
        <v>90</v>
      </c>
      <c r="M696">
        <v>3.57</v>
      </c>
      <c r="N696">
        <v>5220</v>
      </c>
      <c r="O696">
        <v>62310</v>
      </c>
      <c r="P696">
        <v>12780</v>
      </c>
      <c r="Q696">
        <v>8190</v>
      </c>
      <c r="R696">
        <v>8340</v>
      </c>
      <c r="S696">
        <v>8070</v>
      </c>
      <c r="T696">
        <v>4</v>
      </c>
      <c r="U696">
        <v>4.75</v>
      </c>
      <c r="V696">
        <v>3.4</v>
      </c>
      <c r="W696">
        <v>3.95</v>
      </c>
      <c r="X696">
        <v>3.4</v>
      </c>
      <c r="Y696">
        <v>30</v>
      </c>
      <c r="Z696">
        <v>3.55</v>
      </c>
      <c r="AA696">
        <v>390</v>
      </c>
      <c r="AB696" s="6">
        <v>46147.586284722223</v>
      </c>
      <c r="AC696" s="6">
        <v>46147.571030092593</v>
      </c>
    </row>
    <row r="697" spans="1:29" x14ac:dyDescent="0.25">
      <c r="A697" t="s">
        <v>8</v>
      </c>
      <c r="B697" s="5">
        <v>46168</v>
      </c>
      <c r="C697" t="s">
        <v>54</v>
      </c>
      <c r="D697" t="s">
        <v>753</v>
      </c>
      <c r="E697">
        <v>17476098</v>
      </c>
      <c r="F697" t="s">
        <v>56</v>
      </c>
      <c r="G697" t="s">
        <v>57</v>
      </c>
      <c r="H697">
        <v>67000</v>
      </c>
      <c r="I697" t="s">
        <v>60</v>
      </c>
      <c r="J697">
        <v>5284.5</v>
      </c>
      <c r="K697">
        <v>0</v>
      </c>
      <c r="L697">
        <v>0</v>
      </c>
      <c r="M697">
        <v>0</v>
      </c>
      <c r="N697">
        <v>0</v>
      </c>
      <c r="O697">
        <v>4410</v>
      </c>
      <c r="P697">
        <v>4410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5284.5</v>
      </c>
      <c r="X697">
        <v>11172.05</v>
      </c>
      <c r="Y697">
        <v>300</v>
      </c>
      <c r="Z697">
        <v>12793.95</v>
      </c>
      <c r="AA697">
        <v>300</v>
      </c>
      <c r="AB697" s="6">
        <v>46147.5862037037</v>
      </c>
      <c r="AC697" s="6">
        <v>25569.229166666668</v>
      </c>
    </row>
    <row r="698" spans="1:29" x14ac:dyDescent="0.25">
      <c r="A698" t="s">
        <v>8</v>
      </c>
      <c r="B698" s="5">
        <v>46168</v>
      </c>
      <c r="C698" t="s">
        <v>54</v>
      </c>
      <c r="D698" t="s">
        <v>754</v>
      </c>
      <c r="E698">
        <v>17515266</v>
      </c>
      <c r="F698" t="s">
        <v>56</v>
      </c>
      <c r="G698" t="s">
        <v>57</v>
      </c>
      <c r="H698">
        <v>67500</v>
      </c>
      <c r="I698" t="s">
        <v>58</v>
      </c>
      <c r="J698">
        <v>3.25</v>
      </c>
      <c r="K698">
        <v>-12.162162162162165</v>
      </c>
      <c r="L698">
        <v>30</v>
      </c>
      <c r="M698">
        <v>3.5</v>
      </c>
      <c r="N698">
        <v>12300</v>
      </c>
      <c r="O698">
        <v>63960</v>
      </c>
      <c r="P698">
        <v>12750</v>
      </c>
      <c r="Q698">
        <v>8760</v>
      </c>
      <c r="R698">
        <v>8940</v>
      </c>
      <c r="S698">
        <v>8730</v>
      </c>
      <c r="T698">
        <v>3.55</v>
      </c>
      <c r="U698">
        <v>3.9</v>
      </c>
      <c r="V698">
        <v>3.2</v>
      </c>
      <c r="W698">
        <v>3.7</v>
      </c>
      <c r="X698">
        <v>3.25</v>
      </c>
      <c r="Y698">
        <v>540</v>
      </c>
      <c r="Z698">
        <v>3.35</v>
      </c>
      <c r="AA698">
        <v>90</v>
      </c>
      <c r="AB698" s="6">
        <v>46147.586423611108</v>
      </c>
      <c r="AC698" s="6">
        <v>46147.572939814818</v>
      </c>
    </row>
    <row r="699" spans="1:29" x14ac:dyDescent="0.25">
      <c r="A699" t="s">
        <v>8</v>
      </c>
      <c r="B699" s="5">
        <v>46168</v>
      </c>
      <c r="C699" t="s">
        <v>54</v>
      </c>
      <c r="D699" t="s">
        <v>755</v>
      </c>
      <c r="E699">
        <v>17515522</v>
      </c>
      <c r="F699" t="s">
        <v>56</v>
      </c>
      <c r="G699" t="s">
        <v>57</v>
      </c>
      <c r="H699">
        <v>67500</v>
      </c>
      <c r="I699" t="s">
        <v>60</v>
      </c>
      <c r="J699">
        <v>9388</v>
      </c>
      <c r="K699">
        <v>0</v>
      </c>
      <c r="L699">
        <v>30</v>
      </c>
      <c r="M699">
        <v>0</v>
      </c>
      <c r="N699">
        <v>0</v>
      </c>
      <c r="O699">
        <v>3930</v>
      </c>
      <c r="P699">
        <v>4230</v>
      </c>
      <c r="Q699">
        <v>570</v>
      </c>
      <c r="R699">
        <v>570</v>
      </c>
      <c r="S699">
        <v>570</v>
      </c>
      <c r="T699">
        <v>0</v>
      </c>
      <c r="U699">
        <v>0</v>
      </c>
      <c r="V699">
        <v>0</v>
      </c>
      <c r="W699">
        <v>9388</v>
      </c>
      <c r="X699">
        <v>11556.1</v>
      </c>
      <c r="Y699">
        <v>300</v>
      </c>
      <c r="Z699">
        <v>13043.9</v>
      </c>
      <c r="AA699">
        <v>300</v>
      </c>
      <c r="AB699" s="6">
        <v>46147.586296296293</v>
      </c>
      <c r="AC699" s="6">
        <v>46134.472268518519</v>
      </c>
    </row>
    <row r="700" spans="1:29" x14ac:dyDescent="0.25">
      <c r="A700" t="s">
        <v>8</v>
      </c>
      <c r="B700" s="5">
        <v>46168</v>
      </c>
      <c r="C700" t="s">
        <v>54</v>
      </c>
      <c r="D700" t="s">
        <v>756</v>
      </c>
      <c r="E700">
        <v>17517826</v>
      </c>
      <c r="F700" t="s">
        <v>56</v>
      </c>
      <c r="G700" t="s">
        <v>57</v>
      </c>
      <c r="H700">
        <v>68000</v>
      </c>
      <c r="I700" t="s">
        <v>58</v>
      </c>
      <c r="J700">
        <v>3.35</v>
      </c>
      <c r="K700">
        <v>-11.842105263157888</v>
      </c>
      <c r="L700">
        <v>30</v>
      </c>
      <c r="M700">
        <v>3.76</v>
      </c>
      <c r="N700">
        <v>11400</v>
      </c>
      <c r="O700">
        <v>59880</v>
      </c>
      <c r="P700">
        <v>14580</v>
      </c>
      <c r="Q700">
        <v>11610</v>
      </c>
      <c r="R700">
        <v>11730</v>
      </c>
      <c r="S700">
        <v>11310</v>
      </c>
      <c r="T700">
        <v>4</v>
      </c>
      <c r="U700">
        <v>4.2</v>
      </c>
      <c r="V700">
        <v>3.3</v>
      </c>
      <c r="W700">
        <v>3.8</v>
      </c>
      <c r="X700">
        <v>3.35</v>
      </c>
      <c r="Y700">
        <v>90</v>
      </c>
      <c r="Z700">
        <v>3.45</v>
      </c>
      <c r="AA700">
        <v>30</v>
      </c>
      <c r="AB700" s="6">
        <v>46147.586458333331</v>
      </c>
      <c r="AC700" s="6">
        <v>46147.583483796298</v>
      </c>
    </row>
    <row r="701" spans="1:29" x14ac:dyDescent="0.25">
      <c r="A701" t="s">
        <v>8</v>
      </c>
      <c r="B701" s="5">
        <v>46168</v>
      </c>
      <c r="C701" t="s">
        <v>54</v>
      </c>
      <c r="D701" t="s">
        <v>757</v>
      </c>
      <c r="E701">
        <v>17518594</v>
      </c>
      <c r="F701" t="s">
        <v>56</v>
      </c>
      <c r="G701" t="s">
        <v>57</v>
      </c>
      <c r="H701">
        <v>68000</v>
      </c>
      <c r="I701" t="s">
        <v>60</v>
      </c>
      <c r="J701">
        <v>12789.75</v>
      </c>
      <c r="K701">
        <v>0</v>
      </c>
      <c r="L701">
        <v>30</v>
      </c>
      <c r="M701">
        <v>0</v>
      </c>
      <c r="N701">
        <v>0</v>
      </c>
      <c r="O701">
        <v>4410</v>
      </c>
      <c r="P701">
        <v>4470</v>
      </c>
      <c r="Q701">
        <v>1830</v>
      </c>
      <c r="R701">
        <v>1830</v>
      </c>
      <c r="S701">
        <v>1830</v>
      </c>
      <c r="T701">
        <v>0</v>
      </c>
      <c r="U701">
        <v>0</v>
      </c>
      <c r="V701">
        <v>0</v>
      </c>
      <c r="W701">
        <v>12789.75</v>
      </c>
      <c r="X701">
        <v>11965.05</v>
      </c>
      <c r="Y701">
        <v>300</v>
      </c>
      <c r="Z701">
        <v>13627.95</v>
      </c>
      <c r="AA701">
        <v>360</v>
      </c>
      <c r="AB701" s="6">
        <v>46147.5862037037</v>
      </c>
      <c r="AC701" s="6">
        <v>46146.61619212963</v>
      </c>
    </row>
    <row r="702" spans="1:29" x14ac:dyDescent="0.25">
      <c r="A702" t="s">
        <v>8</v>
      </c>
      <c r="B702" s="5">
        <v>46168</v>
      </c>
      <c r="C702" t="s">
        <v>54</v>
      </c>
      <c r="D702" t="s">
        <v>758</v>
      </c>
      <c r="E702">
        <v>17521922</v>
      </c>
      <c r="F702" t="s">
        <v>56</v>
      </c>
      <c r="G702" t="s">
        <v>57</v>
      </c>
      <c r="H702">
        <v>68500</v>
      </c>
      <c r="I702" t="s">
        <v>58</v>
      </c>
      <c r="J702">
        <v>3.25</v>
      </c>
      <c r="K702">
        <v>-12.162162162162165</v>
      </c>
      <c r="L702">
        <v>30</v>
      </c>
      <c r="M702">
        <v>3.74</v>
      </c>
      <c r="N702">
        <v>15300</v>
      </c>
      <c r="O702">
        <v>64320</v>
      </c>
      <c r="P702">
        <v>12900</v>
      </c>
      <c r="Q702">
        <v>13830</v>
      </c>
      <c r="R702">
        <v>14190</v>
      </c>
      <c r="S702">
        <v>13680</v>
      </c>
      <c r="T702">
        <v>3.9</v>
      </c>
      <c r="U702">
        <v>5.8</v>
      </c>
      <c r="V702">
        <v>3.05</v>
      </c>
      <c r="W702">
        <v>3.7</v>
      </c>
      <c r="X702">
        <v>3.3</v>
      </c>
      <c r="Y702">
        <v>120</v>
      </c>
      <c r="Z702">
        <v>3.45</v>
      </c>
      <c r="AA702">
        <v>30</v>
      </c>
      <c r="AB702" s="6">
        <v>46147.586458333331</v>
      </c>
      <c r="AC702" s="6">
        <v>46147.583483796298</v>
      </c>
    </row>
    <row r="703" spans="1:29" x14ac:dyDescent="0.25">
      <c r="A703" t="s">
        <v>8</v>
      </c>
      <c r="B703" s="5">
        <v>46168</v>
      </c>
      <c r="C703" t="s">
        <v>54</v>
      </c>
      <c r="D703" t="s">
        <v>759</v>
      </c>
      <c r="E703">
        <v>17522178</v>
      </c>
      <c r="F703" t="s">
        <v>56</v>
      </c>
      <c r="G703" t="s">
        <v>57</v>
      </c>
      <c r="H703">
        <v>68500</v>
      </c>
      <c r="I703" t="s">
        <v>60</v>
      </c>
      <c r="J703">
        <v>10900</v>
      </c>
      <c r="K703">
        <v>0</v>
      </c>
      <c r="L703">
        <v>30</v>
      </c>
      <c r="M703">
        <v>0</v>
      </c>
      <c r="N703">
        <v>0</v>
      </c>
      <c r="O703">
        <v>4830</v>
      </c>
      <c r="P703">
        <v>4830</v>
      </c>
      <c r="Q703">
        <v>150</v>
      </c>
      <c r="R703">
        <v>150</v>
      </c>
      <c r="S703">
        <v>150</v>
      </c>
      <c r="T703">
        <v>0</v>
      </c>
      <c r="U703">
        <v>0</v>
      </c>
      <c r="V703">
        <v>0</v>
      </c>
      <c r="W703">
        <v>10900</v>
      </c>
      <c r="X703">
        <v>12191.2</v>
      </c>
      <c r="Y703">
        <v>300</v>
      </c>
      <c r="Z703">
        <v>14324.2</v>
      </c>
      <c r="AA703">
        <v>300</v>
      </c>
      <c r="AB703" s="6">
        <v>46147.586296296293</v>
      </c>
      <c r="AC703" s="6">
        <v>46134.437743055554</v>
      </c>
    </row>
    <row r="704" spans="1:29" x14ac:dyDescent="0.25">
      <c r="A704" t="s">
        <v>9</v>
      </c>
      <c r="B704" s="5">
        <v>46149</v>
      </c>
      <c r="C704" t="s">
        <v>50</v>
      </c>
      <c r="D704" t="s">
        <v>760</v>
      </c>
      <c r="E704">
        <v>265</v>
      </c>
      <c r="F704" t="s">
        <v>761</v>
      </c>
      <c r="G704" t="s">
        <v>53</v>
      </c>
      <c r="J704">
        <v>76996.33</v>
      </c>
      <c r="K704">
        <v>-0.35339992286725724</v>
      </c>
      <c r="T704">
        <v>77103.72</v>
      </c>
      <c r="U704">
        <v>77151.33</v>
      </c>
      <c r="V704">
        <v>76515.03</v>
      </c>
      <c r="W704">
        <v>77269.399999999994</v>
      </c>
      <c r="AB704" s="6"/>
    </row>
    <row r="705" spans="1:29" x14ac:dyDescent="0.25">
      <c r="A705" t="s">
        <v>9</v>
      </c>
      <c r="B705" s="5">
        <v>46149</v>
      </c>
      <c r="C705" t="s">
        <v>54</v>
      </c>
      <c r="D705" t="s">
        <v>762</v>
      </c>
      <c r="E705">
        <v>286274053</v>
      </c>
      <c r="F705" t="s">
        <v>763</v>
      </c>
      <c r="G705" t="s">
        <v>764</v>
      </c>
      <c r="H705">
        <v>64900</v>
      </c>
      <c r="I705" t="s">
        <v>58</v>
      </c>
      <c r="J705">
        <v>12398.75</v>
      </c>
      <c r="K705">
        <v>0</v>
      </c>
      <c r="L705">
        <v>0</v>
      </c>
      <c r="M705">
        <v>0</v>
      </c>
      <c r="N705">
        <v>0</v>
      </c>
      <c r="O705">
        <v>100</v>
      </c>
      <c r="P705">
        <v>100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12398.75</v>
      </c>
      <c r="X705">
        <v>10500</v>
      </c>
      <c r="Y705">
        <v>100</v>
      </c>
      <c r="Z705">
        <v>13500</v>
      </c>
      <c r="AA705">
        <v>100</v>
      </c>
      <c r="AB705" s="6">
        <v>46147.586388888885</v>
      </c>
      <c r="AC705" s="6">
        <v>25569.229166666668</v>
      </c>
    </row>
    <row r="706" spans="1:29" x14ac:dyDescent="0.25">
      <c r="A706" t="s">
        <v>9</v>
      </c>
      <c r="B706" s="5">
        <v>46149</v>
      </c>
      <c r="C706" t="s">
        <v>54</v>
      </c>
      <c r="D706" t="s">
        <v>765</v>
      </c>
      <c r="E706">
        <v>286482949</v>
      </c>
      <c r="F706" t="s">
        <v>763</v>
      </c>
      <c r="G706" t="s">
        <v>764</v>
      </c>
      <c r="H706">
        <v>64900</v>
      </c>
      <c r="I706" t="s">
        <v>60</v>
      </c>
      <c r="J706">
        <v>0.7</v>
      </c>
      <c r="K706">
        <v>-68.888888888888886</v>
      </c>
      <c r="L706">
        <v>100</v>
      </c>
      <c r="M706">
        <v>1.52</v>
      </c>
      <c r="N706">
        <v>17040</v>
      </c>
      <c r="O706">
        <v>47040</v>
      </c>
      <c r="P706">
        <v>13680</v>
      </c>
      <c r="Q706">
        <v>13180</v>
      </c>
      <c r="R706">
        <v>15020</v>
      </c>
      <c r="S706">
        <v>13080</v>
      </c>
      <c r="T706">
        <v>1.65</v>
      </c>
      <c r="U706">
        <v>2.4</v>
      </c>
      <c r="V706">
        <v>0.7</v>
      </c>
      <c r="W706">
        <v>2.25</v>
      </c>
      <c r="X706">
        <v>0.7</v>
      </c>
      <c r="Y706">
        <v>1900</v>
      </c>
      <c r="Z706">
        <v>0.9</v>
      </c>
      <c r="AA706">
        <v>240</v>
      </c>
      <c r="AB706" s="6">
        <v>46147.586504629631</v>
      </c>
      <c r="AC706" s="6">
        <v>46147.585358796299</v>
      </c>
    </row>
    <row r="707" spans="1:29" x14ac:dyDescent="0.25">
      <c r="A707" t="s">
        <v>9</v>
      </c>
      <c r="B707" s="5">
        <v>46149</v>
      </c>
      <c r="C707" t="s">
        <v>54</v>
      </c>
      <c r="D707" t="s">
        <v>766</v>
      </c>
      <c r="E707">
        <v>286883333</v>
      </c>
      <c r="F707" t="s">
        <v>763</v>
      </c>
      <c r="G707" t="s">
        <v>764</v>
      </c>
      <c r="H707">
        <v>65000</v>
      </c>
      <c r="I707" t="s">
        <v>58</v>
      </c>
      <c r="J707">
        <v>12198</v>
      </c>
      <c r="K707">
        <v>-0.81959215533222163</v>
      </c>
      <c r="L707">
        <v>20</v>
      </c>
      <c r="M707">
        <v>12198</v>
      </c>
      <c r="N707">
        <v>20</v>
      </c>
      <c r="O707">
        <v>460</v>
      </c>
      <c r="P707">
        <v>460</v>
      </c>
      <c r="Q707">
        <v>20</v>
      </c>
      <c r="R707">
        <v>20</v>
      </c>
      <c r="S707">
        <v>20</v>
      </c>
      <c r="T707">
        <v>12198</v>
      </c>
      <c r="U707">
        <v>12198</v>
      </c>
      <c r="V707">
        <v>12198</v>
      </c>
      <c r="W707">
        <v>12298.8</v>
      </c>
      <c r="X707">
        <v>11955.85</v>
      </c>
      <c r="Y707">
        <v>20</v>
      </c>
      <c r="Z707">
        <v>12167.35</v>
      </c>
      <c r="AA707">
        <v>20</v>
      </c>
      <c r="AB707" s="6">
        <v>46147.586400462962</v>
      </c>
      <c r="AC707" s="6">
        <v>46147.440011574072</v>
      </c>
    </row>
    <row r="708" spans="1:29" x14ac:dyDescent="0.25">
      <c r="A708" t="s">
        <v>9</v>
      </c>
      <c r="B708" s="5">
        <v>46149</v>
      </c>
      <c r="C708" t="s">
        <v>54</v>
      </c>
      <c r="D708" t="s">
        <v>767</v>
      </c>
      <c r="E708">
        <v>287083269</v>
      </c>
      <c r="F708" t="s">
        <v>763</v>
      </c>
      <c r="G708" t="s">
        <v>764</v>
      </c>
      <c r="H708">
        <v>65000</v>
      </c>
      <c r="I708" t="s">
        <v>60</v>
      </c>
      <c r="J708">
        <v>0.75</v>
      </c>
      <c r="K708">
        <v>-64.285714285714278</v>
      </c>
      <c r="L708">
        <v>40</v>
      </c>
      <c r="M708">
        <v>1.35</v>
      </c>
      <c r="N708">
        <v>56060</v>
      </c>
      <c r="O708">
        <v>89720</v>
      </c>
      <c r="P708">
        <v>14960</v>
      </c>
      <c r="Q708">
        <v>28080</v>
      </c>
      <c r="R708">
        <v>33280</v>
      </c>
      <c r="S708">
        <v>27920</v>
      </c>
      <c r="T708">
        <v>1.95</v>
      </c>
      <c r="U708">
        <v>2.2999999999999998</v>
      </c>
      <c r="V708">
        <v>0.75</v>
      </c>
      <c r="W708">
        <v>2.1</v>
      </c>
      <c r="X708">
        <v>0.75</v>
      </c>
      <c r="Y708">
        <v>2060</v>
      </c>
      <c r="Z708">
        <v>0.85</v>
      </c>
      <c r="AA708">
        <v>140</v>
      </c>
      <c r="AB708" s="6">
        <v>46147.586493055554</v>
      </c>
      <c r="AC708" s="6">
        <v>46147.585335648146</v>
      </c>
    </row>
    <row r="709" spans="1:29" x14ac:dyDescent="0.25">
      <c r="A709" t="s">
        <v>9</v>
      </c>
      <c r="B709" s="5">
        <v>46149</v>
      </c>
      <c r="C709" t="s">
        <v>54</v>
      </c>
      <c r="D709" t="s">
        <v>768</v>
      </c>
      <c r="E709">
        <v>286068485</v>
      </c>
      <c r="F709" t="s">
        <v>763</v>
      </c>
      <c r="G709" t="s">
        <v>764</v>
      </c>
      <c r="H709">
        <v>65100</v>
      </c>
      <c r="I709" t="s">
        <v>58</v>
      </c>
      <c r="J709">
        <v>12198.8</v>
      </c>
      <c r="K709">
        <v>0</v>
      </c>
      <c r="L709">
        <v>0</v>
      </c>
      <c r="M709">
        <v>0</v>
      </c>
      <c r="N709">
        <v>0</v>
      </c>
      <c r="O709">
        <v>100</v>
      </c>
      <c r="P709">
        <v>100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12198.8</v>
      </c>
      <c r="X709">
        <v>10300</v>
      </c>
      <c r="Y709">
        <v>100</v>
      </c>
      <c r="Z709">
        <v>13300</v>
      </c>
      <c r="AA709">
        <v>100</v>
      </c>
      <c r="AB709" s="6">
        <v>46147.586388888885</v>
      </c>
      <c r="AC709" s="6">
        <v>25569.229166666668</v>
      </c>
    </row>
    <row r="710" spans="1:29" x14ac:dyDescent="0.25">
      <c r="A710" t="s">
        <v>9</v>
      </c>
      <c r="B710" s="5">
        <v>46149</v>
      </c>
      <c r="C710" t="s">
        <v>54</v>
      </c>
      <c r="D710" t="s">
        <v>769</v>
      </c>
      <c r="E710">
        <v>286850565</v>
      </c>
      <c r="F710" t="s">
        <v>763</v>
      </c>
      <c r="G710" t="s">
        <v>764</v>
      </c>
      <c r="H710">
        <v>65100</v>
      </c>
      <c r="I710" t="s">
        <v>60</v>
      </c>
      <c r="J710">
        <v>1.35</v>
      </c>
      <c r="K710">
        <v>-34.146341463414622</v>
      </c>
      <c r="L710">
        <v>20</v>
      </c>
      <c r="M710">
        <v>1.78</v>
      </c>
      <c r="N710">
        <v>28000</v>
      </c>
      <c r="O710">
        <v>56760</v>
      </c>
      <c r="P710">
        <v>9040</v>
      </c>
      <c r="Q710">
        <v>15640</v>
      </c>
      <c r="R710">
        <v>19040</v>
      </c>
      <c r="S710">
        <v>9000</v>
      </c>
      <c r="T710">
        <v>2</v>
      </c>
      <c r="U710">
        <v>2.6</v>
      </c>
      <c r="V710">
        <v>0.7</v>
      </c>
      <c r="W710">
        <v>2.0499999999999998</v>
      </c>
      <c r="X710">
        <v>0.9</v>
      </c>
      <c r="Y710">
        <v>20</v>
      </c>
      <c r="Z710">
        <v>1.05</v>
      </c>
      <c r="AA710">
        <v>300</v>
      </c>
      <c r="AB710" s="6">
        <v>46147.586504629631</v>
      </c>
      <c r="AC710" s="6">
        <v>46147.583310185182</v>
      </c>
    </row>
    <row r="711" spans="1:29" x14ac:dyDescent="0.25">
      <c r="A711" t="s">
        <v>9</v>
      </c>
      <c r="B711" s="5">
        <v>46149</v>
      </c>
      <c r="C711" t="s">
        <v>54</v>
      </c>
      <c r="D711" t="s">
        <v>770</v>
      </c>
      <c r="E711">
        <v>286948357</v>
      </c>
      <c r="F711" t="s">
        <v>763</v>
      </c>
      <c r="G711" t="s">
        <v>764</v>
      </c>
      <c r="H711">
        <v>65200</v>
      </c>
      <c r="I711" t="s">
        <v>58</v>
      </c>
      <c r="J711">
        <v>12098.85</v>
      </c>
      <c r="K711">
        <v>0</v>
      </c>
      <c r="L711">
        <v>0</v>
      </c>
      <c r="M711">
        <v>0</v>
      </c>
      <c r="N711">
        <v>0</v>
      </c>
      <c r="O711">
        <v>100</v>
      </c>
      <c r="P711">
        <v>100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12098.85</v>
      </c>
      <c r="X711">
        <v>10200</v>
      </c>
      <c r="Y711">
        <v>100</v>
      </c>
      <c r="Z711">
        <v>13200</v>
      </c>
      <c r="AA711">
        <v>100</v>
      </c>
      <c r="AB711" s="6">
        <v>46147.586388888885</v>
      </c>
      <c r="AC711" s="6">
        <v>25569.229166666668</v>
      </c>
    </row>
    <row r="712" spans="1:29" x14ac:dyDescent="0.25">
      <c r="A712" t="s">
        <v>9</v>
      </c>
      <c r="B712" s="5">
        <v>46149</v>
      </c>
      <c r="C712" t="s">
        <v>54</v>
      </c>
      <c r="D712" t="s">
        <v>771</v>
      </c>
      <c r="E712">
        <v>286011397</v>
      </c>
      <c r="F712" t="s">
        <v>763</v>
      </c>
      <c r="G712" t="s">
        <v>764</v>
      </c>
      <c r="H712">
        <v>65200</v>
      </c>
      <c r="I712" t="s">
        <v>60</v>
      </c>
      <c r="J712">
        <v>1.3</v>
      </c>
      <c r="K712">
        <v>-35</v>
      </c>
      <c r="L712">
        <v>20</v>
      </c>
      <c r="M712">
        <v>1.98</v>
      </c>
      <c r="N712">
        <v>3200</v>
      </c>
      <c r="O712">
        <v>45040</v>
      </c>
      <c r="P712">
        <v>6880</v>
      </c>
      <c r="Q712">
        <v>1160</v>
      </c>
      <c r="R712">
        <v>1460</v>
      </c>
      <c r="S712">
        <v>760</v>
      </c>
      <c r="T712">
        <v>2.95</v>
      </c>
      <c r="U712">
        <v>2.95</v>
      </c>
      <c r="V712">
        <v>0.8</v>
      </c>
      <c r="W712">
        <v>2</v>
      </c>
      <c r="X712">
        <v>0.65</v>
      </c>
      <c r="Y712">
        <v>2000</v>
      </c>
      <c r="Z712">
        <v>1.1000000000000001</v>
      </c>
      <c r="AA712">
        <v>80</v>
      </c>
      <c r="AB712" s="6">
        <v>46147.586504629631</v>
      </c>
      <c r="AC712" s="6">
        <v>46147.583310185182</v>
      </c>
    </row>
    <row r="713" spans="1:29" x14ac:dyDescent="0.25">
      <c r="A713" t="s">
        <v>9</v>
      </c>
      <c r="B713" s="5">
        <v>46149</v>
      </c>
      <c r="C713" t="s">
        <v>54</v>
      </c>
      <c r="D713" t="s">
        <v>772</v>
      </c>
      <c r="E713">
        <v>286196229</v>
      </c>
      <c r="F713" t="s">
        <v>763</v>
      </c>
      <c r="G713" t="s">
        <v>764</v>
      </c>
      <c r="H713">
        <v>65300</v>
      </c>
      <c r="I713" t="s">
        <v>58</v>
      </c>
      <c r="J713">
        <v>11998.9</v>
      </c>
      <c r="K713">
        <v>0</v>
      </c>
      <c r="L713">
        <v>0</v>
      </c>
      <c r="M713">
        <v>0</v>
      </c>
      <c r="N713">
        <v>0</v>
      </c>
      <c r="O713">
        <v>100</v>
      </c>
      <c r="P713">
        <v>100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11998.9</v>
      </c>
      <c r="X713">
        <v>10100</v>
      </c>
      <c r="Y713">
        <v>100</v>
      </c>
      <c r="Z713">
        <v>13100</v>
      </c>
      <c r="AA713">
        <v>100</v>
      </c>
      <c r="AB713" s="6">
        <v>46147.586273148147</v>
      </c>
      <c r="AC713" s="6">
        <v>25569.229166666668</v>
      </c>
    </row>
    <row r="714" spans="1:29" x14ac:dyDescent="0.25">
      <c r="A714" t="s">
        <v>9</v>
      </c>
      <c r="B714" s="5">
        <v>46149</v>
      </c>
      <c r="C714" t="s">
        <v>54</v>
      </c>
      <c r="D714" t="s">
        <v>773</v>
      </c>
      <c r="E714">
        <v>286914053</v>
      </c>
      <c r="F714" t="s">
        <v>763</v>
      </c>
      <c r="G714" t="s">
        <v>764</v>
      </c>
      <c r="H714">
        <v>65300</v>
      </c>
      <c r="I714" t="s">
        <v>60</v>
      </c>
      <c r="J714">
        <v>0.85</v>
      </c>
      <c r="K714">
        <v>-51.428571428571431</v>
      </c>
      <c r="L714">
        <v>20</v>
      </c>
      <c r="M714">
        <v>1.81</v>
      </c>
      <c r="N714">
        <v>2700</v>
      </c>
      <c r="O714">
        <v>36520</v>
      </c>
      <c r="P714">
        <v>7960</v>
      </c>
      <c r="Q714">
        <v>1800</v>
      </c>
      <c r="R714">
        <v>1940</v>
      </c>
      <c r="S714">
        <v>1500</v>
      </c>
      <c r="T714">
        <v>2.2999999999999998</v>
      </c>
      <c r="U714">
        <v>2.85</v>
      </c>
      <c r="V714">
        <v>0.85</v>
      </c>
      <c r="W714">
        <v>1.75</v>
      </c>
      <c r="X714">
        <v>0.85</v>
      </c>
      <c r="Y714">
        <v>3500</v>
      </c>
      <c r="Z714">
        <v>1.5</v>
      </c>
      <c r="AA714">
        <v>100</v>
      </c>
      <c r="AB714" s="6">
        <v>46147.586504629631</v>
      </c>
      <c r="AC714" s="6">
        <v>46147.583298611113</v>
      </c>
    </row>
    <row r="715" spans="1:29" x14ac:dyDescent="0.25">
      <c r="A715" t="s">
        <v>9</v>
      </c>
      <c r="B715" s="5">
        <v>46149</v>
      </c>
      <c r="C715" t="s">
        <v>54</v>
      </c>
      <c r="D715" t="s">
        <v>774</v>
      </c>
      <c r="E715">
        <v>287004933</v>
      </c>
      <c r="F715" t="s">
        <v>763</v>
      </c>
      <c r="G715" t="s">
        <v>764</v>
      </c>
      <c r="H715">
        <v>65400</v>
      </c>
      <c r="I715" t="s">
        <v>58</v>
      </c>
      <c r="J715">
        <v>11898.95</v>
      </c>
      <c r="K715">
        <v>0</v>
      </c>
      <c r="L715">
        <v>0</v>
      </c>
      <c r="M715">
        <v>0</v>
      </c>
      <c r="N715">
        <v>0</v>
      </c>
      <c r="O715">
        <v>100</v>
      </c>
      <c r="P715">
        <v>100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11898.95</v>
      </c>
      <c r="X715">
        <v>10000</v>
      </c>
      <c r="Y715">
        <v>100</v>
      </c>
      <c r="Z715">
        <v>13000</v>
      </c>
      <c r="AA715">
        <v>100</v>
      </c>
      <c r="AB715" s="6">
        <v>46147.586388888885</v>
      </c>
      <c r="AC715" s="6">
        <v>25569.229166666668</v>
      </c>
    </row>
    <row r="716" spans="1:29" x14ac:dyDescent="0.25">
      <c r="A716" t="s">
        <v>9</v>
      </c>
      <c r="B716" s="5">
        <v>46149</v>
      </c>
      <c r="C716" t="s">
        <v>54</v>
      </c>
      <c r="D716" t="s">
        <v>775</v>
      </c>
      <c r="E716">
        <v>286135045</v>
      </c>
      <c r="F716" t="s">
        <v>763</v>
      </c>
      <c r="G716" t="s">
        <v>764</v>
      </c>
      <c r="H716">
        <v>65400</v>
      </c>
      <c r="I716" t="s">
        <v>60</v>
      </c>
      <c r="J716">
        <v>0.85</v>
      </c>
      <c r="K716">
        <v>-61.36363636363636</v>
      </c>
      <c r="L716">
        <v>20</v>
      </c>
      <c r="M716">
        <v>2.37</v>
      </c>
      <c r="N716">
        <v>1780</v>
      </c>
      <c r="O716">
        <v>29940</v>
      </c>
      <c r="P716">
        <v>9920</v>
      </c>
      <c r="Q716">
        <v>1520</v>
      </c>
      <c r="R716">
        <v>1560</v>
      </c>
      <c r="S716">
        <v>600</v>
      </c>
      <c r="T716">
        <v>2.65</v>
      </c>
      <c r="U716">
        <v>3.4</v>
      </c>
      <c r="V716">
        <v>0.85</v>
      </c>
      <c r="W716">
        <v>2.2000000000000002</v>
      </c>
      <c r="X716">
        <v>0.8</v>
      </c>
      <c r="Y716">
        <v>1000</v>
      </c>
      <c r="Z716">
        <v>1.5</v>
      </c>
      <c r="AA716">
        <v>200</v>
      </c>
      <c r="AB716" s="6">
        <v>46147.586446759262</v>
      </c>
      <c r="AC716" s="6">
        <v>46147.583298611113</v>
      </c>
    </row>
    <row r="717" spans="1:29" x14ac:dyDescent="0.25">
      <c r="A717" t="s">
        <v>9</v>
      </c>
      <c r="B717" s="5">
        <v>46149</v>
      </c>
      <c r="C717" t="s">
        <v>54</v>
      </c>
      <c r="D717" t="s">
        <v>776</v>
      </c>
      <c r="E717">
        <v>286760197</v>
      </c>
      <c r="F717" t="s">
        <v>763</v>
      </c>
      <c r="G717" t="s">
        <v>764</v>
      </c>
      <c r="H717">
        <v>65500</v>
      </c>
      <c r="I717" t="s">
        <v>58</v>
      </c>
      <c r="J717">
        <v>11799</v>
      </c>
      <c r="K717">
        <v>0</v>
      </c>
      <c r="L717">
        <v>0</v>
      </c>
      <c r="M717">
        <v>0</v>
      </c>
      <c r="N717">
        <v>0</v>
      </c>
      <c r="O717">
        <v>300</v>
      </c>
      <c r="P717">
        <v>300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11799</v>
      </c>
      <c r="X717">
        <v>10200.1</v>
      </c>
      <c r="Y717">
        <v>100</v>
      </c>
      <c r="Z717">
        <v>12699.9</v>
      </c>
      <c r="AA717">
        <v>100</v>
      </c>
      <c r="AB717" s="6">
        <v>46147.586273148147</v>
      </c>
      <c r="AC717" s="6">
        <v>25569.229166666668</v>
      </c>
    </row>
    <row r="718" spans="1:29" x14ac:dyDescent="0.25">
      <c r="A718" t="s">
        <v>9</v>
      </c>
      <c r="B718" s="5">
        <v>46149</v>
      </c>
      <c r="C718" t="s">
        <v>54</v>
      </c>
      <c r="D718" t="s">
        <v>777</v>
      </c>
      <c r="E718">
        <v>286973189</v>
      </c>
      <c r="F718" t="s">
        <v>763</v>
      </c>
      <c r="G718" t="s">
        <v>764</v>
      </c>
      <c r="H718">
        <v>65500</v>
      </c>
      <c r="I718" t="s">
        <v>60</v>
      </c>
      <c r="J718">
        <v>1.05</v>
      </c>
      <c r="K718">
        <v>-48.780487804878042</v>
      </c>
      <c r="L718">
        <v>20</v>
      </c>
      <c r="M718">
        <v>2.11</v>
      </c>
      <c r="N718">
        <v>1320</v>
      </c>
      <c r="O718">
        <v>34240</v>
      </c>
      <c r="P718">
        <v>11300</v>
      </c>
      <c r="Q718">
        <v>1040</v>
      </c>
      <c r="R718">
        <v>1080</v>
      </c>
      <c r="S718">
        <v>340</v>
      </c>
      <c r="T718">
        <v>2.7</v>
      </c>
      <c r="U718">
        <v>3.25</v>
      </c>
      <c r="V718">
        <v>1.05</v>
      </c>
      <c r="W718">
        <v>2.0499999999999998</v>
      </c>
      <c r="X718">
        <v>0.95</v>
      </c>
      <c r="Y718">
        <v>120</v>
      </c>
      <c r="Z718">
        <v>1.25</v>
      </c>
      <c r="AA718">
        <v>120</v>
      </c>
      <c r="AB718" s="6">
        <v>46147.586504629631</v>
      </c>
      <c r="AC718" s="6">
        <v>46147.571516203701</v>
      </c>
    </row>
    <row r="719" spans="1:29" x14ac:dyDescent="0.25">
      <c r="A719" t="s">
        <v>9</v>
      </c>
      <c r="B719" s="5">
        <v>46149</v>
      </c>
      <c r="C719" t="s">
        <v>54</v>
      </c>
      <c r="D719" t="s">
        <v>778</v>
      </c>
      <c r="E719">
        <v>287063301</v>
      </c>
      <c r="F719" t="s">
        <v>763</v>
      </c>
      <c r="G719" t="s">
        <v>764</v>
      </c>
      <c r="H719">
        <v>65600</v>
      </c>
      <c r="I719" t="s">
        <v>58</v>
      </c>
      <c r="J719">
        <v>11699.05</v>
      </c>
      <c r="K719">
        <v>0</v>
      </c>
      <c r="L719">
        <v>0</v>
      </c>
      <c r="M719">
        <v>0</v>
      </c>
      <c r="N719">
        <v>0</v>
      </c>
      <c r="O719">
        <v>100</v>
      </c>
      <c r="P719">
        <v>100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11699.05</v>
      </c>
      <c r="X719">
        <v>9800</v>
      </c>
      <c r="Y719">
        <v>100</v>
      </c>
      <c r="Z719">
        <v>12800</v>
      </c>
      <c r="AA719">
        <v>100</v>
      </c>
      <c r="AB719" s="6">
        <v>46147.586273148147</v>
      </c>
      <c r="AC719" s="6">
        <v>25569.229166666668</v>
      </c>
    </row>
    <row r="720" spans="1:29" x14ac:dyDescent="0.25">
      <c r="A720" t="s">
        <v>9</v>
      </c>
      <c r="B720" s="5">
        <v>46149</v>
      </c>
      <c r="C720" t="s">
        <v>54</v>
      </c>
      <c r="D720" t="s">
        <v>779</v>
      </c>
      <c r="E720">
        <v>286249989</v>
      </c>
      <c r="F720" t="s">
        <v>763</v>
      </c>
      <c r="G720" t="s">
        <v>764</v>
      </c>
      <c r="H720">
        <v>65600</v>
      </c>
      <c r="I720" t="s">
        <v>60</v>
      </c>
      <c r="J720">
        <v>1.95</v>
      </c>
      <c r="K720">
        <v>-7.1428571428571495</v>
      </c>
      <c r="L720">
        <v>20</v>
      </c>
      <c r="M720">
        <v>2.19</v>
      </c>
      <c r="N720">
        <v>2900</v>
      </c>
      <c r="O720">
        <v>30060</v>
      </c>
      <c r="P720">
        <v>8680</v>
      </c>
      <c r="Q720">
        <v>1820</v>
      </c>
      <c r="R720">
        <v>1840</v>
      </c>
      <c r="S720">
        <v>1260</v>
      </c>
      <c r="T720">
        <v>2.7</v>
      </c>
      <c r="U720">
        <v>3.5</v>
      </c>
      <c r="V720">
        <v>1.6</v>
      </c>
      <c r="W720">
        <v>2.1</v>
      </c>
      <c r="X720">
        <v>0.9</v>
      </c>
      <c r="Y720">
        <v>20</v>
      </c>
      <c r="Z720">
        <v>1.5</v>
      </c>
      <c r="AA720">
        <v>100</v>
      </c>
      <c r="AB720" s="6">
        <v>46147.586469907408</v>
      </c>
      <c r="AC720" s="6">
        <v>46147.538622685184</v>
      </c>
    </row>
    <row r="721" spans="1:29" x14ac:dyDescent="0.25">
      <c r="A721" t="s">
        <v>9</v>
      </c>
      <c r="B721" s="5">
        <v>46149</v>
      </c>
      <c r="C721" t="s">
        <v>54</v>
      </c>
      <c r="D721" t="s">
        <v>780</v>
      </c>
      <c r="E721">
        <v>281859333</v>
      </c>
      <c r="F721" t="s">
        <v>763</v>
      </c>
      <c r="G721" t="s">
        <v>764</v>
      </c>
      <c r="H721">
        <v>65700</v>
      </c>
      <c r="I721" t="s">
        <v>58</v>
      </c>
      <c r="J721">
        <v>11599.1</v>
      </c>
      <c r="K721">
        <v>0</v>
      </c>
      <c r="L721">
        <v>0</v>
      </c>
      <c r="M721">
        <v>0</v>
      </c>
      <c r="N721">
        <v>0</v>
      </c>
      <c r="O721">
        <v>100</v>
      </c>
      <c r="P721">
        <v>100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11599.1</v>
      </c>
      <c r="X721">
        <v>9700</v>
      </c>
      <c r="Y721">
        <v>100</v>
      </c>
      <c r="Z721">
        <v>12700</v>
      </c>
      <c r="AA721">
        <v>100</v>
      </c>
      <c r="AB721" s="6">
        <v>46147.586388888885</v>
      </c>
      <c r="AC721" s="6">
        <v>25569.229166666668</v>
      </c>
    </row>
    <row r="722" spans="1:29" x14ac:dyDescent="0.25">
      <c r="A722" t="s">
        <v>9</v>
      </c>
      <c r="B722" s="5">
        <v>46149</v>
      </c>
      <c r="C722" t="s">
        <v>54</v>
      </c>
      <c r="D722" t="s">
        <v>781</v>
      </c>
      <c r="E722">
        <v>281980677</v>
      </c>
      <c r="F722" t="s">
        <v>763</v>
      </c>
      <c r="G722" t="s">
        <v>764</v>
      </c>
      <c r="H722">
        <v>65700</v>
      </c>
      <c r="I722" t="s">
        <v>60</v>
      </c>
      <c r="J722">
        <v>1.8</v>
      </c>
      <c r="K722">
        <v>-21.739130434782602</v>
      </c>
      <c r="L722">
        <v>20</v>
      </c>
      <c r="M722">
        <v>2.77</v>
      </c>
      <c r="N722">
        <v>1320</v>
      </c>
      <c r="O722">
        <v>33040</v>
      </c>
      <c r="P722">
        <v>9980</v>
      </c>
      <c r="Q722">
        <v>1960</v>
      </c>
      <c r="R722">
        <v>1980</v>
      </c>
      <c r="S722">
        <v>1100</v>
      </c>
      <c r="T722">
        <v>2.95</v>
      </c>
      <c r="U722">
        <v>3.6</v>
      </c>
      <c r="V722">
        <v>1.65</v>
      </c>
      <c r="W722">
        <v>2.2999999999999998</v>
      </c>
      <c r="X722">
        <v>0.85</v>
      </c>
      <c r="Y722">
        <v>900</v>
      </c>
      <c r="Z722">
        <v>1.5</v>
      </c>
      <c r="AA722">
        <v>100</v>
      </c>
      <c r="AB722" s="6">
        <v>46147.585046296299</v>
      </c>
      <c r="AC722" s="6">
        <v>46147.556006944447</v>
      </c>
    </row>
    <row r="723" spans="1:29" x14ac:dyDescent="0.25">
      <c r="A723" t="s">
        <v>9</v>
      </c>
      <c r="B723" s="5">
        <v>46149</v>
      </c>
      <c r="C723" t="s">
        <v>54</v>
      </c>
      <c r="D723" t="s">
        <v>782</v>
      </c>
      <c r="E723">
        <v>227715333</v>
      </c>
      <c r="F723" t="s">
        <v>763</v>
      </c>
      <c r="G723" t="s">
        <v>764</v>
      </c>
      <c r="H723">
        <v>65800</v>
      </c>
      <c r="I723" t="s">
        <v>58</v>
      </c>
      <c r="J723">
        <v>11499.15</v>
      </c>
      <c r="K723">
        <v>0</v>
      </c>
      <c r="L723">
        <v>0</v>
      </c>
      <c r="M723">
        <v>0</v>
      </c>
      <c r="N723">
        <v>0</v>
      </c>
      <c r="O723">
        <v>100</v>
      </c>
      <c r="P723">
        <v>100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11499.15</v>
      </c>
      <c r="X723">
        <v>9600</v>
      </c>
      <c r="Y723">
        <v>100</v>
      </c>
      <c r="Z723">
        <v>12600</v>
      </c>
      <c r="AA723">
        <v>100</v>
      </c>
      <c r="AB723" s="6">
        <v>46147.586284722223</v>
      </c>
      <c r="AC723" s="6">
        <v>25569.229166666668</v>
      </c>
    </row>
    <row r="724" spans="1:29" x14ac:dyDescent="0.25">
      <c r="A724" t="s">
        <v>9</v>
      </c>
      <c r="B724" s="5">
        <v>46149</v>
      </c>
      <c r="C724" t="s">
        <v>54</v>
      </c>
      <c r="D724" t="s">
        <v>783</v>
      </c>
      <c r="E724">
        <v>281843205</v>
      </c>
      <c r="F724" t="s">
        <v>763</v>
      </c>
      <c r="G724" t="s">
        <v>764</v>
      </c>
      <c r="H724">
        <v>65800</v>
      </c>
      <c r="I724" t="s">
        <v>60</v>
      </c>
      <c r="J724">
        <v>1.35</v>
      </c>
      <c r="K724">
        <v>-35.714285714285715</v>
      </c>
      <c r="L724">
        <v>20</v>
      </c>
      <c r="M724">
        <v>1.88</v>
      </c>
      <c r="N724">
        <v>2740</v>
      </c>
      <c r="O724">
        <v>14320</v>
      </c>
      <c r="P724">
        <v>7380</v>
      </c>
      <c r="Q724">
        <v>600</v>
      </c>
      <c r="R724">
        <v>1420</v>
      </c>
      <c r="S724">
        <v>520</v>
      </c>
      <c r="T724">
        <v>2.5</v>
      </c>
      <c r="U724">
        <v>2.85</v>
      </c>
      <c r="V724">
        <v>0.95</v>
      </c>
      <c r="W724">
        <v>2.1</v>
      </c>
      <c r="X724">
        <v>0.95</v>
      </c>
      <c r="Y724">
        <v>120</v>
      </c>
      <c r="Z724">
        <v>1.45</v>
      </c>
      <c r="AA724">
        <v>40</v>
      </c>
      <c r="AB724" s="6">
        <v>46147.586504629631</v>
      </c>
      <c r="AC724" s="6">
        <v>46147.572615740741</v>
      </c>
    </row>
    <row r="725" spans="1:29" x14ac:dyDescent="0.25">
      <c r="A725" t="s">
        <v>9</v>
      </c>
      <c r="B725" s="5">
        <v>46149</v>
      </c>
      <c r="C725" t="s">
        <v>54</v>
      </c>
      <c r="D725" t="s">
        <v>784</v>
      </c>
      <c r="E725">
        <v>281897221</v>
      </c>
      <c r="F725" t="s">
        <v>763</v>
      </c>
      <c r="G725" t="s">
        <v>764</v>
      </c>
      <c r="H725">
        <v>65900</v>
      </c>
      <c r="I725" t="s">
        <v>58</v>
      </c>
      <c r="J725">
        <v>11399.2</v>
      </c>
      <c r="K725">
        <v>0</v>
      </c>
      <c r="L725">
        <v>0</v>
      </c>
      <c r="M725">
        <v>0</v>
      </c>
      <c r="N725">
        <v>0</v>
      </c>
      <c r="O725">
        <v>100</v>
      </c>
      <c r="P725">
        <v>100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11399.2</v>
      </c>
      <c r="X725">
        <v>9500</v>
      </c>
      <c r="Y725">
        <v>100</v>
      </c>
      <c r="Z725">
        <v>12500</v>
      </c>
      <c r="AA725">
        <v>100</v>
      </c>
      <c r="AB725" s="6">
        <v>46147.586400462962</v>
      </c>
      <c r="AC725" s="6">
        <v>25569.229166666668</v>
      </c>
    </row>
    <row r="726" spans="1:29" x14ac:dyDescent="0.25">
      <c r="A726" t="s">
        <v>9</v>
      </c>
      <c r="B726" s="5">
        <v>46149</v>
      </c>
      <c r="C726" t="s">
        <v>54</v>
      </c>
      <c r="D726" t="s">
        <v>785</v>
      </c>
      <c r="E726">
        <v>227697413</v>
      </c>
      <c r="F726" t="s">
        <v>763</v>
      </c>
      <c r="G726" t="s">
        <v>764</v>
      </c>
      <c r="H726">
        <v>65900</v>
      </c>
      <c r="I726" t="s">
        <v>60</v>
      </c>
      <c r="J726">
        <v>1.4</v>
      </c>
      <c r="K726">
        <v>-42.857142857142868</v>
      </c>
      <c r="L726">
        <v>20</v>
      </c>
      <c r="M726">
        <v>2.44</v>
      </c>
      <c r="N726">
        <v>21880</v>
      </c>
      <c r="O726">
        <v>41000</v>
      </c>
      <c r="P726">
        <v>8920</v>
      </c>
      <c r="Q726">
        <v>12740</v>
      </c>
      <c r="R726">
        <v>12960</v>
      </c>
      <c r="S726">
        <v>1160</v>
      </c>
      <c r="T726">
        <v>2.8</v>
      </c>
      <c r="U726">
        <v>4.05</v>
      </c>
      <c r="V726">
        <v>1.4</v>
      </c>
      <c r="W726">
        <v>2.4500000000000002</v>
      </c>
      <c r="X726">
        <v>1.25</v>
      </c>
      <c r="Y726">
        <v>20</v>
      </c>
      <c r="Z726">
        <v>1.4</v>
      </c>
      <c r="AA726">
        <v>60</v>
      </c>
      <c r="AB726" s="6">
        <v>46147.586504629631</v>
      </c>
      <c r="AC726" s="6">
        <v>46147.579594907409</v>
      </c>
    </row>
    <row r="727" spans="1:29" x14ac:dyDescent="0.25">
      <c r="A727" t="s">
        <v>9</v>
      </c>
      <c r="B727" s="5">
        <v>46149</v>
      </c>
      <c r="C727" t="s">
        <v>54</v>
      </c>
      <c r="D727" t="s">
        <v>786</v>
      </c>
      <c r="E727">
        <v>281665541</v>
      </c>
      <c r="F727" t="s">
        <v>763</v>
      </c>
      <c r="G727" t="s">
        <v>764</v>
      </c>
      <c r="H727">
        <v>66000</v>
      </c>
      <c r="I727" t="s">
        <v>58</v>
      </c>
      <c r="J727">
        <v>11299.25</v>
      </c>
      <c r="K727">
        <v>0</v>
      </c>
      <c r="L727">
        <v>0</v>
      </c>
      <c r="M727">
        <v>0</v>
      </c>
      <c r="N727">
        <v>0</v>
      </c>
      <c r="O727">
        <v>300</v>
      </c>
      <c r="P727">
        <v>300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11299.25</v>
      </c>
      <c r="X727">
        <v>9700.1</v>
      </c>
      <c r="Y727">
        <v>100</v>
      </c>
      <c r="Z727">
        <v>12199.9</v>
      </c>
      <c r="AA727">
        <v>100</v>
      </c>
      <c r="AB727" s="6">
        <v>46147.586273148147</v>
      </c>
      <c r="AC727" s="6">
        <v>25569.229166666668</v>
      </c>
    </row>
    <row r="728" spans="1:29" x14ac:dyDescent="0.25">
      <c r="A728" t="s">
        <v>9</v>
      </c>
      <c r="B728" s="5">
        <v>46149</v>
      </c>
      <c r="C728" t="s">
        <v>54</v>
      </c>
      <c r="D728" t="s">
        <v>787</v>
      </c>
      <c r="E728">
        <v>281784325</v>
      </c>
      <c r="F728" t="s">
        <v>763</v>
      </c>
      <c r="G728" t="s">
        <v>764</v>
      </c>
      <c r="H728">
        <v>66000</v>
      </c>
      <c r="I728" t="s">
        <v>60</v>
      </c>
      <c r="J728">
        <v>1.25</v>
      </c>
      <c r="K728">
        <v>-41.860465116279066</v>
      </c>
      <c r="L728">
        <v>100</v>
      </c>
      <c r="M728">
        <v>1.42</v>
      </c>
      <c r="N728">
        <v>4480</v>
      </c>
      <c r="O728">
        <v>36080</v>
      </c>
      <c r="P728">
        <v>13680</v>
      </c>
      <c r="Q728">
        <v>3640</v>
      </c>
      <c r="R728">
        <v>3980</v>
      </c>
      <c r="S728">
        <v>3100</v>
      </c>
      <c r="T728">
        <v>2.0499999999999998</v>
      </c>
      <c r="U728">
        <v>2.0499999999999998</v>
      </c>
      <c r="V728">
        <v>1.05</v>
      </c>
      <c r="W728">
        <v>2.15</v>
      </c>
      <c r="X728">
        <v>1.05</v>
      </c>
      <c r="Y728">
        <v>20</v>
      </c>
      <c r="Z728">
        <v>1.25</v>
      </c>
      <c r="AA728">
        <v>20</v>
      </c>
      <c r="AB728" s="6">
        <v>46147.586504629631</v>
      </c>
      <c r="AC728" s="6">
        <v>46147.584155092591</v>
      </c>
    </row>
    <row r="729" spans="1:29" x14ac:dyDescent="0.25">
      <c r="A729" t="s">
        <v>9</v>
      </c>
      <c r="B729" s="5">
        <v>46149</v>
      </c>
      <c r="C729" t="s">
        <v>54</v>
      </c>
      <c r="D729" t="s">
        <v>788</v>
      </c>
      <c r="E729">
        <v>227766021</v>
      </c>
      <c r="F729" t="s">
        <v>763</v>
      </c>
      <c r="G729" t="s">
        <v>764</v>
      </c>
      <c r="H729">
        <v>66100</v>
      </c>
      <c r="I729" t="s">
        <v>58</v>
      </c>
      <c r="J729">
        <v>11199.25</v>
      </c>
      <c r="K729">
        <v>0</v>
      </c>
      <c r="L729">
        <v>0</v>
      </c>
      <c r="M729">
        <v>0</v>
      </c>
      <c r="N729">
        <v>0</v>
      </c>
      <c r="O729">
        <v>100</v>
      </c>
      <c r="P729">
        <v>100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11199.25</v>
      </c>
      <c r="X729">
        <v>9300</v>
      </c>
      <c r="Y729">
        <v>100</v>
      </c>
      <c r="Z729">
        <v>12300</v>
      </c>
      <c r="AA729">
        <v>100</v>
      </c>
      <c r="AB729" s="6">
        <v>46147.586388888885</v>
      </c>
      <c r="AC729" s="6">
        <v>25569.229166666668</v>
      </c>
    </row>
    <row r="730" spans="1:29" x14ac:dyDescent="0.25">
      <c r="A730" t="s">
        <v>9</v>
      </c>
      <c r="B730" s="5">
        <v>46149</v>
      </c>
      <c r="C730" t="s">
        <v>54</v>
      </c>
      <c r="D730" t="s">
        <v>789</v>
      </c>
      <c r="E730">
        <v>281648389</v>
      </c>
      <c r="F730" t="s">
        <v>763</v>
      </c>
      <c r="G730" t="s">
        <v>764</v>
      </c>
      <c r="H730">
        <v>66100</v>
      </c>
      <c r="I730" t="s">
        <v>60</v>
      </c>
      <c r="J730">
        <v>1.4</v>
      </c>
      <c r="K730">
        <v>-31.707317073170728</v>
      </c>
      <c r="L730">
        <v>120</v>
      </c>
      <c r="M730">
        <v>2.21</v>
      </c>
      <c r="N730">
        <v>4760</v>
      </c>
      <c r="O730">
        <v>31160</v>
      </c>
      <c r="P730">
        <v>13700</v>
      </c>
      <c r="Q730">
        <v>2640</v>
      </c>
      <c r="R730">
        <v>2640</v>
      </c>
      <c r="S730">
        <v>680</v>
      </c>
      <c r="T730">
        <v>3.1</v>
      </c>
      <c r="U730">
        <v>3.1</v>
      </c>
      <c r="V730">
        <v>1.4</v>
      </c>
      <c r="W730">
        <v>2.0499999999999998</v>
      </c>
      <c r="X730">
        <v>1.1000000000000001</v>
      </c>
      <c r="Y730">
        <v>120</v>
      </c>
      <c r="Z730">
        <v>1.5</v>
      </c>
      <c r="AA730">
        <v>4000</v>
      </c>
      <c r="AB730" s="6">
        <v>46147.586388888885</v>
      </c>
      <c r="AC730" s="6">
        <v>46147.577523148146</v>
      </c>
    </row>
    <row r="731" spans="1:29" x14ac:dyDescent="0.25">
      <c r="A731" t="s">
        <v>9</v>
      </c>
      <c r="B731" s="5">
        <v>46149</v>
      </c>
      <c r="C731" t="s">
        <v>54</v>
      </c>
      <c r="D731" t="s">
        <v>790</v>
      </c>
      <c r="E731">
        <v>281697541</v>
      </c>
      <c r="F731" t="s">
        <v>763</v>
      </c>
      <c r="G731" t="s">
        <v>764</v>
      </c>
      <c r="H731">
        <v>66200</v>
      </c>
      <c r="I731" t="s">
        <v>58</v>
      </c>
      <c r="J731">
        <v>11099.3</v>
      </c>
      <c r="K731">
        <v>0</v>
      </c>
      <c r="L731">
        <v>0</v>
      </c>
      <c r="M731">
        <v>0</v>
      </c>
      <c r="N731">
        <v>0</v>
      </c>
      <c r="O731">
        <v>100</v>
      </c>
      <c r="P731">
        <v>100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11099.3</v>
      </c>
      <c r="X731">
        <v>9200</v>
      </c>
      <c r="Y731">
        <v>100</v>
      </c>
      <c r="Z731">
        <v>12200</v>
      </c>
      <c r="AA731">
        <v>100</v>
      </c>
      <c r="AB731" s="6">
        <v>46147.586273148147</v>
      </c>
      <c r="AC731" s="6">
        <v>25569.229166666668</v>
      </c>
    </row>
    <row r="732" spans="1:29" x14ac:dyDescent="0.25">
      <c r="A732" t="s">
        <v>9</v>
      </c>
      <c r="B732" s="5">
        <v>46149</v>
      </c>
      <c r="C732" t="s">
        <v>54</v>
      </c>
      <c r="D732" t="s">
        <v>791</v>
      </c>
      <c r="E732">
        <v>281819653</v>
      </c>
      <c r="F732" t="s">
        <v>763</v>
      </c>
      <c r="G732" t="s">
        <v>764</v>
      </c>
      <c r="H732">
        <v>66200</v>
      </c>
      <c r="I732" t="s">
        <v>60</v>
      </c>
      <c r="J732">
        <v>1.1000000000000001</v>
      </c>
      <c r="K732">
        <v>-38.888888888888886</v>
      </c>
      <c r="L732">
        <v>20</v>
      </c>
      <c r="M732">
        <v>2.2400000000000002</v>
      </c>
      <c r="N732">
        <v>3980</v>
      </c>
      <c r="O732">
        <v>24440</v>
      </c>
      <c r="P732">
        <v>6900</v>
      </c>
      <c r="Q732">
        <v>2320</v>
      </c>
      <c r="R732">
        <v>3040</v>
      </c>
      <c r="S732">
        <v>1780</v>
      </c>
      <c r="T732">
        <v>2.65</v>
      </c>
      <c r="U732">
        <v>3.8</v>
      </c>
      <c r="V732">
        <v>1.1000000000000001</v>
      </c>
      <c r="W732">
        <v>1.8</v>
      </c>
      <c r="X732">
        <v>1.1000000000000001</v>
      </c>
      <c r="Y732">
        <v>600</v>
      </c>
      <c r="Z732">
        <v>1.5</v>
      </c>
      <c r="AA732">
        <v>240</v>
      </c>
      <c r="AB732" s="6">
        <v>46147.586493055554</v>
      </c>
      <c r="AC732" s="6">
        <v>46147.584606481483</v>
      </c>
    </row>
    <row r="733" spans="1:29" x14ac:dyDescent="0.25">
      <c r="A733" t="s">
        <v>9</v>
      </c>
      <c r="B733" s="5">
        <v>46149</v>
      </c>
      <c r="C733" t="s">
        <v>54</v>
      </c>
      <c r="D733" t="s">
        <v>792</v>
      </c>
      <c r="E733">
        <v>227801605</v>
      </c>
      <c r="F733" t="s">
        <v>763</v>
      </c>
      <c r="G733" t="s">
        <v>764</v>
      </c>
      <c r="H733">
        <v>66300</v>
      </c>
      <c r="I733" t="s">
        <v>58</v>
      </c>
      <c r="J733">
        <v>10999.35</v>
      </c>
      <c r="K733">
        <v>0</v>
      </c>
      <c r="L733">
        <v>0</v>
      </c>
      <c r="M733">
        <v>0</v>
      </c>
      <c r="N733">
        <v>0</v>
      </c>
      <c r="O733">
        <v>400</v>
      </c>
      <c r="P733">
        <v>400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10999.35</v>
      </c>
      <c r="X733">
        <v>9827.85</v>
      </c>
      <c r="Y733">
        <v>300</v>
      </c>
      <c r="Z733">
        <v>11679.1</v>
      </c>
      <c r="AA733">
        <v>300</v>
      </c>
      <c r="AB733" s="6">
        <v>46147.586365740739</v>
      </c>
      <c r="AC733" s="6">
        <v>25569.229166666668</v>
      </c>
    </row>
    <row r="734" spans="1:29" x14ac:dyDescent="0.25">
      <c r="A734" t="s">
        <v>9</v>
      </c>
      <c r="B734" s="5">
        <v>46149</v>
      </c>
      <c r="C734" t="s">
        <v>54</v>
      </c>
      <c r="D734" t="s">
        <v>793</v>
      </c>
      <c r="E734">
        <v>281681669</v>
      </c>
      <c r="F734" t="s">
        <v>763</v>
      </c>
      <c r="G734" t="s">
        <v>764</v>
      </c>
      <c r="H734">
        <v>66300</v>
      </c>
      <c r="I734" t="s">
        <v>60</v>
      </c>
      <c r="J734">
        <v>1</v>
      </c>
      <c r="K734">
        <v>-42.857142857142854</v>
      </c>
      <c r="L734">
        <v>120</v>
      </c>
      <c r="M734">
        <v>2.72</v>
      </c>
      <c r="N734">
        <v>7780</v>
      </c>
      <c r="O734">
        <v>16740</v>
      </c>
      <c r="P734">
        <v>9320</v>
      </c>
      <c r="Q734">
        <v>2180</v>
      </c>
      <c r="R734">
        <v>3240</v>
      </c>
      <c r="S734">
        <v>560</v>
      </c>
      <c r="T734">
        <v>2.9</v>
      </c>
      <c r="U734">
        <v>6.25</v>
      </c>
      <c r="V734">
        <v>0.75</v>
      </c>
      <c r="W734">
        <v>1.75</v>
      </c>
      <c r="X734">
        <v>0.95</v>
      </c>
      <c r="Y734">
        <v>20</v>
      </c>
      <c r="Z734">
        <v>1.3</v>
      </c>
      <c r="AA734">
        <v>120</v>
      </c>
      <c r="AB734" s="6">
        <v>46147.586504629631</v>
      </c>
      <c r="AC734" s="6">
        <v>46147.583773148152</v>
      </c>
    </row>
    <row r="735" spans="1:29" x14ac:dyDescent="0.25">
      <c r="A735" t="s">
        <v>9</v>
      </c>
      <c r="B735" s="5">
        <v>46149</v>
      </c>
      <c r="C735" t="s">
        <v>54</v>
      </c>
      <c r="D735" t="s">
        <v>794</v>
      </c>
      <c r="E735">
        <v>281735173</v>
      </c>
      <c r="F735" t="s">
        <v>763</v>
      </c>
      <c r="G735" t="s">
        <v>764</v>
      </c>
      <c r="H735">
        <v>66400</v>
      </c>
      <c r="I735" t="s">
        <v>58</v>
      </c>
      <c r="J735">
        <v>10899.4</v>
      </c>
      <c r="K735">
        <v>0</v>
      </c>
      <c r="L735">
        <v>0</v>
      </c>
      <c r="M735">
        <v>0</v>
      </c>
      <c r="N735">
        <v>0</v>
      </c>
      <c r="O735">
        <v>400</v>
      </c>
      <c r="P735">
        <v>400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10899.4</v>
      </c>
      <c r="X735">
        <v>9726.7999999999993</v>
      </c>
      <c r="Y735">
        <v>300</v>
      </c>
      <c r="Z735">
        <v>11577.5</v>
      </c>
      <c r="AA735">
        <v>300</v>
      </c>
      <c r="AB735" s="6">
        <v>46147.586365740739</v>
      </c>
      <c r="AC735" s="6">
        <v>25569.229166666668</v>
      </c>
    </row>
    <row r="736" spans="1:29" x14ac:dyDescent="0.25">
      <c r="A736" t="s">
        <v>9</v>
      </c>
      <c r="B736" s="5">
        <v>46149</v>
      </c>
      <c r="C736" t="s">
        <v>54</v>
      </c>
      <c r="D736" t="s">
        <v>795</v>
      </c>
      <c r="E736">
        <v>281852165</v>
      </c>
      <c r="F736" t="s">
        <v>763</v>
      </c>
      <c r="G736" t="s">
        <v>764</v>
      </c>
      <c r="H736">
        <v>66400</v>
      </c>
      <c r="I736" t="s">
        <v>60</v>
      </c>
      <c r="J736">
        <v>1.1499999999999999</v>
      </c>
      <c r="K736">
        <v>-36.111111111111121</v>
      </c>
      <c r="L736">
        <v>40</v>
      </c>
      <c r="M736">
        <v>2.72</v>
      </c>
      <c r="N736">
        <v>5460</v>
      </c>
      <c r="O736">
        <v>16360</v>
      </c>
      <c r="P736">
        <v>8500</v>
      </c>
      <c r="Q736">
        <v>2380</v>
      </c>
      <c r="R736">
        <v>2380</v>
      </c>
      <c r="S736">
        <v>200</v>
      </c>
      <c r="T736">
        <v>2.75</v>
      </c>
      <c r="U736">
        <v>3.95</v>
      </c>
      <c r="V736">
        <v>1.1499999999999999</v>
      </c>
      <c r="W736">
        <v>1.8</v>
      </c>
      <c r="X736">
        <v>1.2</v>
      </c>
      <c r="Y736">
        <v>20</v>
      </c>
      <c r="Z736">
        <v>1.45</v>
      </c>
      <c r="AA736">
        <v>40</v>
      </c>
      <c r="AB736" s="6">
        <v>46147.586504629631</v>
      </c>
      <c r="AC736" s="6">
        <v>46147.552499999998</v>
      </c>
    </row>
    <row r="737" spans="1:29" x14ac:dyDescent="0.25">
      <c r="A737" t="s">
        <v>9</v>
      </c>
      <c r="B737" s="5">
        <v>46149</v>
      </c>
      <c r="C737" t="s">
        <v>54</v>
      </c>
      <c r="D737" t="s">
        <v>796</v>
      </c>
      <c r="E737">
        <v>281600261</v>
      </c>
      <c r="F737" t="s">
        <v>763</v>
      </c>
      <c r="G737" t="s">
        <v>764</v>
      </c>
      <c r="H737">
        <v>66500</v>
      </c>
      <c r="I737" t="s">
        <v>58</v>
      </c>
      <c r="J737">
        <v>10799.45</v>
      </c>
      <c r="K737">
        <v>0</v>
      </c>
      <c r="L737">
        <v>0</v>
      </c>
      <c r="M737">
        <v>0</v>
      </c>
      <c r="N737">
        <v>0</v>
      </c>
      <c r="O737">
        <v>600</v>
      </c>
      <c r="P737">
        <v>600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10799.45</v>
      </c>
      <c r="X737">
        <v>9623.7999999999993</v>
      </c>
      <c r="Y737">
        <v>300</v>
      </c>
      <c r="Z737">
        <v>11475.35</v>
      </c>
      <c r="AA737">
        <v>300</v>
      </c>
      <c r="AB737" s="6">
        <v>46147.586365740739</v>
      </c>
      <c r="AC737" s="6">
        <v>25569.229166666668</v>
      </c>
    </row>
    <row r="738" spans="1:29" x14ac:dyDescent="0.25">
      <c r="A738" t="s">
        <v>9</v>
      </c>
      <c r="B738" s="5">
        <v>46149</v>
      </c>
      <c r="C738" t="s">
        <v>54</v>
      </c>
      <c r="D738" t="s">
        <v>797</v>
      </c>
      <c r="E738">
        <v>281716229</v>
      </c>
      <c r="F738" t="s">
        <v>763</v>
      </c>
      <c r="G738" t="s">
        <v>764</v>
      </c>
      <c r="H738">
        <v>66500</v>
      </c>
      <c r="I738" t="s">
        <v>60</v>
      </c>
      <c r="J738">
        <v>1</v>
      </c>
      <c r="K738">
        <v>-57.446808510638299</v>
      </c>
      <c r="L738">
        <v>20</v>
      </c>
      <c r="M738">
        <v>2.4</v>
      </c>
      <c r="N738">
        <v>1840</v>
      </c>
      <c r="O738">
        <v>23380</v>
      </c>
      <c r="P738">
        <v>10800</v>
      </c>
      <c r="Q738">
        <v>940</v>
      </c>
      <c r="R738">
        <v>1000</v>
      </c>
      <c r="S738">
        <v>440</v>
      </c>
      <c r="T738">
        <v>3.1</v>
      </c>
      <c r="U738">
        <v>3.7</v>
      </c>
      <c r="V738">
        <v>0.85</v>
      </c>
      <c r="W738">
        <v>2.35</v>
      </c>
      <c r="X738">
        <v>1</v>
      </c>
      <c r="Y738">
        <v>60</v>
      </c>
      <c r="Z738">
        <v>1.5</v>
      </c>
      <c r="AA738">
        <v>300</v>
      </c>
      <c r="AB738" s="6">
        <v>46147.586226851854</v>
      </c>
      <c r="AC738" s="6">
        <v>46147.579375000001</v>
      </c>
    </row>
    <row r="739" spans="1:29" x14ac:dyDescent="0.25">
      <c r="A739" t="s">
        <v>9</v>
      </c>
      <c r="B739" s="5">
        <v>46149</v>
      </c>
      <c r="C739" t="s">
        <v>54</v>
      </c>
      <c r="D739" t="s">
        <v>798</v>
      </c>
      <c r="E739">
        <v>281772549</v>
      </c>
      <c r="F739" t="s">
        <v>763</v>
      </c>
      <c r="G739" t="s">
        <v>764</v>
      </c>
      <c r="H739">
        <v>66600</v>
      </c>
      <c r="I739" t="s">
        <v>58</v>
      </c>
      <c r="J739">
        <v>10699.5</v>
      </c>
      <c r="K739">
        <v>0</v>
      </c>
      <c r="L739">
        <v>0</v>
      </c>
      <c r="M739">
        <v>0</v>
      </c>
      <c r="N739">
        <v>0</v>
      </c>
      <c r="O739">
        <v>400</v>
      </c>
      <c r="P739">
        <v>400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10699.5</v>
      </c>
      <c r="X739">
        <v>9523.25</v>
      </c>
      <c r="Y739">
        <v>300</v>
      </c>
      <c r="Z739">
        <v>11372.9</v>
      </c>
      <c r="AA739">
        <v>300</v>
      </c>
      <c r="AB739" s="6">
        <v>46147.586365740739</v>
      </c>
      <c r="AC739" s="6">
        <v>25569.229166666668</v>
      </c>
    </row>
    <row r="740" spans="1:29" x14ac:dyDescent="0.25">
      <c r="A740" t="s">
        <v>9</v>
      </c>
      <c r="B740" s="5">
        <v>46149</v>
      </c>
      <c r="C740" t="s">
        <v>54</v>
      </c>
      <c r="D740" t="s">
        <v>799</v>
      </c>
      <c r="E740">
        <v>227820037</v>
      </c>
      <c r="F740" t="s">
        <v>763</v>
      </c>
      <c r="G740" t="s">
        <v>764</v>
      </c>
      <c r="H740">
        <v>66600</v>
      </c>
      <c r="I740" t="s">
        <v>60</v>
      </c>
      <c r="J740">
        <v>1.45</v>
      </c>
      <c r="K740">
        <v>-50.847457627118651</v>
      </c>
      <c r="L740">
        <v>120</v>
      </c>
      <c r="M740">
        <v>1.2</v>
      </c>
      <c r="N740">
        <v>360</v>
      </c>
      <c r="O740">
        <v>10340</v>
      </c>
      <c r="P740">
        <v>7000</v>
      </c>
      <c r="Q740">
        <v>460</v>
      </c>
      <c r="R740">
        <v>580</v>
      </c>
      <c r="S740">
        <v>460</v>
      </c>
      <c r="T740">
        <v>1.05</v>
      </c>
      <c r="U740">
        <v>1.45</v>
      </c>
      <c r="V740">
        <v>1.05</v>
      </c>
      <c r="W740">
        <v>2.95</v>
      </c>
      <c r="X740">
        <v>0.85</v>
      </c>
      <c r="Y740">
        <v>1020</v>
      </c>
      <c r="Z740">
        <v>1.75</v>
      </c>
      <c r="AA740">
        <v>40</v>
      </c>
      <c r="AB740" s="6">
        <v>46147.586365740739</v>
      </c>
      <c r="AC740" s="6">
        <v>46147.574374999997</v>
      </c>
    </row>
    <row r="741" spans="1:29" x14ac:dyDescent="0.25">
      <c r="A741" t="s">
        <v>9</v>
      </c>
      <c r="B741" s="5">
        <v>46149</v>
      </c>
      <c r="C741" t="s">
        <v>54</v>
      </c>
      <c r="D741" t="s">
        <v>800</v>
      </c>
      <c r="E741">
        <v>281635589</v>
      </c>
      <c r="F741" t="s">
        <v>763</v>
      </c>
      <c r="G741" t="s">
        <v>764</v>
      </c>
      <c r="H741">
        <v>66700</v>
      </c>
      <c r="I741" t="s">
        <v>58</v>
      </c>
      <c r="J741">
        <v>10599.55</v>
      </c>
      <c r="K741">
        <v>0</v>
      </c>
      <c r="L741">
        <v>0</v>
      </c>
      <c r="M741">
        <v>0</v>
      </c>
      <c r="N741">
        <v>0</v>
      </c>
      <c r="O741">
        <v>400</v>
      </c>
      <c r="P741">
        <v>400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10599.55</v>
      </c>
      <c r="X741">
        <v>9424.1</v>
      </c>
      <c r="Y741">
        <v>300</v>
      </c>
      <c r="Z741">
        <v>11275.2</v>
      </c>
      <c r="AA741">
        <v>300</v>
      </c>
      <c r="AB741" s="6">
        <v>46147.586365740739</v>
      </c>
      <c r="AC741" s="6">
        <v>25569.229166666668</v>
      </c>
    </row>
    <row r="742" spans="1:29" x14ac:dyDescent="0.25">
      <c r="A742" t="s">
        <v>9</v>
      </c>
      <c r="B742" s="5">
        <v>46149</v>
      </c>
      <c r="C742" t="s">
        <v>54</v>
      </c>
      <c r="D742" t="s">
        <v>801</v>
      </c>
      <c r="E742">
        <v>281755141</v>
      </c>
      <c r="F742" t="s">
        <v>763</v>
      </c>
      <c r="G742" t="s">
        <v>764</v>
      </c>
      <c r="H742">
        <v>66700</v>
      </c>
      <c r="I742" t="s">
        <v>60</v>
      </c>
      <c r="J742">
        <v>1.2</v>
      </c>
      <c r="K742">
        <v>-47.826086956521735</v>
      </c>
      <c r="L742">
        <v>60</v>
      </c>
      <c r="M742">
        <v>2.31</v>
      </c>
      <c r="N742">
        <v>2740</v>
      </c>
      <c r="O742">
        <v>16120</v>
      </c>
      <c r="P742">
        <v>7260</v>
      </c>
      <c r="Q742">
        <v>2140</v>
      </c>
      <c r="R742">
        <v>2200</v>
      </c>
      <c r="S742">
        <v>1360</v>
      </c>
      <c r="T742">
        <v>2.85</v>
      </c>
      <c r="U742">
        <v>3.85</v>
      </c>
      <c r="V742">
        <v>1.05</v>
      </c>
      <c r="W742">
        <v>2.2999999999999998</v>
      </c>
      <c r="X742">
        <v>0.8</v>
      </c>
      <c r="Y742">
        <v>1100</v>
      </c>
      <c r="Z742">
        <v>1.55</v>
      </c>
      <c r="AA742">
        <v>120</v>
      </c>
      <c r="AB742" s="6">
        <v>46147.586504629631</v>
      </c>
      <c r="AC742" s="6">
        <v>46147.57439814815</v>
      </c>
    </row>
    <row r="743" spans="1:29" x14ac:dyDescent="0.25">
      <c r="A743" t="s">
        <v>9</v>
      </c>
      <c r="B743" s="5">
        <v>46149</v>
      </c>
      <c r="C743" t="s">
        <v>54</v>
      </c>
      <c r="D743" t="s">
        <v>802</v>
      </c>
      <c r="E743">
        <v>227735557</v>
      </c>
      <c r="F743" t="s">
        <v>763</v>
      </c>
      <c r="G743" t="s">
        <v>764</v>
      </c>
      <c r="H743">
        <v>66800</v>
      </c>
      <c r="I743" t="s">
        <v>58</v>
      </c>
      <c r="J743">
        <v>10499.6</v>
      </c>
      <c r="K743">
        <v>0</v>
      </c>
      <c r="L743">
        <v>0</v>
      </c>
      <c r="M743">
        <v>0</v>
      </c>
      <c r="N743">
        <v>0</v>
      </c>
      <c r="O743">
        <v>400</v>
      </c>
      <c r="P743">
        <v>400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10499.6</v>
      </c>
      <c r="X743">
        <v>9325.0499999999993</v>
      </c>
      <c r="Y743">
        <v>300</v>
      </c>
      <c r="Z743">
        <v>11175.75</v>
      </c>
      <c r="AA743">
        <v>300</v>
      </c>
      <c r="AB743" s="6">
        <v>46147.586365740739</v>
      </c>
      <c r="AC743" s="6">
        <v>25569.229166666668</v>
      </c>
    </row>
    <row r="744" spans="1:29" x14ac:dyDescent="0.25">
      <c r="A744" t="s">
        <v>9</v>
      </c>
      <c r="B744" s="5">
        <v>46149</v>
      </c>
      <c r="C744" t="s">
        <v>54</v>
      </c>
      <c r="D744" t="s">
        <v>803</v>
      </c>
      <c r="E744">
        <v>281618181</v>
      </c>
      <c r="F744" t="s">
        <v>763</v>
      </c>
      <c r="G744" t="s">
        <v>764</v>
      </c>
      <c r="H744">
        <v>66800</v>
      </c>
      <c r="I744" t="s">
        <v>60</v>
      </c>
      <c r="J744">
        <v>1.4</v>
      </c>
      <c r="K744">
        <v>-30.000000000000004</v>
      </c>
      <c r="L744">
        <v>20</v>
      </c>
      <c r="M744">
        <v>2.64</v>
      </c>
      <c r="N744">
        <v>4540</v>
      </c>
      <c r="O744">
        <v>16540</v>
      </c>
      <c r="P744">
        <v>9020</v>
      </c>
      <c r="Q744">
        <v>2680</v>
      </c>
      <c r="R744">
        <v>2680</v>
      </c>
      <c r="S744">
        <v>500</v>
      </c>
      <c r="T744">
        <v>2.95</v>
      </c>
      <c r="U744">
        <v>3.9</v>
      </c>
      <c r="V744">
        <v>1.4</v>
      </c>
      <c r="W744">
        <v>2</v>
      </c>
      <c r="X744">
        <v>1.35</v>
      </c>
      <c r="Y744">
        <v>20</v>
      </c>
      <c r="Z744">
        <v>1.6</v>
      </c>
      <c r="AA744">
        <v>120</v>
      </c>
      <c r="AB744" s="6">
        <v>46147.586493055554</v>
      </c>
      <c r="AC744" s="6">
        <v>46147.581655092596</v>
      </c>
    </row>
    <row r="745" spans="1:29" x14ac:dyDescent="0.25">
      <c r="A745" t="s">
        <v>9</v>
      </c>
      <c r="B745" s="5">
        <v>46149</v>
      </c>
      <c r="C745" t="s">
        <v>54</v>
      </c>
      <c r="D745" t="s">
        <v>804</v>
      </c>
      <c r="E745">
        <v>281670149</v>
      </c>
      <c r="F745" t="s">
        <v>763</v>
      </c>
      <c r="G745" t="s">
        <v>764</v>
      </c>
      <c r="H745">
        <v>66900</v>
      </c>
      <c r="I745" t="s">
        <v>58</v>
      </c>
      <c r="J745">
        <v>10399.65</v>
      </c>
      <c r="K745">
        <v>0</v>
      </c>
      <c r="L745">
        <v>0</v>
      </c>
      <c r="M745">
        <v>0</v>
      </c>
      <c r="N745">
        <v>0</v>
      </c>
      <c r="O745">
        <v>400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10399.65</v>
      </c>
      <c r="X745">
        <v>9225.9</v>
      </c>
      <c r="Y745">
        <v>300</v>
      </c>
      <c r="Z745">
        <v>11077.2</v>
      </c>
      <c r="AA745">
        <v>300</v>
      </c>
      <c r="AB745" s="6">
        <v>46147.586365740739</v>
      </c>
      <c r="AC745" s="6">
        <v>25569.229166666668</v>
      </c>
    </row>
    <row r="746" spans="1:29" x14ac:dyDescent="0.25">
      <c r="A746" t="s">
        <v>9</v>
      </c>
      <c r="B746" s="5">
        <v>46149</v>
      </c>
      <c r="C746" t="s">
        <v>54</v>
      </c>
      <c r="D746" t="s">
        <v>805</v>
      </c>
      <c r="E746">
        <v>281789957</v>
      </c>
      <c r="F746" t="s">
        <v>763</v>
      </c>
      <c r="G746" t="s">
        <v>764</v>
      </c>
      <c r="H746">
        <v>66900</v>
      </c>
      <c r="I746" t="s">
        <v>60</v>
      </c>
      <c r="J746">
        <v>2</v>
      </c>
      <c r="K746">
        <v>-9.0909090909090988</v>
      </c>
      <c r="L746">
        <v>100</v>
      </c>
      <c r="M746">
        <v>2.2400000000000002</v>
      </c>
      <c r="N746">
        <v>22020</v>
      </c>
      <c r="O746">
        <v>36940</v>
      </c>
      <c r="P746">
        <v>8520</v>
      </c>
      <c r="Q746">
        <v>3320</v>
      </c>
      <c r="R746">
        <v>5380</v>
      </c>
      <c r="S746">
        <v>340</v>
      </c>
      <c r="T746">
        <v>3.35</v>
      </c>
      <c r="U746">
        <v>4.0999999999999996</v>
      </c>
      <c r="V746">
        <v>1.25</v>
      </c>
      <c r="W746">
        <v>2.2000000000000002</v>
      </c>
      <c r="X746">
        <v>1.2</v>
      </c>
      <c r="Y746">
        <v>20</v>
      </c>
      <c r="Z746">
        <v>1.8</v>
      </c>
      <c r="AA746">
        <v>120</v>
      </c>
      <c r="AB746" s="6">
        <v>46147.586504629631</v>
      </c>
      <c r="AC746" s="6">
        <v>46147.528692129628</v>
      </c>
    </row>
    <row r="747" spans="1:29" x14ac:dyDescent="0.25">
      <c r="A747" t="s">
        <v>9</v>
      </c>
      <c r="B747" s="5">
        <v>46149</v>
      </c>
      <c r="C747" t="s">
        <v>54</v>
      </c>
      <c r="D747" t="s">
        <v>806</v>
      </c>
      <c r="E747">
        <v>281994757</v>
      </c>
      <c r="F747" t="s">
        <v>763</v>
      </c>
      <c r="G747" t="s">
        <v>764</v>
      </c>
      <c r="H747">
        <v>67000</v>
      </c>
      <c r="I747" t="s">
        <v>58</v>
      </c>
      <c r="J747">
        <v>10299.700000000001</v>
      </c>
      <c r="K747">
        <v>0</v>
      </c>
      <c r="L747">
        <v>0</v>
      </c>
      <c r="M747">
        <v>0</v>
      </c>
      <c r="N747">
        <v>0</v>
      </c>
      <c r="O747">
        <v>600</v>
      </c>
      <c r="P747">
        <v>600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10299.700000000001</v>
      </c>
      <c r="X747">
        <v>9126.9</v>
      </c>
      <c r="Y747">
        <v>300</v>
      </c>
      <c r="Z747">
        <v>10975.6</v>
      </c>
      <c r="AA747">
        <v>300</v>
      </c>
      <c r="AB747" s="6">
        <v>46147.586365740739</v>
      </c>
      <c r="AC747" s="6">
        <v>25569.229166666668</v>
      </c>
    </row>
    <row r="748" spans="1:29" x14ac:dyDescent="0.25">
      <c r="A748" t="s">
        <v>9</v>
      </c>
      <c r="B748" s="5">
        <v>46149</v>
      </c>
      <c r="C748" t="s">
        <v>54</v>
      </c>
      <c r="D748" t="s">
        <v>807</v>
      </c>
      <c r="E748">
        <v>227792901</v>
      </c>
      <c r="F748" t="s">
        <v>763</v>
      </c>
      <c r="G748" t="s">
        <v>764</v>
      </c>
      <c r="H748">
        <v>67000</v>
      </c>
      <c r="I748" t="s">
        <v>60</v>
      </c>
      <c r="J748">
        <v>1</v>
      </c>
      <c r="K748">
        <v>-57.446808510638299</v>
      </c>
      <c r="L748">
        <v>40</v>
      </c>
      <c r="M748">
        <v>1.93</v>
      </c>
      <c r="N748">
        <v>10080</v>
      </c>
      <c r="O748">
        <v>59960</v>
      </c>
      <c r="P748">
        <v>11660</v>
      </c>
      <c r="Q748">
        <v>4700</v>
      </c>
      <c r="R748">
        <v>5700</v>
      </c>
      <c r="S748">
        <v>4520</v>
      </c>
      <c r="T748">
        <v>3</v>
      </c>
      <c r="U748">
        <v>3</v>
      </c>
      <c r="V748">
        <v>0.75</v>
      </c>
      <c r="W748">
        <v>2.35</v>
      </c>
      <c r="X748">
        <v>0.9</v>
      </c>
      <c r="Y748">
        <v>40</v>
      </c>
      <c r="Z748">
        <v>1</v>
      </c>
      <c r="AA748">
        <v>40</v>
      </c>
      <c r="AB748" s="6">
        <v>46147.586504629631</v>
      </c>
      <c r="AC748" s="6">
        <v>46147.5856712963</v>
      </c>
    </row>
    <row r="749" spans="1:29" x14ac:dyDescent="0.25">
      <c r="A749" t="s">
        <v>9</v>
      </c>
      <c r="B749" s="5">
        <v>46149</v>
      </c>
      <c r="C749" t="s">
        <v>54</v>
      </c>
      <c r="D749" t="s">
        <v>808</v>
      </c>
      <c r="E749">
        <v>281855237</v>
      </c>
      <c r="F749" t="s">
        <v>763</v>
      </c>
      <c r="G749" t="s">
        <v>764</v>
      </c>
      <c r="H749">
        <v>67100</v>
      </c>
      <c r="I749" t="s">
        <v>58</v>
      </c>
      <c r="J749">
        <v>10199.75</v>
      </c>
      <c r="K749">
        <v>0</v>
      </c>
      <c r="L749">
        <v>0</v>
      </c>
      <c r="M749">
        <v>0</v>
      </c>
      <c r="N749">
        <v>0</v>
      </c>
      <c r="O749">
        <v>400</v>
      </c>
      <c r="P749">
        <v>400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10199.75</v>
      </c>
      <c r="X749">
        <v>9028.15</v>
      </c>
      <c r="Y749">
        <v>300</v>
      </c>
      <c r="Z749">
        <v>10877.5</v>
      </c>
      <c r="AA749">
        <v>300</v>
      </c>
      <c r="AB749" s="6">
        <v>46147.586354166669</v>
      </c>
      <c r="AC749" s="6">
        <v>25569.229166666668</v>
      </c>
    </row>
    <row r="750" spans="1:29" x14ac:dyDescent="0.25">
      <c r="A750" t="s">
        <v>9</v>
      </c>
      <c r="B750" s="5">
        <v>46149</v>
      </c>
      <c r="C750" t="s">
        <v>54</v>
      </c>
      <c r="D750" t="s">
        <v>809</v>
      </c>
      <c r="E750">
        <v>281978117</v>
      </c>
      <c r="F750" t="s">
        <v>763</v>
      </c>
      <c r="G750" t="s">
        <v>764</v>
      </c>
      <c r="H750">
        <v>67100</v>
      </c>
      <c r="I750" t="s">
        <v>60</v>
      </c>
      <c r="J750">
        <v>1.85</v>
      </c>
      <c r="K750">
        <v>-11.904761904761905</v>
      </c>
      <c r="L750">
        <v>40</v>
      </c>
      <c r="M750">
        <v>2.44</v>
      </c>
      <c r="N750">
        <v>440</v>
      </c>
      <c r="O750">
        <v>15180</v>
      </c>
      <c r="P750">
        <v>9800</v>
      </c>
      <c r="Q750">
        <v>340</v>
      </c>
      <c r="R750">
        <v>340</v>
      </c>
      <c r="S750">
        <v>200</v>
      </c>
      <c r="T750">
        <v>2.95</v>
      </c>
      <c r="U750">
        <v>2.95</v>
      </c>
      <c r="V750">
        <v>1.85</v>
      </c>
      <c r="W750">
        <v>2.1</v>
      </c>
      <c r="X750">
        <v>0.9</v>
      </c>
      <c r="Y750">
        <v>20</v>
      </c>
      <c r="Z750">
        <v>1.45</v>
      </c>
      <c r="AA750">
        <v>120</v>
      </c>
      <c r="AB750" s="6">
        <v>46147.586504629631</v>
      </c>
      <c r="AC750" s="6">
        <v>46147.542581018519</v>
      </c>
    </row>
    <row r="751" spans="1:29" x14ac:dyDescent="0.25">
      <c r="A751" t="s">
        <v>9</v>
      </c>
      <c r="B751" s="5">
        <v>46149</v>
      </c>
      <c r="C751" t="s">
        <v>54</v>
      </c>
      <c r="D751" t="s">
        <v>810</v>
      </c>
      <c r="E751">
        <v>227381509</v>
      </c>
      <c r="F751" t="s">
        <v>763</v>
      </c>
      <c r="G751" t="s">
        <v>764</v>
      </c>
      <c r="H751">
        <v>67200</v>
      </c>
      <c r="I751" t="s">
        <v>58</v>
      </c>
      <c r="J751">
        <v>10099.75</v>
      </c>
      <c r="K751">
        <v>0</v>
      </c>
      <c r="L751">
        <v>0</v>
      </c>
      <c r="M751">
        <v>0</v>
      </c>
      <c r="N751">
        <v>0</v>
      </c>
      <c r="O751">
        <v>400</v>
      </c>
      <c r="P751">
        <v>400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10099.75</v>
      </c>
      <c r="X751">
        <v>8927.65</v>
      </c>
      <c r="Y751">
        <v>300</v>
      </c>
      <c r="Z751">
        <v>10780.15</v>
      </c>
      <c r="AA751">
        <v>300</v>
      </c>
      <c r="AB751" s="6">
        <v>46147.586365740739</v>
      </c>
      <c r="AC751" s="6">
        <v>25569.229166666668</v>
      </c>
    </row>
    <row r="752" spans="1:29" x14ac:dyDescent="0.25">
      <c r="A752" t="s">
        <v>9</v>
      </c>
      <c r="B752" s="5">
        <v>46149</v>
      </c>
      <c r="C752" t="s">
        <v>54</v>
      </c>
      <c r="D752" t="s">
        <v>811</v>
      </c>
      <c r="E752">
        <v>227438597</v>
      </c>
      <c r="F752" t="s">
        <v>763</v>
      </c>
      <c r="G752" t="s">
        <v>764</v>
      </c>
      <c r="H752">
        <v>67200</v>
      </c>
      <c r="I752" t="s">
        <v>60</v>
      </c>
      <c r="J752">
        <v>1.4</v>
      </c>
      <c r="K752">
        <v>-31.707317073170728</v>
      </c>
      <c r="L752">
        <v>20</v>
      </c>
      <c r="M752">
        <v>2.4300000000000002</v>
      </c>
      <c r="N752">
        <v>5100</v>
      </c>
      <c r="O752">
        <v>20520</v>
      </c>
      <c r="P752">
        <v>10720</v>
      </c>
      <c r="Q752">
        <v>3160</v>
      </c>
      <c r="R752">
        <v>3260</v>
      </c>
      <c r="S752">
        <v>1400</v>
      </c>
      <c r="T752">
        <v>2.85</v>
      </c>
      <c r="U752">
        <v>3.75</v>
      </c>
      <c r="V752">
        <v>1.25</v>
      </c>
      <c r="W752">
        <v>2.0499999999999998</v>
      </c>
      <c r="X752">
        <v>1.35</v>
      </c>
      <c r="Y752">
        <v>20</v>
      </c>
      <c r="Z752">
        <v>1.8</v>
      </c>
      <c r="AA752">
        <v>40</v>
      </c>
      <c r="AB752" s="6">
        <v>46147.586504629631</v>
      </c>
      <c r="AC752" s="6">
        <v>46147.585752314815</v>
      </c>
    </row>
    <row r="753" spans="1:29" x14ac:dyDescent="0.25">
      <c r="A753" t="s">
        <v>9</v>
      </c>
      <c r="B753" s="5">
        <v>46149</v>
      </c>
      <c r="C753" t="s">
        <v>54</v>
      </c>
      <c r="D753" t="s">
        <v>812</v>
      </c>
      <c r="E753">
        <v>227582213</v>
      </c>
      <c r="F753" t="s">
        <v>763</v>
      </c>
      <c r="G753" t="s">
        <v>764</v>
      </c>
      <c r="H753">
        <v>67300</v>
      </c>
      <c r="I753" t="s">
        <v>58</v>
      </c>
      <c r="J753">
        <v>9999.7999999999993</v>
      </c>
      <c r="K753">
        <v>0</v>
      </c>
      <c r="L753">
        <v>0</v>
      </c>
      <c r="M753">
        <v>0</v>
      </c>
      <c r="N753">
        <v>0</v>
      </c>
      <c r="O753">
        <v>400</v>
      </c>
      <c r="P753">
        <v>400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9999.7999999999993</v>
      </c>
      <c r="X753">
        <v>8827.15</v>
      </c>
      <c r="Y753">
        <v>300</v>
      </c>
      <c r="Z753">
        <v>10679.7</v>
      </c>
      <c r="AA753">
        <v>300</v>
      </c>
      <c r="AB753" s="6">
        <v>46147.586365740739</v>
      </c>
      <c r="AC753" s="6">
        <v>25569.229166666668</v>
      </c>
    </row>
    <row r="754" spans="1:29" x14ac:dyDescent="0.25">
      <c r="A754" t="s">
        <v>9</v>
      </c>
      <c r="B754" s="5">
        <v>46149</v>
      </c>
      <c r="C754" t="s">
        <v>54</v>
      </c>
      <c r="D754" t="s">
        <v>813</v>
      </c>
      <c r="E754">
        <v>227635973</v>
      </c>
      <c r="F754" t="s">
        <v>763</v>
      </c>
      <c r="G754" t="s">
        <v>764</v>
      </c>
      <c r="H754">
        <v>67300</v>
      </c>
      <c r="I754" t="s">
        <v>60</v>
      </c>
      <c r="J754">
        <v>1.1499999999999999</v>
      </c>
      <c r="K754">
        <v>-34.285714285714292</v>
      </c>
      <c r="L754">
        <v>20</v>
      </c>
      <c r="M754">
        <v>1.88</v>
      </c>
      <c r="N754">
        <v>1780</v>
      </c>
      <c r="O754">
        <v>12920</v>
      </c>
      <c r="P754">
        <v>10360</v>
      </c>
      <c r="Q754">
        <v>720</v>
      </c>
      <c r="R754">
        <v>1380</v>
      </c>
      <c r="S754">
        <v>720</v>
      </c>
      <c r="T754">
        <v>2.9</v>
      </c>
      <c r="U754">
        <v>3.05</v>
      </c>
      <c r="V754">
        <v>1.1499999999999999</v>
      </c>
      <c r="W754">
        <v>1.75</v>
      </c>
      <c r="X754">
        <v>0.95</v>
      </c>
      <c r="Y754">
        <v>900</v>
      </c>
      <c r="Z754">
        <v>1.35</v>
      </c>
      <c r="AA754">
        <v>120</v>
      </c>
      <c r="AB754" s="6">
        <v>46147.586504629631</v>
      </c>
      <c r="AC754" s="6">
        <v>46147.579386574071</v>
      </c>
    </row>
    <row r="755" spans="1:29" x14ac:dyDescent="0.25">
      <c r="A755" t="s">
        <v>9</v>
      </c>
      <c r="B755" s="5">
        <v>46149</v>
      </c>
      <c r="C755" t="s">
        <v>54</v>
      </c>
      <c r="D755" t="s">
        <v>814</v>
      </c>
      <c r="E755">
        <v>227397381</v>
      </c>
      <c r="F755" t="s">
        <v>763</v>
      </c>
      <c r="G755" t="s">
        <v>764</v>
      </c>
      <c r="H755">
        <v>67400</v>
      </c>
      <c r="I755" t="s">
        <v>58</v>
      </c>
      <c r="J755">
        <v>9899.85</v>
      </c>
      <c r="K755">
        <v>0</v>
      </c>
      <c r="L755">
        <v>0</v>
      </c>
      <c r="M755">
        <v>0</v>
      </c>
      <c r="N755">
        <v>0</v>
      </c>
      <c r="O755">
        <v>400</v>
      </c>
      <c r="P755">
        <v>400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9899.85</v>
      </c>
      <c r="X755">
        <v>8731.6</v>
      </c>
      <c r="Y755">
        <v>300</v>
      </c>
      <c r="Z755">
        <v>10579.4</v>
      </c>
      <c r="AA755">
        <v>300</v>
      </c>
      <c r="AB755" s="6">
        <v>46147.586365740739</v>
      </c>
      <c r="AC755" s="6">
        <v>25569.229166666668</v>
      </c>
    </row>
    <row r="756" spans="1:29" x14ac:dyDescent="0.25">
      <c r="A756" t="s">
        <v>9</v>
      </c>
      <c r="B756" s="5">
        <v>46149</v>
      </c>
      <c r="C756" t="s">
        <v>54</v>
      </c>
      <c r="D756" t="s">
        <v>815</v>
      </c>
      <c r="E756">
        <v>227574277</v>
      </c>
      <c r="F756" t="s">
        <v>763</v>
      </c>
      <c r="G756" t="s">
        <v>764</v>
      </c>
      <c r="H756">
        <v>67400</v>
      </c>
      <c r="I756" t="s">
        <v>60</v>
      </c>
      <c r="J756">
        <v>1.45</v>
      </c>
      <c r="K756">
        <v>-17.142857142857146</v>
      </c>
      <c r="L756">
        <v>20</v>
      </c>
      <c r="M756">
        <v>2.37</v>
      </c>
      <c r="N756">
        <v>2360</v>
      </c>
      <c r="O756">
        <v>16940</v>
      </c>
      <c r="P756">
        <v>7740</v>
      </c>
      <c r="Q756">
        <v>700</v>
      </c>
      <c r="R756">
        <v>1360</v>
      </c>
      <c r="S756">
        <v>120</v>
      </c>
      <c r="T756">
        <v>3</v>
      </c>
      <c r="U756">
        <v>3.35</v>
      </c>
      <c r="V756">
        <v>1.45</v>
      </c>
      <c r="W756">
        <v>1.75</v>
      </c>
      <c r="X756">
        <v>1</v>
      </c>
      <c r="Y756">
        <v>20</v>
      </c>
      <c r="Z756">
        <v>1.7</v>
      </c>
      <c r="AA756">
        <v>140</v>
      </c>
      <c r="AB756" s="6">
        <v>46147.586493055554</v>
      </c>
      <c r="AC756" s="6">
        <v>46147.557199074072</v>
      </c>
    </row>
    <row r="757" spans="1:29" x14ac:dyDescent="0.25">
      <c r="A757" t="s">
        <v>9</v>
      </c>
      <c r="B757" s="5">
        <v>46149</v>
      </c>
      <c r="C757" t="s">
        <v>54</v>
      </c>
      <c r="D757" t="s">
        <v>816</v>
      </c>
      <c r="E757">
        <v>227599365</v>
      </c>
      <c r="F757" t="s">
        <v>763</v>
      </c>
      <c r="G757" t="s">
        <v>764</v>
      </c>
      <c r="H757">
        <v>67500</v>
      </c>
      <c r="I757" t="s">
        <v>58</v>
      </c>
      <c r="J757">
        <v>9799.9</v>
      </c>
      <c r="K757">
        <v>0</v>
      </c>
      <c r="L757">
        <v>0</v>
      </c>
      <c r="M757">
        <v>0</v>
      </c>
      <c r="N757">
        <v>0</v>
      </c>
      <c r="O757">
        <v>600</v>
      </c>
      <c r="P757">
        <v>600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9799.9</v>
      </c>
      <c r="X757">
        <v>8630.15</v>
      </c>
      <c r="Y757">
        <v>300</v>
      </c>
      <c r="Z757">
        <v>10480.700000000001</v>
      </c>
      <c r="AA757">
        <v>300</v>
      </c>
      <c r="AB757" s="6">
        <v>46147.586365740739</v>
      </c>
      <c r="AC757" s="6">
        <v>25569.229166666668</v>
      </c>
    </row>
    <row r="758" spans="1:29" x14ac:dyDescent="0.25">
      <c r="A758" t="s">
        <v>9</v>
      </c>
      <c r="B758" s="5">
        <v>46149</v>
      </c>
      <c r="C758" t="s">
        <v>54</v>
      </c>
      <c r="D758" t="s">
        <v>817</v>
      </c>
      <c r="E758">
        <v>227390213</v>
      </c>
      <c r="F758" t="s">
        <v>763</v>
      </c>
      <c r="G758" t="s">
        <v>764</v>
      </c>
      <c r="H758">
        <v>67500</v>
      </c>
      <c r="I758" t="s">
        <v>60</v>
      </c>
      <c r="J758">
        <v>1.1000000000000001</v>
      </c>
      <c r="K758">
        <v>-57.692307692307693</v>
      </c>
      <c r="L758">
        <v>20</v>
      </c>
      <c r="M758">
        <v>1.6</v>
      </c>
      <c r="N758">
        <v>5480</v>
      </c>
      <c r="O758">
        <v>18940</v>
      </c>
      <c r="P758">
        <v>10520</v>
      </c>
      <c r="Q758">
        <v>3420</v>
      </c>
      <c r="R758">
        <v>3660</v>
      </c>
      <c r="S758">
        <v>400</v>
      </c>
      <c r="T758">
        <v>2.9</v>
      </c>
      <c r="U758">
        <v>3.05</v>
      </c>
      <c r="V758">
        <v>1.05</v>
      </c>
      <c r="W758">
        <v>2.6</v>
      </c>
      <c r="X758">
        <v>1.2</v>
      </c>
      <c r="Y758">
        <v>40</v>
      </c>
      <c r="Z758">
        <v>1.4</v>
      </c>
      <c r="AA758">
        <v>20</v>
      </c>
      <c r="AB758" s="6">
        <v>46147.586504629631</v>
      </c>
      <c r="AC758" s="6">
        <v>46147.586331018516</v>
      </c>
    </row>
    <row r="759" spans="1:29" x14ac:dyDescent="0.25">
      <c r="A759" t="s">
        <v>9</v>
      </c>
      <c r="B759" s="5">
        <v>46149</v>
      </c>
      <c r="C759" t="s">
        <v>54</v>
      </c>
      <c r="D759" t="s">
        <v>818</v>
      </c>
      <c r="E759">
        <v>227534853</v>
      </c>
      <c r="F759" t="s">
        <v>763</v>
      </c>
      <c r="G759" t="s">
        <v>764</v>
      </c>
      <c r="H759">
        <v>67600</v>
      </c>
      <c r="I759" t="s">
        <v>58</v>
      </c>
      <c r="J759">
        <v>9699.9500000000007</v>
      </c>
      <c r="K759">
        <v>0</v>
      </c>
      <c r="L759">
        <v>0</v>
      </c>
      <c r="M759">
        <v>0</v>
      </c>
      <c r="N759">
        <v>0</v>
      </c>
      <c r="O759">
        <v>400</v>
      </c>
      <c r="P759">
        <v>400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9699.9500000000007</v>
      </c>
      <c r="X759">
        <v>8528.25</v>
      </c>
      <c r="Y759">
        <v>300</v>
      </c>
      <c r="Z759">
        <v>10378.6</v>
      </c>
      <c r="AA759">
        <v>300</v>
      </c>
      <c r="AB759" s="6">
        <v>46147.586365740739</v>
      </c>
      <c r="AC759" s="6">
        <v>25569.229166666668</v>
      </c>
    </row>
    <row r="760" spans="1:29" x14ac:dyDescent="0.25">
      <c r="A760" t="s">
        <v>9</v>
      </c>
      <c r="B760" s="5">
        <v>46149</v>
      </c>
      <c r="C760" t="s">
        <v>54</v>
      </c>
      <c r="D760" t="s">
        <v>819</v>
      </c>
      <c r="E760">
        <v>227591173</v>
      </c>
      <c r="F760" t="s">
        <v>763</v>
      </c>
      <c r="G760" t="s">
        <v>764</v>
      </c>
      <c r="H760">
        <v>67600</v>
      </c>
      <c r="I760" t="s">
        <v>60</v>
      </c>
      <c r="J760">
        <v>1.5</v>
      </c>
      <c r="K760">
        <v>-40</v>
      </c>
      <c r="L760">
        <v>100</v>
      </c>
      <c r="M760">
        <v>2.09</v>
      </c>
      <c r="N760">
        <v>12760</v>
      </c>
      <c r="O760">
        <v>34280</v>
      </c>
      <c r="P760">
        <v>8820</v>
      </c>
      <c r="Q760">
        <v>1580</v>
      </c>
      <c r="R760">
        <v>1940</v>
      </c>
      <c r="S760">
        <v>120</v>
      </c>
      <c r="T760">
        <v>3.6</v>
      </c>
      <c r="U760">
        <v>3.6</v>
      </c>
      <c r="V760">
        <v>1.1499999999999999</v>
      </c>
      <c r="W760">
        <v>2.5</v>
      </c>
      <c r="X760">
        <v>1.4</v>
      </c>
      <c r="Y760">
        <v>20</v>
      </c>
      <c r="Z760">
        <v>1.8</v>
      </c>
      <c r="AA760">
        <v>40</v>
      </c>
      <c r="AB760" s="6">
        <v>46147.586504629631</v>
      </c>
      <c r="AC760" s="6">
        <v>46147.579814814817</v>
      </c>
    </row>
    <row r="761" spans="1:29" x14ac:dyDescent="0.25">
      <c r="A761" t="s">
        <v>9</v>
      </c>
      <c r="B761" s="5">
        <v>46149</v>
      </c>
      <c r="C761" t="s">
        <v>54</v>
      </c>
      <c r="D761" t="s">
        <v>820</v>
      </c>
      <c r="E761">
        <v>227614725</v>
      </c>
      <c r="F761" t="s">
        <v>763</v>
      </c>
      <c r="G761" t="s">
        <v>764</v>
      </c>
      <c r="H761">
        <v>67700</v>
      </c>
      <c r="I761" t="s">
        <v>58</v>
      </c>
      <c r="J761">
        <v>9600</v>
      </c>
      <c r="K761">
        <v>0</v>
      </c>
      <c r="L761">
        <v>0</v>
      </c>
      <c r="M761">
        <v>0</v>
      </c>
      <c r="N761">
        <v>0</v>
      </c>
      <c r="O761">
        <v>400</v>
      </c>
      <c r="P761">
        <v>400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9600</v>
      </c>
      <c r="X761">
        <v>8423.2999999999993</v>
      </c>
      <c r="Y761">
        <v>300</v>
      </c>
      <c r="Z761">
        <v>10277.299999999999</v>
      </c>
      <c r="AA761">
        <v>300</v>
      </c>
      <c r="AB761" s="6">
        <v>46147.586354166669</v>
      </c>
      <c r="AC761" s="6">
        <v>25569.229166666668</v>
      </c>
    </row>
    <row r="762" spans="1:29" x14ac:dyDescent="0.25">
      <c r="A762" t="s">
        <v>9</v>
      </c>
      <c r="B762" s="5">
        <v>46149</v>
      </c>
      <c r="C762" t="s">
        <v>54</v>
      </c>
      <c r="D762" t="s">
        <v>821</v>
      </c>
      <c r="E762">
        <v>227406853</v>
      </c>
      <c r="F762" t="s">
        <v>763</v>
      </c>
      <c r="G762" t="s">
        <v>764</v>
      </c>
      <c r="H762">
        <v>67700</v>
      </c>
      <c r="I762" t="s">
        <v>60</v>
      </c>
      <c r="J762">
        <v>1.7</v>
      </c>
      <c r="K762">
        <v>-30.612244897959194</v>
      </c>
      <c r="L762">
        <v>40</v>
      </c>
      <c r="M762">
        <v>2.27</v>
      </c>
      <c r="N762">
        <v>1540</v>
      </c>
      <c r="O762">
        <v>14440</v>
      </c>
      <c r="P762">
        <v>9900</v>
      </c>
      <c r="Q762">
        <v>500</v>
      </c>
      <c r="R762">
        <v>720</v>
      </c>
      <c r="S762">
        <v>340</v>
      </c>
      <c r="T762">
        <v>2.95</v>
      </c>
      <c r="U762">
        <v>3.6</v>
      </c>
      <c r="V762">
        <v>1.05</v>
      </c>
      <c r="W762">
        <v>2.4500000000000002</v>
      </c>
      <c r="X762">
        <v>1.5</v>
      </c>
      <c r="Y762">
        <v>40</v>
      </c>
      <c r="Z762">
        <v>1.75</v>
      </c>
      <c r="AA762">
        <v>160</v>
      </c>
      <c r="AB762" s="6">
        <v>46147.586527777778</v>
      </c>
      <c r="AC762" s="6">
        <v>46147.586331018516</v>
      </c>
    </row>
    <row r="763" spans="1:29" x14ac:dyDescent="0.25">
      <c r="A763" t="s">
        <v>9</v>
      </c>
      <c r="B763" s="5">
        <v>46149</v>
      </c>
      <c r="C763" t="s">
        <v>54</v>
      </c>
      <c r="D763" t="s">
        <v>822</v>
      </c>
      <c r="E763">
        <v>227551493</v>
      </c>
      <c r="F763" t="s">
        <v>763</v>
      </c>
      <c r="G763" t="s">
        <v>764</v>
      </c>
      <c r="H763">
        <v>67800</v>
      </c>
      <c r="I763" t="s">
        <v>58</v>
      </c>
      <c r="J763">
        <v>9500.0499999999993</v>
      </c>
      <c r="K763">
        <v>0</v>
      </c>
      <c r="L763">
        <v>0</v>
      </c>
      <c r="M763">
        <v>0</v>
      </c>
      <c r="N763">
        <v>0</v>
      </c>
      <c r="O763">
        <v>400</v>
      </c>
      <c r="P763">
        <v>400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9500.0499999999993</v>
      </c>
      <c r="X763">
        <v>8323.4500000000007</v>
      </c>
      <c r="Y763">
        <v>300</v>
      </c>
      <c r="Z763">
        <v>10174.9</v>
      </c>
      <c r="AA763">
        <v>300</v>
      </c>
      <c r="AB763" s="6">
        <v>46147.586365740739</v>
      </c>
      <c r="AC763" s="6">
        <v>25569.229166666668</v>
      </c>
    </row>
    <row r="764" spans="1:29" x14ac:dyDescent="0.25">
      <c r="A764" t="s">
        <v>9</v>
      </c>
      <c r="B764" s="5">
        <v>46149</v>
      </c>
      <c r="C764" t="s">
        <v>54</v>
      </c>
      <c r="D764" t="s">
        <v>823</v>
      </c>
      <c r="E764">
        <v>227608581</v>
      </c>
      <c r="F764" t="s">
        <v>763</v>
      </c>
      <c r="G764" t="s">
        <v>764</v>
      </c>
      <c r="H764">
        <v>67800</v>
      </c>
      <c r="I764" t="s">
        <v>60</v>
      </c>
      <c r="J764">
        <v>1.25</v>
      </c>
      <c r="K764">
        <v>-44.444444444444443</v>
      </c>
      <c r="L764">
        <v>20</v>
      </c>
      <c r="M764">
        <v>2.2000000000000002</v>
      </c>
      <c r="N764">
        <v>2680</v>
      </c>
      <c r="O764">
        <v>11960</v>
      </c>
      <c r="P764">
        <v>8640</v>
      </c>
      <c r="Q764">
        <v>880</v>
      </c>
      <c r="R764">
        <v>900</v>
      </c>
      <c r="S764">
        <v>120</v>
      </c>
      <c r="T764">
        <v>3.1</v>
      </c>
      <c r="U764">
        <v>3.45</v>
      </c>
      <c r="V764">
        <v>1.1000000000000001</v>
      </c>
      <c r="W764">
        <v>2.25</v>
      </c>
      <c r="X764">
        <v>1.1499999999999999</v>
      </c>
      <c r="Y764">
        <v>60</v>
      </c>
      <c r="Z764">
        <v>1.6</v>
      </c>
      <c r="AA764">
        <v>120</v>
      </c>
      <c r="AB764" s="6">
        <v>46147.586504629631</v>
      </c>
      <c r="AC764" s="6">
        <v>46147.571851851855</v>
      </c>
    </row>
    <row r="765" spans="1:29" x14ac:dyDescent="0.25">
      <c r="A765" t="s">
        <v>9</v>
      </c>
      <c r="B765" s="5">
        <v>46149</v>
      </c>
      <c r="C765" t="s">
        <v>54</v>
      </c>
      <c r="D765" t="s">
        <v>824</v>
      </c>
      <c r="E765">
        <v>227628805</v>
      </c>
      <c r="F765" t="s">
        <v>763</v>
      </c>
      <c r="G765" t="s">
        <v>764</v>
      </c>
      <c r="H765">
        <v>67900</v>
      </c>
      <c r="I765" t="s">
        <v>58</v>
      </c>
      <c r="J765">
        <v>9400.1</v>
      </c>
      <c r="K765">
        <v>0</v>
      </c>
      <c r="L765">
        <v>0</v>
      </c>
      <c r="M765">
        <v>0</v>
      </c>
      <c r="N765">
        <v>0</v>
      </c>
      <c r="O765">
        <v>400</v>
      </c>
      <c r="P765">
        <v>400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9400.1</v>
      </c>
      <c r="X765">
        <v>8225.2000000000007</v>
      </c>
      <c r="Y765">
        <v>300</v>
      </c>
      <c r="Z765">
        <v>10075.299999999999</v>
      </c>
      <c r="AA765">
        <v>300</v>
      </c>
      <c r="AB765" s="6">
        <v>46147.586365740739</v>
      </c>
      <c r="AC765" s="6">
        <v>25569.229166666668</v>
      </c>
    </row>
    <row r="766" spans="1:29" x14ac:dyDescent="0.25">
      <c r="A766" t="s">
        <v>9</v>
      </c>
      <c r="B766" s="5">
        <v>46149</v>
      </c>
      <c r="C766" t="s">
        <v>54</v>
      </c>
      <c r="D766" t="s">
        <v>825</v>
      </c>
      <c r="E766">
        <v>227543045</v>
      </c>
      <c r="F766" t="s">
        <v>763</v>
      </c>
      <c r="G766" t="s">
        <v>764</v>
      </c>
      <c r="H766">
        <v>67900</v>
      </c>
      <c r="I766" t="s">
        <v>60</v>
      </c>
      <c r="J766">
        <v>1.35</v>
      </c>
      <c r="K766">
        <v>-43.749999999999993</v>
      </c>
      <c r="L766">
        <v>20</v>
      </c>
      <c r="M766">
        <v>2.69</v>
      </c>
      <c r="N766">
        <v>7140</v>
      </c>
      <c r="O766">
        <v>24360</v>
      </c>
      <c r="P766">
        <v>8440</v>
      </c>
      <c r="Q766">
        <v>1840</v>
      </c>
      <c r="R766">
        <v>2260</v>
      </c>
      <c r="S766">
        <v>180</v>
      </c>
      <c r="T766">
        <v>3.25</v>
      </c>
      <c r="U766">
        <v>3.4</v>
      </c>
      <c r="V766">
        <v>1.35</v>
      </c>
      <c r="W766">
        <v>2.4</v>
      </c>
      <c r="X766">
        <v>1.45</v>
      </c>
      <c r="Y766">
        <v>20</v>
      </c>
      <c r="Z766">
        <v>1.8</v>
      </c>
      <c r="AA766">
        <v>400</v>
      </c>
      <c r="AB766" s="6">
        <v>46147.586527777778</v>
      </c>
      <c r="AC766" s="6">
        <v>46147.586331018516</v>
      </c>
    </row>
    <row r="767" spans="1:29" x14ac:dyDescent="0.25">
      <c r="A767" t="s">
        <v>9</v>
      </c>
      <c r="B767" s="5">
        <v>46149</v>
      </c>
      <c r="C767" t="s">
        <v>54</v>
      </c>
      <c r="D767" t="s">
        <v>826</v>
      </c>
      <c r="E767">
        <v>227521797</v>
      </c>
      <c r="F767" t="s">
        <v>763</v>
      </c>
      <c r="G767" t="s">
        <v>764</v>
      </c>
      <c r="H767">
        <v>68000</v>
      </c>
      <c r="I767" t="s">
        <v>58</v>
      </c>
      <c r="J767">
        <v>8664.9500000000007</v>
      </c>
      <c r="K767">
        <v>-6.8299973656338757</v>
      </c>
      <c r="L767">
        <v>20</v>
      </c>
      <c r="M767">
        <v>8876.6299999999992</v>
      </c>
      <c r="N767">
        <v>60</v>
      </c>
      <c r="O767">
        <v>480</v>
      </c>
      <c r="P767">
        <v>480</v>
      </c>
      <c r="Q767">
        <v>20</v>
      </c>
      <c r="R767">
        <v>40</v>
      </c>
      <c r="S767">
        <v>20</v>
      </c>
      <c r="T767">
        <v>9300.15</v>
      </c>
      <c r="U767">
        <v>9300.15</v>
      </c>
      <c r="V767">
        <v>8664.7999999999993</v>
      </c>
      <c r="W767">
        <v>9300.15</v>
      </c>
      <c r="X767">
        <v>8996.9500000000007</v>
      </c>
      <c r="Y767">
        <v>20</v>
      </c>
      <c r="Z767">
        <v>9147</v>
      </c>
      <c r="AA767">
        <v>20</v>
      </c>
      <c r="AB767" s="6">
        <v>46147.586527777778</v>
      </c>
      <c r="AC767" s="6">
        <v>46147.50986111111</v>
      </c>
    </row>
    <row r="768" spans="1:29" x14ac:dyDescent="0.25">
      <c r="A768" t="s">
        <v>9</v>
      </c>
      <c r="B768" s="5">
        <v>46149</v>
      </c>
      <c r="C768" t="s">
        <v>54</v>
      </c>
      <c r="D768" t="s">
        <v>827</v>
      </c>
      <c r="E768">
        <v>227579141</v>
      </c>
      <c r="F768" t="s">
        <v>763</v>
      </c>
      <c r="G768" t="s">
        <v>764</v>
      </c>
      <c r="H768">
        <v>68000</v>
      </c>
      <c r="I768" t="s">
        <v>60</v>
      </c>
      <c r="J768">
        <v>1.2</v>
      </c>
      <c r="K768">
        <v>-55.555555555555564</v>
      </c>
      <c r="L768">
        <v>40</v>
      </c>
      <c r="M768">
        <v>1.97</v>
      </c>
      <c r="N768">
        <v>171020</v>
      </c>
      <c r="O768">
        <v>77900</v>
      </c>
      <c r="P768">
        <v>12020</v>
      </c>
      <c r="Q768">
        <v>84660</v>
      </c>
      <c r="R768">
        <v>98340</v>
      </c>
      <c r="S768">
        <v>84660</v>
      </c>
      <c r="T768">
        <v>2.7</v>
      </c>
      <c r="U768">
        <v>3.8</v>
      </c>
      <c r="V768">
        <v>1.05</v>
      </c>
      <c r="W768">
        <v>2.7</v>
      </c>
      <c r="X768">
        <v>1.1499999999999999</v>
      </c>
      <c r="Y768">
        <v>320</v>
      </c>
      <c r="Z768">
        <v>1.25</v>
      </c>
      <c r="AA768">
        <v>1200</v>
      </c>
      <c r="AB768" s="6">
        <v>46147.586493055554</v>
      </c>
      <c r="AC768" s="6">
        <v>46147.586423611108</v>
      </c>
    </row>
    <row r="769" spans="1:29" x14ac:dyDescent="0.25">
      <c r="A769" t="s">
        <v>9</v>
      </c>
      <c r="B769" s="5">
        <v>46149</v>
      </c>
      <c r="C769" t="s">
        <v>54</v>
      </c>
      <c r="D769" t="s">
        <v>828</v>
      </c>
      <c r="E769">
        <v>227457285</v>
      </c>
      <c r="F769" t="s">
        <v>763</v>
      </c>
      <c r="G769" t="s">
        <v>764</v>
      </c>
      <c r="H769">
        <v>68100</v>
      </c>
      <c r="I769" t="s">
        <v>58</v>
      </c>
      <c r="J769">
        <v>9200.2000000000007</v>
      </c>
      <c r="K769">
        <v>0</v>
      </c>
      <c r="L769">
        <v>0</v>
      </c>
      <c r="M769">
        <v>0</v>
      </c>
      <c r="N769">
        <v>0</v>
      </c>
      <c r="O769">
        <v>400</v>
      </c>
      <c r="P769">
        <v>400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9200.2000000000007</v>
      </c>
      <c r="X769">
        <v>8027.55</v>
      </c>
      <c r="Y769">
        <v>300</v>
      </c>
      <c r="Z769">
        <v>9876.2000000000007</v>
      </c>
      <c r="AA769">
        <v>300</v>
      </c>
      <c r="AB769" s="6">
        <v>46147.586365740739</v>
      </c>
      <c r="AC769" s="6">
        <v>25569.229166666668</v>
      </c>
    </row>
    <row r="770" spans="1:29" x14ac:dyDescent="0.25">
      <c r="A770" t="s">
        <v>9</v>
      </c>
      <c r="B770" s="5">
        <v>46149</v>
      </c>
      <c r="C770" t="s">
        <v>54</v>
      </c>
      <c r="D770" t="s">
        <v>829</v>
      </c>
      <c r="E770">
        <v>227512837</v>
      </c>
      <c r="F770" t="s">
        <v>763</v>
      </c>
      <c r="G770" t="s">
        <v>764</v>
      </c>
      <c r="H770">
        <v>68100</v>
      </c>
      <c r="I770" t="s">
        <v>60</v>
      </c>
      <c r="J770">
        <v>1.75</v>
      </c>
      <c r="K770">
        <v>-31.372549019607838</v>
      </c>
      <c r="L770">
        <v>20</v>
      </c>
      <c r="M770">
        <v>2.35</v>
      </c>
      <c r="N770">
        <v>1600</v>
      </c>
      <c r="O770">
        <v>9040</v>
      </c>
      <c r="P770">
        <v>6580</v>
      </c>
      <c r="Q770">
        <v>560</v>
      </c>
      <c r="R770">
        <v>860</v>
      </c>
      <c r="S770">
        <v>320</v>
      </c>
      <c r="T770">
        <v>3.6</v>
      </c>
      <c r="U770">
        <v>3.75</v>
      </c>
      <c r="V770">
        <v>1.1000000000000001</v>
      </c>
      <c r="W770">
        <v>2.5499999999999998</v>
      </c>
      <c r="X770">
        <v>0.95</v>
      </c>
      <c r="Y770">
        <v>120</v>
      </c>
      <c r="Z770">
        <v>1.4</v>
      </c>
      <c r="AA770">
        <v>20</v>
      </c>
      <c r="AB770" s="6">
        <v>46147.586504629631</v>
      </c>
      <c r="AC770" s="6">
        <v>46147.58384259259</v>
      </c>
    </row>
    <row r="771" spans="1:29" x14ac:dyDescent="0.25">
      <c r="A771" t="s">
        <v>9</v>
      </c>
      <c r="B771" s="5">
        <v>46149</v>
      </c>
      <c r="C771" t="s">
        <v>54</v>
      </c>
      <c r="D771" t="s">
        <v>830</v>
      </c>
      <c r="E771">
        <v>227540997</v>
      </c>
      <c r="F771" t="s">
        <v>763</v>
      </c>
      <c r="G771" t="s">
        <v>764</v>
      </c>
      <c r="H771">
        <v>68200</v>
      </c>
      <c r="I771" t="s">
        <v>58</v>
      </c>
      <c r="J771">
        <v>9100.2000000000007</v>
      </c>
      <c r="K771">
        <v>0</v>
      </c>
      <c r="L771">
        <v>0</v>
      </c>
      <c r="M771">
        <v>0</v>
      </c>
      <c r="N771">
        <v>0</v>
      </c>
      <c r="O771">
        <v>400</v>
      </c>
      <c r="P771">
        <v>400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9100.2000000000007</v>
      </c>
      <c r="X771">
        <v>7927.55</v>
      </c>
      <c r="Y771">
        <v>300</v>
      </c>
      <c r="Z771">
        <v>9778.2999999999993</v>
      </c>
      <c r="AA771">
        <v>300</v>
      </c>
      <c r="AB771" s="6">
        <v>46147.586365740739</v>
      </c>
      <c r="AC771" s="6">
        <v>25569.229166666668</v>
      </c>
    </row>
    <row r="772" spans="1:29" x14ac:dyDescent="0.25">
      <c r="A772" t="s">
        <v>9</v>
      </c>
      <c r="B772" s="5">
        <v>46149</v>
      </c>
      <c r="C772" t="s">
        <v>54</v>
      </c>
      <c r="D772" t="s">
        <v>831</v>
      </c>
      <c r="E772">
        <v>227450373</v>
      </c>
      <c r="F772" t="s">
        <v>763</v>
      </c>
      <c r="G772" t="s">
        <v>764</v>
      </c>
      <c r="H772">
        <v>68200</v>
      </c>
      <c r="I772" t="s">
        <v>60</v>
      </c>
      <c r="J772">
        <v>1.35</v>
      </c>
      <c r="K772">
        <v>-54.237288135593218</v>
      </c>
      <c r="L772">
        <v>20</v>
      </c>
      <c r="M772">
        <v>2.2400000000000002</v>
      </c>
      <c r="N772">
        <v>2840</v>
      </c>
      <c r="O772">
        <v>12020</v>
      </c>
      <c r="P772">
        <v>7200</v>
      </c>
      <c r="Q772">
        <v>820</v>
      </c>
      <c r="R772">
        <v>920</v>
      </c>
      <c r="S772">
        <v>420</v>
      </c>
      <c r="T772">
        <v>3.7</v>
      </c>
      <c r="U772">
        <v>3.8</v>
      </c>
      <c r="V772">
        <v>1.1000000000000001</v>
      </c>
      <c r="W772">
        <v>2.95</v>
      </c>
      <c r="X772">
        <v>1.35</v>
      </c>
      <c r="Y772">
        <v>120</v>
      </c>
      <c r="Z772">
        <v>1.95</v>
      </c>
      <c r="AA772">
        <v>400</v>
      </c>
      <c r="AB772" s="6">
        <v>46147.586504629631</v>
      </c>
      <c r="AC772" s="6">
        <v>46147.584155092591</v>
      </c>
    </row>
    <row r="773" spans="1:29" x14ac:dyDescent="0.25">
      <c r="A773" t="s">
        <v>9</v>
      </c>
      <c r="B773" s="5">
        <v>46149</v>
      </c>
      <c r="C773" t="s">
        <v>54</v>
      </c>
      <c r="D773" t="s">
        <v>832</v>
      </c>
      <c r="E773">
        <v>227474437</v>
      </c>
      <c r="F773" t="s">
        <v>763</v>
      </c>
      <c r="G773" t="s">
        <v>764</v>
      </c>
      <c r="H773">
        <v>68300</v>
      </c>
      <c r="I773" t="s">
        <v>58</v>
      </c>
      <c r="J773">
        <v>9000.25</v>
      </c>
      <c r="K773">
        <v>0</v>
      </c>
      <c r="L773">
        <v>0</v>
      </c>
      <c r="M773">
        <v>0</v>
      </c>
      <c r="N773">
        <v>0</v>
      </c>
      <c r="O773">
        <v>400</v>
      </c>
      <c r="P773">
        <v>400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9000.25</v>
      </c>
      <c r="X773">
        <v>7827.75</v>
      </c>
      <c r="Y773">
        <v>300</v>
      </c>
      <c r="Z773">
        <v>9678.9</v>
      </c>
      <c r="AA773">
        <v>300</v>
      </c>
      <c r="AB773" s="6">
        <v>46147.586365740739</v>
      </c>
      <c r="AC773" s="6">
        <v>25569.229166666668</v>
      </c>
    </row>
    <row r="774" spans="1:29" x14ac:dyDescent="0.25">
      <c r="A774" t="s">
        <v>9</v>
      </c>
      <c r="B774" s="5">
        <v>46149</v>
      </c>
      <c r="C774" t="s">
        <v>54</v>
      </c>
      <c r="D774" t="s">
        <v>833</v>
      </c>
      <c r="E774">
        <v>227532293</v>
      </c>
      <c r="F774" t="s">
        <v>763</v>
      </c>
      <c r="G774" t="s">
        <v>764</v>
      </c>
      <c r="H774">
        <v>68300</v>
      </c>
      <c r="I774" t="s">
        <v>60</v>
      </c>
      <c r="J774">
        <v>1.55</v>
      </c>
      <c r="K774">
        <v>-36.734693877551024</v>
      </c>
      <c r="L774">
        <v>20</v>
      </c>
      <c r="M774">
        <v>2.88</v>
      </c>
      <c r="N774">
        <v>840</v>
      </c>
      <c r="O774">
        <v>12060</v>
      </c>
      <c r="P774">
        <v>6660</v>
      </c>
      <c r="Q774">
        <v>520</v>
      </c>
      <c r="R774">
        <v>720</v>
      </c>
      <c r="S774">
        <v>380</v>
      </c>
      <c r="T774">
        <v>3.5</v>
      </c>
      <c r="U774">
        <v>3.85</v>
      </c>
      <c r="V774">
        <v>1.1000000000000001</v>
      </c>
      <c r="W774">
        <v>2.4500000000000002</v>
      </c>
      <c r="X774">
        <v>1.1000000000000001</v>
      </c>
      <c r="Y774">
        <v>40</v>
      </c>
      <c r="Z774">
        <v>1.55</v>
      </c>
      <c r="AA774">
        <v>120</v>
      </c>
      <c r="AB774" s="6">
        <v>46147.586504629631</v>
      </c>
      <c r="AC774" s="6">
        <v>46147.584155092591</v>
      </c>
    </row>
    <row r="775" spans="1:29" x14ac:dyDescent="0.25">
      <c r="A775" t="s">
        <v>9</v>
      </c>
      <c r="B775" s="5">
        <v>46149</v>
      </c>
      <c r="C775" t="s">
        <v>54</v>
      </c>
      <c r="D775" t="s">
        <v>834</v>
      </c>
      <c r="E775">
        <v>227408389</v>
      </c>
      <c r="F775" t="s">
        <v>763</v>
      </c>
      <c r="G775" t="s">
        <v>764</v>
      </c>
      <c r="H775">
        <v>68400</v>
      </c>
      <c r="I775" t="s">
        <v>58</v>
      </c>
      <c r="J775">
        <v>8900.2999999999993</v>
      </c>
      <c r="K775">
        <v>0</v>
      </c>
      <c r="L775">
        <v>0</v>
      </c>
      <c r="M775">
        <v>0</v>
      </c>
      <c r="N775">
        <v>0</v>
      </c>
      <c r="O775">
        <v>400</v>
      </c>
      <c r="P775">
        <v>400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8900.2999999999993</v>
      </c>
      <c r="X775">
        <v>7728.5</v>
      </c>
      <c r="Y775">
        <v>300</v>
      </c>
      <c r="Z775">
        <v>9580.15</v>
      </c>
      <c r="AA775">
        <v>300</v>
      </c>
      <c r="AB775" s="6">
        <v>46147.586365740739</v>
      </c>
      <c r="AC775" s="6">
        <v>25569.229166666668</v>
      </c>
    </row>
    <row r="776" spans="1:29" x14ac:dyDescent="0.25">
      <c r="A776" t="s">
        <v>9</v>
      </c>
      <c r="B776" s="5">
        <v>46149</v>
      </c>
      <c r="C776" t="s">
        <v>54</v>
      </c>
      <c r="D776" t="s">
        <v>835</v>
      </c>
      <c r="E776">
        <v>227466757</v>
      </c>
      <c r="F776" t="s">
        <v>763</v>
      </c>
      <c r="G776" t="s">
        <v>764</v>
      </c>
      <c r="H776">
        <v>68400</v>
      </c>
      <c r="I776" t="s">
        <v>60</v>
      </c>
      <c r="J776">
        <v>1.65</v>
      </c>
      <c r="K776">
        <v>-40.000000000000007</v>
      </c>
      <c r="L776">
        <v>20</v>
      </c>
      <c r="M776">
        <v>2.54</v>
      </c>
      <c r="N776">
        <v>5040</v>
      </c>
      <c r="O776">
        <v>20580</v>
      </c>
      <c r="P776">
        <v>7440</v>
      </c>
      <c r="Q776">
        <v>1740</v>
      </c>
      <c r="R776">
        <v>1800</v>
      </c>
      <c r="S776">
        <v>460</v>
      </c>
      <c r="T776">
        <v>3.5</v>
      </c>
      <c r="U776">
        <v>3.9</v>
      </c>
      <c r="V776">
        <v>1.05</v>
      </c>
      <c r="W776">
        <v>2.75</v>
      </c>
      <c r="X776">
        <v>1.35</v>
      </c>
      <c r="Y776">
        <v>80</v>
      </c>
      <c r="Z776">
        <v>1.95</v>
      </c>
      <c r="AA776">
        <v>400</v>
      </c>
      <c r="AB776" s="6">
        <v>46147.586504629631</v>
      </c>
      <c r="AC776" s="6">
        <v>46147.584166666667</v>
      </c>
    </row>
    <row r="777" spans="1:29" x14ac:dyDescent="0.25">
      <c r="A777" t="s">
        <v>9</v>
      </c>
      <c r="B777" s="5">
        <v>46149</v>
      </c>
      <c r="C777" t="s">
        <v>54</v>
      </c>
      <c r="D777" t="s">
        <v>836</v>
      </c>
      <c r="E777">
        <v>227491589</v>
      </c>
      <c r="F777" t="s">
        <v>763</v>
      </c>
      <c r="G777" t="s">
        <v>764</v>
      </c>
      <c r="H777">
        <v>68500</v>
      </c>
      <c r="I777" t="s">
        <v>58</v>
      </c>
      <c r="J777">
        <v>8800.35</v>
      </c>
      <c r="K777">
        <v>0</v>
      </c>
      <c r="L777">
        <v>0</v>
      </c>
      <c r="M777">
        <v>0</v>
      </c>
      <c r="N777">
        <v>0</v>
      </c>
      <c r="O777">
        <v>600</v>
      </c>
      <c r="P777">
        <v>600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8800.35</v>
      </c>
      <c r="X777">
        <v>7625.7</v>
      </c>
      <c r="Y777">
        <v>300</v>
      </c>
      <c r="Z777">
        <v>9477.4</v>
      </c>
      <c r="AA777">
        <v>300</v>
      </c>
      <c r="AB777" s="6">
        <v>46147.586365740739</v>
      </c>
      <c r="AC777" s="6">
        <v>25569.229166666668</v>
      </c>
    </row>
    <row r="778" spans="1:29" x14ac:dyDescent="0.25">
      <c r="A778" t="s">
        <v>9</v>
      </c>
      <c r="B778" s="5">
        <v>46149</v>
      </c>
      <c r="C778" t="s">
        <v>54</v>
      </c>
      <c r="D778" t="s">
        <v>837</v>
      </c>
      <c r="E778">
        <v>227547909</v>
      </c>
      <c r="F778" t="s">
        <v>763</v>
      </c>
      <c r="G778" t="s">
        <v>764</v>
      </c>
      <c r="H778">
        <v>68500</v>
      </c>
      <c r="I778" t="s">
        <v>60</v>
      </c>
      <c r="J778">
        <v>1</v>
      </c>
      <c r="K778">
        <v>-65.517241379310349</v>
      </c>
      <c r="L778">
        <v>20</v>
      </c>
      <c r="M778">
        <v>1.95</v>
      </c>
      <c r="N778">
        <v>7840</v>
      </c>
      <c r="O778">
        <v>58020</v>
      </c>
      <c r="P778">
        <v>10060</v>
      </c>
      <c r="Q778">
        <v>1780</v>
      </c>
      <c r="R778">
        <v>1920</v>
      </c>
      <c r="S778">
        <v>1640</v>
      </c>
      <c r="T778">
        <v>2.75</v>
      </c>
      <c r="U778">
        <v>3.1</v>
      </c>
      <c r="V778">
        <v>1</v>
      </c>
      <c r="W778">
        <v>2.9</v>
      </c>
      <c r="X778">
        <v>0.95</v>
      </c>
      <c r="Y778">
        <v>1000</v>
      </c>
      <c r="Z778">
        <v>1.4</v>
      </c>
      <c r="AA778">
        <v>40</v>
      </c>
      <c r="AB778" s="6">
        <v>46147.586504629631</v>
      </c>
      <c r="AC778" s="6">
        <v>46147.585092592592</v>
      </c>
    </row>
    <row r="779" spans="1:29" x14ac:dyDescent="0.25">
      <c r="A779" t="s">
        <v>9</v>
      </c>
      <c r="B779" s="5">
        <v>46149</v>
      </c>
      <c r="C779" t="s">
        <v>54</v>
      </c>
      <c r="D779" t="s">
        <v>838</v>
      </c>
      <c r="E779">
        <v>227425541</v>
      </c>
      <c r="F779" t="s">
        <v>763</v>
      </c>
      <c r="G779" t="s">
        <v>764</v>
      </c>
      <c r="H779">
        <v>68600</v>
      </c>
      <c r="I779" t="s">
        <v>58</v>
      </c>
      <c r="J779">
        <v>8700.4</v>
      </c>
      <c r="K779">
        <v>0</v>
      </c>
      <c r="L779">
        <v>0</v>
      </c>
      <c r="M779">
        <v>0</v>
      </c>
      <c r="N779">
        <v>0</v>
      </c>
      <c r="O779">
        <v>400</v>
      </c>
      <c r="P779">
        <v>400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8700.4</v>
      </c>
      <c r="X779">
        <v>7523.4</v>
      </c>
      <c r="Y779">
        <v>300</v>
      </c>
      <c r="Z779">
        <v>9376.9500000000007</v>
      </c>
      <c r="AA779">
        <v>300</v>
      </c>
      <c r="AB779" s="6">
        <v>46147.586365740739</v>
      </c>
      <c r="AC779" s="6">
        <v>25569.229166666668</v>
      </c>
    </row>
    <row r="780" spans="1:29" x14ac:dyDescent="0.25">
      <c r="A780" t="s">
        <v>9</v>
      </c>
      <c r="B780" s="5">
        <v>46149</v>
      </c>
      <c r="C780" t="s">
        <v>54</v>
      </c>
      <c r="D780" t="s">
        <v>839</v>
      </c>
      <c r="E780">
        <v>227483397</v>
      </c>
      <c r="F780" t="s">
        <v>763</v>
      </c>
      <c r="G780" t="s">
        <v>764</v>
      </c>
      <c r="H780">
        <v>68600</v>
      </c>
      <c r="I780" t="s">
        <v>60</v>
      </c>
      <c r="J780">
        <v>1.65</v>
      </c>
      <c r="K780">
        <v>-48.437500000000007</v>
      </c>
      <c r="L780">
        <v>20</v>
      </c>
      <c r="M780">
        <v>2.16</v>
      </c>
      <c r="N780">
        <v>7600</v>
      </c>
      <c r="O780">
        <v>12920</v>
      </c>
      <c r="P780">
        <v>7040</v>
      </c>
      <c r="Q780">
        <v>1200</v>
      </c>
      <c r="R780">
        <v>2420</v>
      </c>
      <c r="S780">
        <v>1200</v>
      </c>
      <c r="T780">
        <v>3.3</v>
      </c>
      <c r="U780">
        <v>3.3</v>
      </c>
      <c r="V780">
        <v>1</v>
      </c>
      <c r="W780">
        <v>3.2</v>
      </c>
      <c r="X780">
        <v>1.2</v>
      </c>
      <c r="Y780">
        <v>80</v>
      </c>
      <c r="Z780">
        <v>1.7</v>
      </c>
      <c r="AA780">
        <v>40</v>
      </c>
      <c r="AB780" s="6">
        <v>46147.586493055554</v>
      </c>
      <c r="AC780" s="6">
        <v>46147.584641203706</v>
      </c>
    </row>
    <row r="781" spans="1:29" x14ac:dyDescent="0.25">
      <c r="A781" t="s">
        <v>9</v>
      </c>
      <c r="B781" s="5">
        <v>46149</v>
      </c>
      <c r="C781" t="s">
        <v>54</v>
      </c>
      <c r="D781" t="s">
        <v>840</v>
      </c>
      <c r="E781">
        <v>227505669</v>
      </c>
      <c r="F781" t="s">
        <v>763</v>
      </c>
      <c r="G781" t="s">
        <v>764</v>
      </c>
      <c r="H781">
        <v>68700</v>
      </c>
      <c r="I781" t="s">
        <v>58</v>
      </c>
      <c r="J781">
        <v>8600.4500000000007</v>
      </c>
      <c r="K781">
        <v>0</v>
      </c>
      <c r="L781">
        <v>0</v>
      </c>
      <c r="M781">
        <v>0</v>
      </c>
      <c r="N781">
        <v>0</v>
      </c>
      <c r="O781">
        <v>400</v>
      </c>
      <c r="P781">
        <v>400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8600.4500000000007</v>
      </c>
      <c r="X781">
        <v>7419.25</v>
      </c>
      <c r="Y781">
        <v>300</v>
      </c>
      <c r="Z781">
        <v>9273.5</v>
      </c>
      <c r="AA781">
        <v>300</v>
      </c>
      <c r="AB781" s="6">
        <v>46147.586365740739</v>
      </c>
      <c r="AC781" s="6">
        <v>25569.229166666668</v>
      </c>
    </row>
    <row r="782" spans="1:29" x14ac:dyDescent="0.25">
      <c r="A782" t="s">
        <v>9</v>
      </c>
      <c r="B782" s="5">
        <v>46149</v>
      </c>
      <c r="C782" t="s">
        <v>54</v>
      </c>
      <c r="D782" t="s">
        <v>841</v>
      </c>
      <c r="E782">
        <v>227416837</v>
      </c>
      <c r="F782" t="s">
        <v>763</v>
      </c>
      <c r="G782" t="s">
        <v>764</v>
      </c>
      <c r="H782">
        <v>68700</v>
      </c>
      <c r="I782" t="s">
        <v>60</v>
      </c>
      <c r="J782">
        <v>1.6</v>
      </c>
      <c r="K782">
        <v>-50.769230769230766</v>
      </c>
      <c r="L782">
        <v>20</v>
      </c>
      <c r="M782">
        <v>2.1</v>
      </c>
      <c r="N782">
        <v>6600</v>
      </c>
      <c r="O782">
        <v>7780</v>
      </c>
      <c r="P782">
        <v>7440</v>
      </c>
      <c r="Q782">
        <v>780</v>
      </c>
      <c r="R782">
        <v>2460</v>
      </c>
      <c r="S782">
        <v>640</v>
      </c>
      <c r="T782">
        <v>3.7</v>
      </c>
      <c r="U782">
        <v>3.7</v>
      </c>
      <c r="V782">
        <v>1.05</v>
      </c>
      <c r="W782">
        <v>3.25</v>
      </c>
      <c r="X782">
        <v>1.2</v>
      </c>
      <c r="Y782">
        <v>40</v>
      </c>
      <c r="Z782">
        <v>1.6</v>
      </c>
      <c r="AA782">
        <v>120</v>
      </c>
      <c r="AB782" s="6">
        <v>46147.586504629631</v>
      </c>
      <c r="AC782" s="6">
        <v>46147.584155092591</v>
      </c>
    </row>
    <row r="783" spans="1:29" x14ac:dyDescent="0.25">
      <c r="A783" t="s">
        <v>9</v>
      </c>
      <c r="B783" s="5">
        <v>46149</v>
      </c>
      <c r="C783" t="s">
        <v>54</v>
      </c>
      <c r="D783" t="s">
        <v>842</v>
      </c>
      <c r="E783">
        <v>227442181</v>
      </c>
      <c r="F783" t="s">
        <v>763</v>
      </c>
      <c r="G783" t="s">
        <v>764</v>
      </c>
      <c r="H783">
        <v>68800</v>
      </c>
      <c r="I783" t="s">
        <v>58</v>
      </c>
      <c r="J783">
        <v>8500.5</v>
      </c>
      <c r="K783">
        <v>0</v>
      </c>
      <c r="L783">
        <v>0</v>
      </c>
      <c r="M783">
        <v>0</v>
      </c>
      <c r="N783">
        <v>0</v>
      </c>
      <c r="O783">
        <v>400</v>
      </c>
      <c r="P783">
        <v>400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8500.5</v>
      </c>
      <c r="X783">
        <v>7321.1</v>
      </c>
      <c r="Y783">
        <v>300</v>
      </c>
      <c r="Z783">
        <v>9171.9500000000007</v>
      </c>
      <c r="AA783">
        <v>300</v>
      </c>
      <c r="AB783" s="6">
        <v>46147.586365740739</v>
      </c>
      <c r="AC783" s="6">
        <v>25569.229166666668</v>
      </c>
    </row>
    <row r="784" spans="1:29" x14ac:dyDescent="0.25">
      <c r="A784" t="s">
        <v>9</v>
      </c>
      <c r="B784" s="5">
        <v>46149</v>
      </c>
      <c r="C784" t="s">
        <v>54</v>
      </c>
      <c r="D784" t="s">
        <v>843</v>
      </c>
      <c r="E784">
        <v>227497477</v>
      </c>
      <c r="F784" t="s">
        <v>763</v>
      </c>
      <c r="G784" t="s">
        <v>764</v>
      </c>
      <c r="H784">
        <v>68800</v>
      </c>
      <c r="I784" t="s">
        <v>60</v>
      </c>
      <c r="J784">
        <v>1.3</v>
      </c>
      <c r="K784">
        <v>-53.571428571428562</v>
      </c>
      <c r="L784">
        <v>60</v>
      </c>
      <c r="M784">
        <v>2.27</v>
      </c>
      <c r="N784">
        <v>7440</v>
      </c>
      <c r="O784">
        <v>12220</v>
      </c>
      <c r="P784">
        <v>7380</v>
      </c>
      <c r="Q784">
        <v>1240</v>
      </c>
      <c r="R784">
        <v>1480</v>
      </c>
      <c r="S784">
        <v>560</v>
      </c>
      <c r="T784">
        <v>3.8</v>
      </c>
      <c r="U784">
        <v>3.85</v>
      </c>
      <c r="V784">
        <v>1.3</v>
      </c>
      <c r="W784">
        <v>2.8</v>
      </c>
      <c r="X784">
        <v>1.3</v>
      </c>
      <c r="Y784">
        <v>120</v>
      </c>
      <c r="Z784">
        <v>1.6</v>
      </c>
      <c r="AA784">
        <v>40</v>
      </c>
      <c r="AB784" s="6">
        <v>46147.586516203701</v>
      </c>
      <c r="AC784" s="6">
        <v>46147.585578703707</v>
      </c>
    </row>
    <row r="785" spans="1:29" x14ac:dyDescent="0.25">
      <c r="A785" t="s">
        <v>9</v>
      </c>
      <c r="B785" s="5">
        <v>46149</v>
      </c>
      <c r="C785" t="s">
        <v>54</v>
      </c>
      <c r="D785" t="s">
        <v>844</v>
      </c>
      <c r="E785">
        <v>227376389</v>
      </c>
      <c r="F785" t="s">
        <v>763</v>
      </c>
      <c r="G785" t="s">
        <v>764</v>
      </c>
      <c r="H785">
        <v>68900</v>
      </c>
      <c r="I785" t="s">
        <v>58</v>
      </c>
      <c r="J785">
        <v>8400.5499999999993</v>
      </c>
      <c r="K785">
        <v>0</v>
      </c>
      <c r="L785">
        <v>0</v>
      </c>
      <c r="M785">
        <v>0</v>
      </c>
      <c r="N785">
        <v>0</v>
      </c>
      <c r="O785">
        <v>400</v>
      </c>
      <c r="P785">
        <v>400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8400.5499999999993</v>
      </c>
      <c r="X785">
        <v>7220.45</v>
      </c>
      <c r="Y785">
        <v>300</v>
      </c>
      <c r="Z785">
        <v>9071.0499999999993</v>
      </c>
      <c r="AA785">
        <v>300</v>
      </c>
      <c r="AB785" s="6">
        <v>46147.586354166669</v>
      </c>
      <c r="AC785" s="6">
        <v>25569.229166666668</v>
      </c>
    </row>
    <row r="786" spans="1:29" x14ac:dyDescent="0.25">
      <c r="A786" t="s">
        <v>9</v>
      </c>
      <c r="B786" s="5">
        <v>46149</v>
      </c>
      <c r="C786" t="s">
        <v>54</v>
      </c>
      <c r="D786" t="s">
        <v>845</v>
      </c>
      <c r="E786">
        <v>227435269</v>
      </c>
      <c r="F786" t="s">
        <v>763</v>
      </c>
      <c r="G786" t="s">
        <v>764</v>
      </c>
      <c r="H786">
        <v>68900</v>
      </c>
      <c r="I786" t="s">
        <v>60</v>
      </c>
      <c r="J786">
        <v>1.4</v>
      </c>
      <c r="K786">
        <v>-50.877192982456151</v>
      </c>
      <c r="L786">
        <v>20</v>
      </c>
      <c r="M786">
        <v>2.37</v>
      </c>
      <c r="N786">
        <v>4180</v>
      </c>
      <c r="O786">
        <v>9840</v>
      </c>
      <c r="P786">
        <v>8980</v>
      </c>
      <c r="Q786">
        <v>900</v>
      </c>
      <c r="R786">
        <v>1280</v>
      </c>
      <c r="S786">
        <v>520</v>
      </c>
      <c r="T786">
        <v>3.8</v>
      </c>
      <c r="U786">
        <v>3.8</v>
      </c>
      <c r="V786">
        <v>1.1000000000000001</v>
      </c>
      <c r="W786">
        <v>2.85</v>
      </c>
      <c r="X786">
        <v>1.25</v>
      </c>
      <c r="Y786">
        <v>40</v>
      </c>
      <c r="Z786">
        <v>1.6</v>
      </c>
      <c r="AA786">
        <v>20</v>
      </c>
      <c r="AB786" s="6">
        <v>46147.586504629631</v>
      </c>
      <c r="AC786" s="6">
        <v>46147.584166666667</v>
      </c>
    </row>
    <row r="787" spans="1:29" x14ac:dyDescent="0.25">
      <c r="A787" t="s">
        <v>9</v>
      </c>
      <c r="B787" s="5">
        <v>46149</v>
      </c>
      <c r="C787" t="s">
        <v>54</v>
      </c>
      <c r="D787" t="s">
        <v>846</v>
      </c>
      <c r="E787">
        <v>227414533</v>
      </c>
      <c r="F787" t="s">
        <v>763</v>
      </c>
      <c r="G787" t="s">
        <v>764</v>
      </c>
      <c r="H787">
        <v>69000</v>
      </c>
      <c r="I787" t="s">
        <v>58</v>
      </c>
      <c r="J787">
        <v>8300.6</v>
      </c>
      <c r="K787">
        <v>0</v>
      </c>
      <c r="L787">
        <v>0</v>
      </c>
      <c r="M787">
        <v>0</v>
      </c>
      <c r="N787">
        <v>0</v>
      </c>
      <c r="O787">
        <v>600</v>
      </c>
      <c r="P787">
        <v>600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8300.6</v>
      </c>
      <c r="X787">
        <v>7121.5</v>
      </c>
      <c r="Y787">
        <v>300</v>
      </c>
      <c r="Z787">
        <v>8972</v>
      </c>
      <c r="AA787">
        <v>300</v>
      </c>
      <c r="AB787" s="6">
        <v>46147.586365740739</v>
      </c>
      <c r="AC787" s="6">
        <v>25569.229166666668</v>
      </c>
    </row>
    <row r="788" spans="1:29" x14ac:dyDescent="0.25">
      <c r="A788" t="s">
        <v>9</v>
      </c>
      <c r="B788" s="5">
        <v>46149</v>
      </c>
      <c r="C788" t="s">
        <v>54</v>
      </c>
      <c r="D788" t="s">
        <v>847</v>
      </c>
      <c r="E788">
        <v>227589637</v>
      </c>
      <c r="F788" t="s">
        <v>763</v>
      </c>
      <c r="G788" t="s">
        <v>764</v>
      </c>
      <c r="H788">
        <v>69000</v>
      </c>
      <c r="I788" t="s">
        <v>60</v>
      </c>
      <c r="J788">
        <v>1.2</v>
      </c>
      <c r="K788">
        <v>-62.5</v>
      </c>
      <c r="L788">
        <v>20</v>
      </c>
      <c r="M788">
        <v>2.2200000000000002</v>
      </c>
      <c r="N788">
        <v>157460</v>
      </c>
      <c r="O788">
        <v>95560</v>
      </c>
      <c r="P788">
        <v>20580</v>
      </c>
      <c r="Q788">
        <v>126460</v>
      </c>
      <c r="R788">
        <v>126460</v>
      </c>
      <c r="S788">
        <v>114480</v>
      </c>
      <c r="T788">
        <v>3.1</v>
      </c>
      <c r="U788">
        <v>4.25</v>
      </c>
      <c r="V788">
        <v>1.1000000000000001</v>
      </c>
      <c r="W788">
        <v>3.2</v>
      </c>
      <c r="X788">
        <v>1.1000000000000001</v>
      </c>
      <c r="Y788">
        <v>1280</v>
      </c>
      <c r="Z788">
        <v>1.2</v>
      </c>
      <c r="AA788">
        <v>5160</v>
      </c>
      <c r="AB788" s="6">
        <v>46147.586504629631</v>
      </c>
      <c r="AC788" s="6">
        <v>46147.585104166668</v>
      </c>
    </row>
    <row r="789" spans="1:29" x14ac:dyDescent="0.25">
      <c r="A789" t="s">
        <v>9</v>
      </c>
      <c r="B789" s="5">
        <v>46149</v>
      </c>
      <c r="C789" t="s">
        <v>54</v>
      </c>
      <c r="D789" t="s">
        <v>848</v>
      </c>
      <c r="E789">
        <v>227613701</v>
      </c>
      <c r="F789" t="s">
        <v>763</v>
      </c>
      <c r="G789" t="s">
        <v>764</v>
      </c>
      <c r="H789">
        <v>69100</v>
      </c>
      <c r="I789" t="s">
        <v>58</v>
      </c>
      <c r="J789">
        <v>8200.65</v>
      </c>
      <c r="K789">
        <v>0</v>
      </c>
      <c r="L789">
        <v>0</v>
      </c>
      <c r="M789">
        <v>0</v>
      </c>
      <c r="N789">
        <v>0</v>
      </c>
      <c r="O789">
        <v>400</v>
      </c>
      <c r="P789">
        <v>400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8200.65</v>
      </c>
      <c r="X789">
        <v>7019.6</v>
      </c>
      <c r="Y789">
        <v>300</v>
      </c>
      <c r="Z789">
        <v>8873.2000000000007</v>
      </c>
      <c r="AA789">
        <v>300</v>
      </c>
      <c r="AB789" s="6">
        <v>46147.586365740739</v>
      </c>
      <c r="AC789" s="6">
        <v>25569.229166666668</v>
      </c>
    </row>
    <row r="790" spans="1:29" x14ac:dyDescent="0.25">
      <c r="A790" t="s">
        <v>9</v>
      </c>
      <c r="B790" s="5">
        <v>46149</v>
      </c>
      <c r="C790" t="s">
        <v>54</v>
      </c>
      <c r="D790" t="s">
        <v>849</v>
      </c>
      <c r="E790">
        <v>227405061</v>
      </c>
      <c r="F790" t="s">
        <v>763</v>
      </c>
      <c r="G790" t="s">
        <v>764</v>
      </c>
      <c r="H790">
        <v>69100</v>
      </c>
      <c r="I790" t="s">
        <v>60</v>
      </c>
      <c r="J790">
        <v>1.5</v>
      </c>
      <c r="K790">
        <v>-53.846153846153847</v>
      </c>
      <c r="L790">
        <v>20</v>
      </c>
      <c r="M790">
        <v>2.2000000000000002</v>
      </c>
      <c r="N790">
        <v>5420</v>
      </c>
      <c r="O790">
        <v>20720</v>
      </c>
      <c r="P790">
        <v>7800</v>
      </c>
      <c r="Q790">
        <v>1460</v>
      </c>
      <c r="R790">
        <v>2180</v>
      </c>
      <c r="S790">
        <v>1460</v>
      </c>
      <c r="T790">
        <v>3.45</v>
      </c>
      <c r="U790">
        <v>3.5</v>
      </c>
      <c r="V790">
        <v>0.95</v>
      </c>
      <c r="W790">
        <v>3.25</v>
      </c>
      <c r="X790">
        <v>0.85</v>
      </c>
      <c r="Y790">
        <v>3880</v>
      </c>
      <c r="Z790">
        <v>1.75</v>
      </c>
      <c r="AA790">
        <v>160</v>
      </c>
      <c r="AB790" s="6">
        <v>46147.586527777778</v>
      </c>
      <c r="AC790" s="6">
        <v>46147.585219907407</v>
      </c>
    </row>
    <row r="791" spans="1:29" x14ac:dyDescent="0.25">
      <c r="A791" t="s">
        <v>9</v>
      </c>
      <c r="B791" s="5">
        <v>46149</v>
      </c>
      <c r="C791" t="s">
        <v>54</v>
      </c>
      <c r="D791" t="s">
        <v>850</v>
      </c>
      <c r="E791">
        <v>227549189</v>
      </c>
      <c r="F791" t="s">
        <v>763</v>
      </c>
      <c r="G791" t="s">
        <v>764</v>
      </c>
      <c r="H791">
        <v>69200</v>
      </c>
      <c r="I791" t="s">
        <v>58</v>
      </c>
      <c r="J791">
        <v>8100.65</v>
      </c>
      <c r="K791">
        <v>0</v>
      </c>
      <c r="L791">
        <v>0</v>
      </c>
      <c r="M791">
        <v>0</v>
      </c>
      <c r="N791">
        <v>0</v>
      </c>
      <c r="O791">
        <v>400</v>
      </c>
      <c r="P791">
        <v>400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8100.65</v>
      </c>
      <c r="X791">
        <v>6920.15</v>
      </c>
      <c r="Y791">
        <v>300</v>
      </c>
      <c r="Z791">
        <v>8770.7000000000007</v>
      </c>
      <c r="AA791">
        <v>300</v>
      </c>
      <c r="AB791" s="6">
        <v>46147.586365740739</v>
      </c>
      <c r="AC791" s="6">
        <v>25569.229166666668</v>
      </c>
    </row>
    <row r="792" spans="1:29" x14ac:dyDescent="0.25">
      <c r="A792" t="s">
        <v>9</v>
      </c>
      <c r="B792" s="5">
        <v>46149</v>
      </c>
      <c r="C792" t="s">
        <v>54</v>
      </c>
      <c r="D792" t="s">
        <v>851</v>
      </c>
      <c r="E792">
        <v>227607301</v>
      </c>
      <c r="F792" t="s">
        <v>763</v>
      </c>
      <c r="G792" t="s">
        <v>764</v>
      </c>
      <c r="H792">
        <v>69200</v>
      </c>
      <c r="I792" t="s">
        <v>60</v>
      </c>
      <c r="J792">
        <v>1.45</v>
      </c>
      <c r="K792">
        <v>-56.060606060606062</v>
      </c>
      <c r="L792">
        <v>120</v>
      </c>
      <c r="M792">
        <v>2.33</v>
      </c>
      <c r="N792">
        <v>13300</v>
      </c>
      <c r="O792">
        <v>41980</v>
      </c>
      <c r="P792">
        <v>6940</v>
      </c>
      <c r="Q792">
        <v>2700</v>
      </c>
      <c r="R792">
        <v>2820</v>
      </c>
      <c r="S792">
        <v>1360</v>
      </c>
      <c r="T792">
        <v>3.55</v>
      </c>
      <c r="U792">
        <v>3.7</v>
      </c>
      <c r="V792">
        <v>1.1000000000000001</v>
      </c>
      <c r="W792">
        <v>3.3</v>
      </c>
      <c r="X792">
        <v>1.35</v>
      </c>
      <c r="Y792">
        <v>40</v>
      </c>
      <c r="Z792">
        <v>1.8</v>
      </c>
      <c r="AA792">
        <v>40</v>
      </c>
      <c r="AB792" s="6">
        <v>46147.586527777778</v>
      </c>
      <c r="AC792" s="6">
        <v>46147.585578703707</v>
      </c>
    </row>
    <row r="793" spans="1:29" x14ac:dyDescent="0.25">
      <c r="A793" t="s">
        <v>9</v>
      </c>
      <c r="B793" s="5">
        <v>46149</v>
      </c>
      <c r="C793" t="s">
        <v>54</v>
      </c>
      <c r="D793" t="s">
        <v>852</v>
      </c>
      <c r="E793">
        <v>227626757</v>
      </c>
      <c r="F793" t="s">
        <v>763</v>
      </c>
      <c r="G793" t="s">
        <v>764</v>
      </c>
      <c r="H793">
        <v>69300</v>
      </c>
      <c r="I793" t="s">
        <v>58</v>
      </c>
      <c r="J793">
        <v>8000.7</v>
      </c>
      <c r="K793">
        <v>0</v>
      </c>
      <c r="L793">
        <v>0</v>
      </c>
      <c r="M793">
        <v>0</v>
      </c>
      <c r="N793">
        <v>0</v>
      </c>
      <c r="O793">
        <v>400</v>
      </c>
      <c r="P793">
        <v>400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8000.7</v>
      </c>
      <c r="X793">
        <v>6820.6</v>
      </c>
      <c r="Y793">
        <v>300</v>
      </c>
      <c r="Z793">
        <v>8671.4500000000007</v>
      </c>
      <c r="AA793">
        <v>300</v>
      </c>
      <c r="AB793" s="6">
        <v>46147.586365740739</v>
      </c>
      <c r="AC793" s="6">
        <v>25569.229166666668</v>
      </c>
    </row>
    <row r="794" spans="1:29" x14ac:dyDescent="0.25">
      <c r="A794" t="s">
        <v>9</v>
      </c>
      <c r="B794" s="5">
        <v>46149</v>
      </c>
      <c r="C794" t="s">
        <v>54</v>
      </c>
      <c r="D794" t="s">
        <v>853</v>
      </c>
      <c r="E794">
        <v>227421701</v>
      </c>
      <c r="F794" t="s">
        <v>763</v>
      </c>
      <c r="G794" t="s">
        <v>764</v>
      </c>
      <c r="H794">
        <v>69300</v>
      </c>
      <c r="I794" t="s">
        <v>60</v>
      </c>
      <c r="J794">
        <v>1.65</v>
      </c>
      <c r="K794">
        <v>-42.10526315789474</v>
      </c>
      <c r="L794">
        <v>20</v>
      </c>
      <c r="M794">
        <v>2.2999999999999998</v>
      </c>
      <c r="N794">
        <v>4040</v>
      </c>
      <c r="O794">
        <v>11600</v>
      </c>
      <c r="P794">
        <v>8240</v>
      </c>
      <c r="Q794">
        <v>900</v>
      </c>
      <c r="R794">
        <v>1160</v>
      </c>
      <c r="S794">
        <v>800</v>
      </c>
      <c r="T794">
        <v>3.55</v>
      </c>
      <c r="U794">
        <v>3.6</v>
      </c>
      <c r="V794">
        <v>0.85</v>
      </c>
      <c r="W794">
        <v>2.85</v>
      </c>
      <c r="X794">
        <v>1.3</v>
      </c>
      <c r="Y794">
        <v>280</v>
      </c>
      <c r="Z794">
        <v>1.6</v>
      </c>
      <c r="AA794">
        <v>40</v>
      </c>
      <c r="AB794" s="6">
        <v>46147.586504629631</v>
      </c>
      <c r="AC794" s="6">
        <v>46147.585115740738</v>
      </c>
    </row>
    <row r="795" spans="1:29" x14ac:dyDescent="0.25">
      <c r="A795" t="s">
        <v>9</v>
      </c>
      <c r="B795" s="5">
        <v>46149</v>
      </c>
      <c r="C795" t="s">
        <v>54</v>
      </c>
      <c r="D795" t="s">
        <v>854</v>
      </c>
      <c r="E795">
        <v>227565829</v>
      </c>
      <c r="F795" t="s">
        <v>763</v>
      </c>
      <c r="G795" t="s">
        <v>764</v>
      </c>
      <c r="H795">
        <v>69400</v>
      </c>
      <c r="I795" t="s">
        <v>58</v>
      </c>
      <c r="J795">
        <v>7900.75</v>
      </c>
      <c r="K795">
        <v>0</v>
      </c>
      <c r="L795">
        <v>0</v>
      </c>
      <c r="M795">
        <v>0</v>
      </c>
      <c r="N795">
        <v>0</v>
      </c>
      <c r="O795">
        <v>400</v>
      </c>
      <c r="P795">
        <v>400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7900.75</v>
      </c>
      <c r="X795">
        <v>6723.15</v>
      </c>
      <c r="Y795">
        <v>300</v>
      </c>
      <c r="Z795">
        <v>8575</v>
      </c>
      <c r="AA795">
        <v>300</v>
      </c>
      <c r="AB795" s="6">
        <v>46147.586365740739</v>
      </c>
      <c r="AC795" s="6">
        <v>25569.229166666668</v>
      </c>
    </row>
    <row r="796" spans="1:29" x14ac:dyDescent="0.25">
      <c r="A796" t="s">
        <v>9</v>
      </c>
      <c r="B796" s="5">
        <v>46149</v>
      </c>
      <c r="C796" t="s">
        <v>54</v>
      </c>
      <c r="D796" t="s">
        <v>855</v>
      </c>
      <c r="E796">
        <v>227620357</v>
      </c>
      <c r="F796" t="s">
        <v>763</v>
      </c>
      <c r="G796" t="s">
        <v>764</v>
      </c>
      <c r="H796">
        <v>69400</v>
      </c>
      <c r="I796" t="s">
        <v>60</v>
      </c>
      <c r="J796">
        <v>1.05</v>
      </c>
      <c r="K796">
        <v>-67.692307692307708</v>
      </c>
      <c r="L796">
        <v>20</v>
      </c>
      <c r="M796">
        <v>2.35</v>
      </c>
      <c r="N796">
        <v>14720</v>
      </c>
      <c r="O796">
        <v>42800</v>
      </c>
      <c r="P796">
        <v>8580</v>
      </c>
      <c r="Q796">
        <v>2060</v>
      </c>
      <c r="R796">
        <v>2860</v>
      </c>
      <c r="S796">
        <v>1880</v>
      </c>
      <c r="T796">
        <v>3.7</v>
      </c>
      <c r="U796">
        <v>3.7</v>
      </c>
      <c r="V796">
        <v>1.05</v>
      </c>
      <c r="W796">
        <v>3.25</v>
      </c>
      <c r="X796">
        <v>1.05</v>
      </c>
      <c r="Y796">
        <v>20</v>
      </c>
      <c r="Z796">
        <v>1.6</v>
      </c>
      <c r="AA796">
        <v>40</v>
      </c>
      <c r="AB796" s="6">
        <v>46147.586504629631</v>
      </c>
      <c r="AC796" s="6">
        <v>46147.585092592592</v>
      </c>
    </row>
    <row r="797" spans="1:29" x14ac:dyDescent="0.25">
      <c r="A797" t="s">
        <v>9</v>
      </c>
      <c r="B797" s="5">
        <v>46149</v>
      </c>
      <c r="C797" t="s">
        <v>54</v>
      </c>
      <c r="D797" t="s">
        <v>856</v>
      </c>
      <c r="E797">
        <v>227381765</v>
      </c>
      <c r="F797" t="s">
        <v>763</v>
      </c>
      <c r="G797" t="s">
        <v>764</v>
      </c>
      <c r="H797">
        <v>69500</v>
      </c>
      <c r="I797" t="s">
        <v>58</v>
      </c>
      <c r="J797">
        <v>7800.8</v>
      </c>
      <c r="K797">
        <v>0</v>
      </c>
      <c r="L797">
        <v>0</v>
      </c>
      <c r="M797">
        <v>0</v>
      </c>
      <c r="N797">
        <v>0</v>
      </c>
      <c r="O797">
        <v>600</v>
      </c>
      <c r="P797">
        <v>600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7800.8</v>
      </c>
      <c r="X797">
        <v>6623.2</v>
      </c>
      <c r="Y797">
        <v>300</v>
      </c>
      <c r="Z797">
        <v>8475.2999999999993</v>
      </c>
      <c r="AA797">
        <v>300</v>
      </c>
      <c r="AB797" s="6">
        <v>46147.586354166669</v>
      </c>
      <c r="AC797" s="6">
        <v>25569.229166666668</v>
      </c>
    </row>
    <row r="798" spans="1:29" x14ac:dyDescent="0.25">
      <c r="A798" t="s">
        <v>9</v>
      </c>
      <c r="B798" s="5">
        <v>46149</v>
      </c>
      <c r="C798" t="s">
        <v>54</v>
      </c>
      <c r="D798" t="s">
        <v>857</v>
      </c>
      <c r="E798">
        <v>227557381</v>
      </c>
      <c r="F798" t="s">
        <v>763</v>
      </c>
      <c r="G798" t="s">
        <v>764</v>
      </c>
      <c r="H798">
        <v>69500</v>
      </c>
      <c r="I798" t="s">
        <v>60</v>
      </c>
      <c r="J798">
        <v>1.05</v>
      </c>
      <c r="K798">
        <v>-67.692307692307708</v>
      </c>
      <c r="L798">
        <v>20</v>
      </c>
      <c r="M798">
        <v>1.93</v>
      </c>
      <c r="N798">
        <v>89220</v>
      </c>
      <c r="O798">
        <v>76720</v>
      </c>
      <c r="P798">
        <v>10980</v>
      </c>
      <c r="Q798">
        <v>11780</v>
      </c>
      <c r="R798">
        <v>23040</v>
      </c>
      <c r="S798">
        <v>11760</v>
      </c>
      <c r="T798">
        <v>2.95</v>
      </c>
      <c r="U798">
        <v>3.7</v>
      </c>
      <c r="V798">
        <v>1.05</v>
      </c>
      <c r="W798">
        <v>3.25</v>
      </c>
      <c r="X798">
        <v>1.05</v>
      </c>
      <c r="Y798">
        <v>700</v>
      </c>
      <c r="Z798">
        <v>1.35</v>
      </c>
      <c r="AA798">
        <v>40</v>
      </c>
      <c r="AB798" s="6">
        <v>46147.586504629631</v>
      </c>
      <c r="AC798" s="6">
        <v>46147.585324074076</v>
      </c>
    </row>
    <row r="799" spans="1:29" x14ac:dyDescent="0.25">
      <c r="A799" t="s">
        <v>9</v>
      </c>
      <c r="B799" s="5">
        <v>46149</v>
      </c>
      <c r="C799" t="s">
        <v>54</v>
      </c>
      <c r="D799" t="s">
        <v>858</v>
      </c>
      <c r="E799">
        <v>227582469</v>
      </c>
      <c r="F799" t="s">
        <v>763</v>
      </c>
      <c r="G799" t="s">
        <v>764</v>
      </c>
      <c r="H799">
        <v>69600</v>
      </c>
      <c r="I799" t="s">
        <v>58</v>
      </c>
      <c r="J799">
        <v>7700.85</v>
      </c>
      <c r="K799">
        <v>0</v>
      </c>
      <c r="L799">
        <v>0</v>
      </c>
      <c r="M799">
        <v>0</v>
      </c>
      <c r="N799">
        <v>0</v>
      </c>
      <c r="O799">
        <v>400</v>
      </c>
      <c r="P799">
        <v>400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7700.85</v>
      </c>
      <c r="X799">
        <v>6522.5</v>
      </c>
      <c r="Y799">
        <v>300</v>
      </c>
      <c r="Z799">
        <v>8375.2000000000007</v>
      </c>
      <c r="AA799">
        <v>300</v>
      </c>
      <c r="AB799" s="6">
        <v>46147.586365740739</v>
      </c>
      <c r="AC799" s="6">
        <v>25569.229166666668</v>
      </c>
    </row>
    <row r="800" spans="1:29" x14ac:dyDescent="0.25">
      <c r="A800" t="s">
        <v>9</v>
      </c>
      <c r="B800" s="5">
        <v>46149</v>
      </c>
      <c r="C800" t="s">
        <v>54</v>
      </c>
      <c r="D800" t="s">
        <v>859</v>
      </c>
      <c r="E800">
        <v>227636485</v>
      </c>
      <c r="F800" t="s">
        <v>763</v>
      </c>
      <c r="G800" t="s">
        <v>764</v>
      </c>
      <c r="H800">
        <v>69600</v>
      </c>
      <c r="I800" t="s">
        <v>60</v>
      </c>
      <c r="J800">
        <v>1.3</v>
      </c>
      <c r="K800">
        <v>-61.194029850746261</v>
      </c>
      <c r="L800">
        <v>60</v>
      </c>
      <c r="M800">
        <v>1.82</v>
      </c>
      <c r="N800">
        <v>245380</v>
      </c>
      <c r="O800">
        <v>51720</v>
      </c>
      <c r="P800">
        <v>11860</v>
      </c>
      <c r="Q800">
        <v>35840</v>
      </c>
      <c r="R800">
        <v>66120</v>
      </c>
      <c r="S800">
        <v>14580</v>
      </c>
      <c r="T800">
        <v>3.35</v>
      </c>
      <c r="U800">
        <v>3.5</v>
      </c>
      <c r="V800">
        <v>1.05</v>
      </c>
      <c r="W800">
        <v>3.35</v>
      </c>
      <c r="X800">
        <v>1.25</v>
      </c>
      <c r="Y800">
        <v>780</v>
      </c>
      <c r="Z800">
        <v>1.4</v>
      </c>
      <c r="AA800">
        <v>800</v>
      </c>
      <c r="AB800" s="6">
        <v>46147.586504629631</v>
      </c>
      <c r="AC800" s="6">
        <v>46147.585578703707</v>
      </c>
    </row>
    <row r="801" spans="1:29" x14ac:dyDescent="0.25">
      <c r="A801" t="s">
        <v>9</v>
      </c>
      <c r="B801" s="5">
        <v>46149</v>
      </c>
      <c r="C801" t="s">
        <v>54</v>
      </c>
      <c r="D801" t="s">
        <v>860</v>
      </c>
      <c r="E801">
        <v>227516677</v>
      </c>
      <c r="F801" t="s">
        <v>763</v>
      </c>
      <c r="G801" t="s">
        <v>764</v>
      </c>
      <c r="H801">
        <v>69700</v>
      </c>
      <c r="I801" t="s">
        <v>58</v>
      </c>
      <c r="J801">
        <v>7600.9</v>
      </c>
      <c r="K801">
        <v>0</v>
      </c>
      <c r="L801">
        <v>0</v>
      </c>
      <c r="M801">
        <v>0</v>
      </c>
      <c r="N801">
        <v>0</v>
      </c>
      <c r="O801">
        <v>400</v>
      </c>
      <c r="P801">
        <v>400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7600.9</v>
      </c>
      <c r="X801">
        <v>6422</v>
      </c>
      <c r="Y801">
        <v>300</v>
      </c>
      <c r="Z801">
        <v>8272.9</v>
      </c>
      <c r="AA801">
        <v>300</v>
      </c>
      <c r="AB801" s="6">
        <v>46147.586365740739</v>
      </c>
      <c r="AC801" s="6">
        <v>25569.229166666668</v>
      </c>
    </row>
    <row r="802" spans="1:29" x14ac:dyDescent="0.25">
      <c r="A802" t="s">
        <v>9</v>
      </c>
      <c r="B802" s="5">
        <v>46149</v>
      </c>
      <c r="C802" t="s">
        <v>54</v>
      </c>
      <c r="D802" t="s">
        <v>861</v>
      </c>
      <c r="E802">
        <v>227574533</v>
      </c>
      <c r="F802" t="s">
        <v>763</v>
      </c>
      <c r="G802" t="s">
        <v>764</v>
      </c>
      <c r="H802">
        <v>69700</v>
      </c>
      <c r="I802" t="s">
        <v>60</v>
      </c>
      <c r="J802">
        <v>1.3</v>
      </c>
      <c r="K802">
        <v>-61.194029850746261</v>
      </c>
      <c r="L802">
        <v>40</v>
      </c>
      <c r="M802">
        <v>2.1800000000000002</v>
      </c>
      <c r="N802">
        <v>29120</v>
      </c>
      <c r="O802">
        <v>45380</v>
      </c>
      <c r="P802">
        <v>6760</v>
      </c>
      <c r="Q802">
        <v>9000</v>
      </c>
      <c r="R802">
        <v>9240</v>
      </c>
      <c r="S802">
        <v>5400</v>
      </c>
      <c r="T802">
        <v>3.35</v>
      </c>
      <c r="U802">
        <v>3.45</v>
      </c>
      <c r="V802">
        <v>1.25</v>
      </c>
      <c r="W802">
        <v>3.35</v>
      </c>
      <c r="X802">
        <v>1.35</v>
      </c>
      <c r="Y802">
        <v>80</v>
      </c>
      <c r="Z802">
        <v>1.6</v>
      </c>
      <c r="AA802">
        <v>80</v>
      </c>
      <c r="AB802" s="6">
        <v>46147.586481481485</v>
      </c>
      <c r="AC802" s="6">
        <v>46147.585428240738</v>
      </c>
    </row>
    <row r="803" spans="1:29" x14ac:dyDescent="0.25">
      <c r="A803" t="s">
        <v>9</v>
      </c>
      <c r="B803" s="5">
        <v>46149</v>
      </c>
      <c r="C803" t="s">
        <v>54</v>
      </c>
      <c r="D803" t="s">
        <v>862</v>
      </c>
      <c r="E803">
        <v>227599621</v>
      </c>
      <c r="F803" t="s">
        <v>763</v>
      </c>
      <c r="G803" t="s">
        <v>764</v>
      </c>
      <c r="H803">
        <v>69800</v>
      </c>
      <c r="I803" t="s">
        <v>58</v>
      </c>
      <c r="J803">
        <v>7500.95</v>
      </c>
      <c r="K803">
        <v>0</v>
      </c>
      <c r="L803">
        <v>0</v>
      </c>
      <c r="M803">
        <v>0</v>
      </c>
      <c r="N803">
        <v>0</v>
      </c>
      <c r="O803">
        <v>400</v>
      </c>
      <c r="P803">
        <v>400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7500.95</v>
      </c>
      <c r="X803">
        <v>6321.8</v>
      </c>
      <c r="Y803">
        <v>300</v>
      </c>
      <c r="Z803">
        <v>8173.2</v>
      </c>
      <c r="AA803">
        <v>300</v>
      </c>
      <c r="AB803" s="6">
        <v>46147.586365740739</v>
      </c>
      <c r="AC803" s="6">
        <v>25569.229166666668</v>
      </c>
    </row>
    <row r="804" spans="1:29" x14ac:dyDescent="0.25">
      <c r="A804" t="s">
        <v>9</v>
      </c>
      <c r="B804" s="5">
        <v>46149</v>
      </c>
      <c r="C804" t="s">
        <v>54</v>
      </c>
      <c r="D804" t="s">
        <v>863</v>
      </c>
      <c r="E804">
        <v>227390469</v>
      </c>
      <c r="F804" t="s">
        <v>763</v>
      </c>
      <c r="G804" t="s">
        <v>764</v>
      </c>
      <c r="H804">
        <v>69800</v>
      </c>
      <c r="I804" t="s">
        <v>60</v>
      </c>
      <c r="J804">
        <v>1.45</v>
      </c>
      <c r="K804">
        <v>-51.666666666666664</v>
      </c>
      <c r="L804">
        <v>40</v>
      </c>
      <c r="M804">
        <v>2.65</v>
      </c>
      <c r="N804">
        <v>42000</v>
      </c>
      <c r="O804">
        <v>44840</v>
      </c>
      <c r="P804">
        <v>9640</v>
      </c>
      <c r="Q804">
        <v>4540</v>
      </c>
      <c r="R804">
        <v>10980</v>
      </c>
      <c r="S804">
        <v>1580</v>
      </c>
      <c r="T804">
        <v>3.75</v>
      </c>
      <c r="U804">
        <v>3.75</v>
      </c>
      <c r="V804">
        <v>1.2</v>
      </c>
      <c r="W804">
        <v>3</v>
      </c>
      <c r="X804">
        <v>1.35</v>
      </c>
      <c r="Y804">
        <v>600</v>
      </c>
      <c r="Z804">
        <v>1.6</v>
      </c>
      <c r="AA804">
        <v>40</v>
      </c>
      <c r="AB804" s="6">
        <v>46147.586527777778</v>
      </c>
      <c r="AC804" s="6">
        <v>46147.586261574077</v>
      </c>
    </row>
    <row r="805" spans="1:29" x14ac:dyDescent="0.25">
      <c r="A805" t="s">
        <v>9</v>
      </c>
      <c r="B805" s="5">
        <v>46149</v>
      </c>
      <c r="C805" t="s">
        <v>54</v>
      </c>
      <c r="D805" t="s">
        <v>864</v>
      </c>
      <c r="E805">
        <v>227535109</v>
      </c>
      <c r="F805" t="s">
        <v>763</v>
      </c>
      <c r="G805" t="s">
        <v>764</v>
      </c>
      <c r="H805">
        <v>69900</v>
      </c>
      <c r="I805" t="s">
        <v>58</v>
      </c>
      <c r="J805">
        <v>7401</v>
      </c>
      <c r="K805">
        <v>0</v>
      </c>
      <c r="L805">
        <v>0</v>
      </c>
      <c r="M805">
        <v>0</v>
      </c>
      <c r="N805">
        <v>0</v>
      </c>
      <c r="O805">
        <v>400</v>
      </c>
      <c r="P805">
        <v>400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7401</v>
      </c>
      <c r="X805">
        <v>6221.6</v>
      </c>
      <c r="Y805">
        <v>300</v>
      </c>
      <c r="Z805">
        <v>8072.4</v>
      </c>
      <c r="AA805">
        <v>300</v>
      </c>
      <c r="AB805" s="6">
        <v>46147.586365740739</v>
      </c>
      <c r="AC805" s="6">
        <v>25569.229166666668</v>
      </c>
    </row>
    <row r="806" spans="1:29" x14ac:dyDescent="0.25">
      <c r="A806" t="s">
        <v>9</v>
      </c>
      <c r="B806" s="5">
        <v>46149</v>
      </c>
      <c r="C806" t="s">
        <v>54</v>
      </c>
      <c r="D806" t="s">
        <v>865</v>
      </c>
      <c r="E806">
        <v>227591429</v>
      </c>
      <c r="F806" t="s">
        <v>763</v>
      </c>
      <c r="G806" t="s">
        <v>764</v>
      </c>
      <c r="H806">
        <v>69900</v>
      </c>
      <c r="I806" t="s">
        <v>60</v>
      </c>
      <c r="J806">
        <v>1.6</v>
      </c>
      <c r="K806">
        <v>-54.929577464788728</v>
      </c>
      <c r="L806">
        <v>40</v>
      </c>
      <c r="M806">
        <v>2.1800000000000002</v>
      </c>
      <c r="N806">
        <v>7540</v>
      </c>
      <c r="O806">
        <v>38480</v>
      </c>
      <c r="P806">
        <v>9480</v>
      </c>
      <c r="Q806">
        <v>3060</v>
      </c>
      <c r="R806">
        <v>3180</v>
      </c>
      <c r="S806">
        <v>1500</v>
      </c>
      <c r="T806">
        <v>3.2</v>
      </c>
      <c r="U806">
        <v>3.4</v>
      </c>
      <c r="V806">
        <v>0.9</v>
      </c>
      <c r="W806">
        <v>3.55</v>
      </c>
      <c r="X806">
        <v>1.55</v>
      </c>
      <c r="Y806">
        <v>120</v>
      </c>
      <c r="Z806">
        <v>1.6</v>
      </c>
      <c r="AA806">
        <v>40</v>
      </c>
      <c r="AB806" s="6">
        <v>46147.586516203701</v>
      </c>
      <c r="AC806" s="6">
        <v>46147.586006944446</v>
      </c>
    </row>
    <row r="807" spans="1:29" x14ac:dyDescent="0.25">
      <c r="A807" t="s">
        <v>9</v>
      </c>
      <c r="B807" s="5">
        <v>46149</v>
      </c>
      <c r="C807" t="s">
        <v>54</v>
      </c>
      <c r="D807" t="s">
        <v>866</v>
      </c>
      <c r="E807">
        <v>227480069</v>
      </c>
      <c r="F807" t="s">
        <v>763</v>
      </c>
      <c r="G807" t="s">
        <v>764</v>
      </c>
      <c r="H807">
        <v>70000</v>
      </c>
      <c r="I807" t="s">
        <v>58</v>
      </c>
      <c r="J807">
        <v>7301.05</v>
      </c>
      <c r="K807">
        <v>0</v>
      </c>
      <c r="L807">
        <v>0</v>
      </c>
      <c r="M807">
        <v>0</v>
      </c>
      <c r="N807">
        <v>0</v>
      </c>
      <c r="O807">
        <v>760</v>
      </c>
      <c r="P807">
        <v>760</v>
      </c>
      <c r="Q807">
        <v>200</v>
      </c>
      <c r="R807">
        <v>200</v>
      </c>
      <c r="S807">
        <v>200</v>
      </c>
      <c r="T807">
        <v>0</v>
      </c>
      <c r="U807">
        <v>7920.1</v>
      </c>
      <c r="V807">
        <v>7850</v>
      </c>
      <c r="W807">
        <v>7301.05</v>
      </c>
      <c r="X807">
        <v>6568.4</v>
      </c>
      <c r="Y807">
        <v>300</v>
      </c>
      <c r="Z807">
        <v>7740.25</v>
      </c>
      <c r="AA807">
        <v>20</v>
      </c>
      <c r="AB807" s="6">
        <v>46147.586527777778</v>
      </c>
      <c r="AC807" s="6">
        <v>46141.473009259258</v>
      </c>
    </row>
    <row r="808" spans="1:29" x14ac:dyDescent="0.25">
      <c r="A808" t="s">
        <v>9</v>
      </c>
      <c r="B808" s="5">
        <v>46149</v>
      </c>
      <c r="C808" t="s">
        <v>54</v>
      </c>
      <c r="D808" t="s">
        <v>867</v>
      </c>
      <c r="E808">
        <v>227535365</v>
      </c>
      <c r="F808" t="s">
        <v>763</v>
      </c>
      <c r="G808" t="s">
        <v>764</v>
      </c>
      <c r="H808">
        <v>70000</v>
      </c>
      <c r="I808" t="s">
        <v>60</v>
      </c>
      <c r="J808">
        <v>1.1499999999999999</v>
      </c>
      <c r="K808">
        <v>-66.666666666666671</v>
      </c>
      <c r="L808">
        <v>20</v>
      </c>
      <c r="M808">
        <v>2.1800000000000002</v>
      </c>
      <c r="N808">
        <v>600720</v>
      </c>
      <c r="O808">
        <v>107320</v>
      </c>
      <c r="P808">
        <v>26740</v>
      </c>
      <c r="Q808">
        <v>262240</v>
      </c>
      <c r="R808">
        <v>276660</v>
      </c>
      <c r="S808">
        <v>219400</v>
      </c>
      <c r="T808">
        <v>3.45</v>
      </c>
      <c r="U808">
        <v>3.95</v>
      </c>
      <c r="V808">
        <v>1.1499999999999999</v>
      </c>
      <c r="W808">
        <v>3.45</v>
      </c>
      <c r="X808">
        <v>1.25</v>
      </c>
      <c r="Y808">
        <v>1140</v>
      </c>
      <c r="Z808">
        <v>1.3</v>
      </c>
      <c r="AA808">
        <v>1920</v>
      </c>
      <c r="AB808" s="6">
        <v>46147.586527777778</v>
      </c>
      <c r="AC808" s="6">
        <v>46147.586412037039</v>
      </c>
    </row>
    <row r="809" spans="1:29" x14ac:dyDescent="0.25">
      <c r="A809" t="s">
        <v>9</v>
      </c>
      <c r="B809" s="5">
        <v>46149</v>
      </c>
      <c r="C809" t="s">
        <v>54</v>
      </c>
      <c r="D809" t="s">
        <v>868</v>
      </c>
      <c r="E809">
        <v>227560709</v>
      </c>
      <c r="F809" t="s">
        <v>763</v>
      </c>
      <c r="G809" t="s">
        <v>764</v>
      </c>
      <c r="H809">
        <v>70100</v>
      </c>
      <c r="I809" t="s">
        <v>58</v>
      </c>
      <c r="J809">
        <v>7201.1</v>
      </c>
      <c r="K809">
        <v>0</v>
      </c>
      <c r="L809">
        <v>0</v>
      </c>
      <c r="M809">
        <v>0</v>
      </c>
      <c r="N809">
        <v>0</v>
      </c>
      <c r="O809">
        <v>400</v>
      </c>
      <c r="P809">
        <v>400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7201.1</v>
      </c>
      <c r="X809">
        <v>6022.15</v>
      </c>
      <c r="Y809">
        <v>300</v>
      </c>
      <c r="Z809">
        <v>7873.8</v>
      </c>
      <c r="AA809">
        <v>300</v>
      </c>
      <c r="AB809" s="6">
        <v>46147.586365740739</v>
      </c>
      <c r="AC809" s="6">
        <v>25569.229166666668</v>
      </c>
    </row>
    <row r="810" spans="1:29" x14ac:dyDescent="0.25">
      <c r="A810" t="s">
        <v>9</v>
      </c>
      <c r="B810" s="5">
        <v>46149</v>
      </c>
      <c r="C810" t="s">
        <v>54</v>
      </c>
      <c r="D810" t="s">
        <v>869</v>
      </c>
      <c r="E810">
        <v>227614981</v>
      </c>
      <c r="F810" t="s">
        <v>763</v>
      </c>
      <c r="G810" t="s">
        <v>764</v>
      </c>
      <c r="H810">
        <v>70100</v>
      </c>
      <c r="I810" t="s">
        <v>60</v>
      </c>
      <c r="J810">
        <v>1.35</v>
      </c>
      <c r="K810">
        <v>-60.294117647058819</v>
      </c>
      <c r="L810">
        <v>20</v>
      </c>
      <c r="M810">
        <v>2.4300000000000002</v>
      </c>
      <c r="N810">
        <v>9600</v>
      </c>
      <c r="O810">
        <v>38400</v>
      </c>
      <c r="P810">
        <v>6940</v>
      </c>
      <c r="Q810">
        <v>1460</v>
      </c>
      <c r="R810">
        <v>2000</v>
      </c>
      <c r="S810">
        <v>680</v>
      </c>
      <c r="T810">
        <v>3.4</v>
      </c>
      <c r="U810">
        <v>3.75</v>
      </c>
      <c r="V810">
        <v>1.1499999999999999</v>
      </c>
      <c r="W810">
        <v>3.4</v>
      </c>
      <c r="X810">
        <v>1.35</v>
      </c>
      <c r="Y810">
        <v>40</v>
      </c>
      <c r="Z810">
        <v>1.75</v>
      </c>
      <c r="AA810">
        <v>20</v>
      </c>
      <c r="AB810" s="6">
        <v>46147.586504629631</v>
      </c>
      <c r="AC810" s="6">
        <v>46147.585219907407</v>
      </c>
    </row>
    <row r="811" spans="1:29" x14ac:dyDescent="0.25">
      <c r="A811" t="s">
        <v>9</v>
      </c>
      <c r="B811" s="5">
        <v>46149</v>
      </c>
      <c r="C811" t="s">
        <v>54</v>
      </c>
      <c r="D811" t="s">
        <v>870</v>
      </c>
      <c r="E811">
        <v>227494661</v>
      </c>
      <c r="F811" t="s">
        <v>763</v>
      </c>
      <c r="G811" t="s">
        <v>764</v>
      </c>
      <c r="H811">
        <v>70200</v>
      </c>
      <c r="I811" t="s">
        <v>58</v>
      </c>
      <c r="J811">
        <v>7101.15</v>
      </c>
      <c r="K811">
        <v>0</v>
      </c>
      <c r="L811">
        <v>0</v>
      </c>
      <c r="M811">
        <v>0</v>
      </c>
      <c r="N811">
        <v>0</v>
      </c>
      <c r="O811">
        <v>400</v>
      </c>
      <c r="P811">
        <v>400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7101.15</v>
      </c>
      <c r="X811">
        <v>5923.45</v>
      </c>
      <c r="Y811">
        <v>300</v>
      </c>
      <c r="Z811">
        <v>7773.7</v>
      </c>
      <c r="AA811">
        <v>300</v>
      </c>
      <c r="AB811" s="6">
        <v>46147.586365740739</v>
      </c>
      <c r="AC811" s="6">
        <v>25569.229166666668</v>
      </c>
    </row>
    <row r="812" spans="1:29" x14ac:dyDescent="0.25">
      <c r="A812" t="s">
        <v>9</v>
      </c>
      <c r="B812" s="5">
        <v>46149</v>
      </c>
      <c r="C812" t="s">
        <v>54</v>
      </c>
      <c r="D812" t="s">
        <v>871</v>
      </c>
      <c r="E812">
        <v>227552005</v>
      </c>
      <c r="F812" t="s">
        <v>763</v>
      </c>
      <c r="G812" t="s">
        <v>764</v>
      </c>
      <c r="H812">
        <v>70200</v>
      </c>
      <c r="I812" t="s">
        <v>60</v>
      </c>
      <c r="J812">
        <v>1.4</v>
      </c>
      <c r="K812">
        <v>-59.420289855072468</v>
      </c>
      <c r="L812">
        <v>20</v>
      </c>
      <c r="M812">
        <v>2.5</v>
      </c>
      <c r="N812">
        <v>6300</v>
      </c>
      <c r="O812">
        <v>35660</v>
      </c>
      <c r="P812">
        <v>6920</v>
      </c>
      <c r="Q812">
        <v>2100</v>
      </c>
      <c r="R812">
        <v>2500</v>
      </c>
      <c r="S812">
        <v>1560</v>
      </c>
      <c r="T812">
        <v>2.65</v>
      </c>
      <c r="U812">
        <v>3.45</v>
      </c>
      <c r="V812">
        <v>1.1499999999999999</v>
      </c>
      <c r="W812">
        <v>3.45</v>
      </c>
      <c r="X812">
        <v>1.1000000000000001</v>
      </c>
      <c r="Y812">
        <v>19720</v>
      </c>
      <c r="Z812">
        <v>1.8</v>
      </c>
      <c r="AA812">
        <v>520</v>
      </c>
      <c r="AB812" s="6">
        <v>46147.586504629631</v>
      </c>
      <c r="AC812" s="6">
        <v>46147.584988425922</v>
      </c>
    </row>
    <row r="813" spans="1:29" x14ac:dyDescent="0.25">
      <c r="A813" t="s">
        <v>9</v>
      </c>
      <c r="B813" s="5">
        <v>46149</v>
      </c>
      <c r="C813" t="s">
        <v>54</v>
      </c>
      <c r="D813" t="s">
        <v>872</v>
      </c>
      <c r="E813">
        <v>227577861</v>
      </c>
      <c r="F813" t="s">
        <v>763</v>
      </c>
      <c r="G813" t="s">
        <v>764</v>
      </c>
      <c r="H813">
        <v>70300</v>
      </c>
      <c r="I813" t="s">
        <v>58</v>
      </c>
      <c r="J813">
        <v>7001.15</v>
      </c>
      <c r="K813">
        <v>0</v>
      </c>
      <c r="L813">
        <v>0</v>
      </c>
      <c r="M813">
        <v>0</v>
      </c>
      <c r="N813">
        <v>0</v>
      </c>
      <c r="O813">
        <v>400</v>
      </c>
      <c r="P813">
        <v>400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7001.15</v>
      </c>
      <c r="X813">
        <v>5821.4</v>
      </c>
      <c r="Y813">
        <v>300</v>
      </c>
      <c r="Z813">
        <v>7673.85</v>
      </c>
      <c r="AA813">
        <v>300</v>
      </c>
      <c r="AB813" s="6">
        <v>46147.586365740739</v>
      </c>
      <c r="AC813" s="6">
        <v>25569.229166666668</v>
      </c>
    </row>
    <row r="814" spans="1:29" x14ac:dyDescent="0.25">
      <c r="A814" t="s">
        <v>9</v>
      </c>
      <c r="B814" s="5">
        <v>46149</v>
      </c>
      <c r="C814" t="s">
        <v>54</v>
      </c>
      <c r="D814" t="s">
        <v>873</v>
      </c>
      <c r="E814">
        <v>227487237</v>
      </c>
      <c r="F814" t="s">
        <v>763</v>
      </c>
      <c r="G814" t="s">
        <v>764</v>
      </c>
      <c r="H814">
        <v>70300</v>
      </c>
      <c r="I814" t="s">
        <v>60</v>
      </c>
      <c r="J814">
        <v>1.4</v>
      </c>
      <c r="K814">
        <v>-58.208955223880601</v>
      </c>
      <c r="L814">
        <v>60</v>
      </c>
      <c r="M814">
        <v>2.4300000000000002</v>
      </c>
      <c r="N814">
        <v>9600</v>
      </c>
      <c r="O814">
        <v>35460</v>
      </c>
      <c r="P814">
        <v>8680</v>
      </c>
      <c r="Q814">
        <v>1280</v>
      </c>
      <c r="R814">
        <v>2320</v>
      </c>
      <c r="S814">
        <v>1060</v>
      </c>
      <c r="T814">
        <v>2.2000000000000002</v>
      </c>
      <c r="U814">
        <v>3.5</v>
      </c>
      <c r="V814">
        <v>1.2</v>
      </c>
      <c r="W814">
        <v>3.35</v>
      </c>
      <c r="X814">
        <v>1.4</v>
      </c>
      <c r="Y814">
        <v>1280</v>
      </c>
      <c r="Z814">
        <v>1.65</v>
      </c>
      <c r="AA814">
        <v>60</v>
      </c>
      <c r="AB814" s="6">
        <v>46147.586516203701</v>
      </c>
      <c r="AC814" s="6">
        <v>46147.586226851854</v>
      </c>
    </row>
    <row r="815" spans="1:29" x14ac:dyDescent="0.25">
      <c r="A815" t="s">
        <v>9</v>
      </c>
      <c r="B815" s="5">
        <v>46149</v>
      </c>
      <c r="C815" t="s">
        <v>54</v>
      </c>
      <c r="D815" t="s">
        <v>874</v>
      </c>
      <c r="E815">
        <v>227510533</v>
      </c>
      <c r="F815" t="s">
        <v>763</v>
      </c>
      <c r="G815" t="s">
        <v>764</v>
      </c>
      <c r="H815">
        <v>70400</v>
      </c>
      <c r="I815" t="s">
        <v>58</v>
      </c>
      <c r="J815">
        <v>6901.2</v>
      </c>
      <c r="K815">
        <v>0</v>
      </c>
      <c r="L815">
        <v>0</v>
      </c>
      <c r="M815">
        <v>0</v>
      </c>
      <c r="N815">
        <v>0</v>
      </c>
      <c r="O815">
        <v>400</v>
      </c>
      <c r="P815">
        <v>400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6901.2</v>
      </c>
      <c r="X815">
        <v>5720.15</v>
      </c>
      <c r="Y815">
        <v>300</v>
      </c>
      <c r="Z815">
        <v>7571.35</v>
      </c>
      <c r="AA815">
        <v>300</v>
      </c>
      <c r="AB815" s="6">
        <v>46147.586365740739</v>
      </c>
      <c r="AC815" s="6">
        <v>25569.229166666668</v>
      </c>
    </row>
    <row r="816" spans="1:29" x14ac:dyDescent="0.25">
      <c r="A816" t="s">
        <v>9</v>
      </c>
      <c r="B816" s="5">
        <v>46149</v>
      </c>
      <c r="C816" t="s">
        <v>54</v>
      </c>
      <c r="D816" t="s">
        <v>875</v>
      </c>
      <c r="E816">
        <v>227567877</v>
      </c>
      <c r="F816" t="s">
        <v>763</v>
      </c>
      <c r="G816" t="s">
        <v>764</v>
      </c>
      <c r="H816">
        <v>70400</v>
      </c>
      <c r="I816" t="s">
        <v>60</v>
      </c>
      <c r="J816">
        <v>1.1499999999999999</v>
      </c>
      <c r="K816">
        <v>-68.055555555555557</v>
      </c>
      <c r="L816">
        <v>20</v>
      </c>
      <c r="M816">
        <v>2.7</v>
      </c>
      <c r="N816">
        <v>9840</v>
      </c>
      <c r="O816">
        <v>42280</v>
      </c>
      <c r="P816">
        <v>7140</v>
      </c>
      <c r="Q816">
        <v>1340</v>
      </c>
      <c r="R816">
        <v>2060</v>
      </c>
      <c r="S816">
        <v>1300</v>
      </c>
      <c r="T816">
        <v>5.25</v>
      </c>
      <c r="U816">
        <v>5.25</v>
      </c>
      <c r="V816">
        <v>1.05</v>
      </c>
      <c r="W816">
        <v>3.6</v>
      </c>
      <c r="X816">
        <v>1.4</v>
      </c>
      <c r="Y816">
        <v>20</v>
      </c>
      <c r="Z816">
        <v>1.65</v>
      </c>
      <c r="AA816">
        <v>80</v>
      </c>
      <c r="AB816" s="6">
        <v>46147.586493055554</v>
      </c>
      <c r="AC816" s="6">
        <v>46147.585115740738</v>
      </c>
    </row>
    <row r="817" spans="1:29" x14ac:dyDescent="0.25">
      <c r="A817" t="s">
        <v>9</v>
      </c>
      <c r="B817" s="5">
        <v>46149</v>
      </c>
      <c r="C817" t="s">
        <v>54</v>
      </c>
      <c r="D817" t="s">
        <v>876</v>
      </c>
      <c r="E817">
        <v>227447557</v>
      </c>
      <c r="F817" t="s">
        <v>763</v>
      </c>
      <c r="G817" t="s">
        <v>764</v>
      </c>
      <c r="H817">
        <v>70500</v>
      </c>
      <c r="I817" t="s">
        <v>58</v>
      </c>
      <c r="J817">
        <v>6801.25</v>
      </c>
      <c r="K817">
        <v>0</v>
      </c>
      <c r="L817">
        <v>0</v>
      </c>
      <c r="M817">
        <v>0</v>
      </c>
      <c r="N817">
        <v>0</v>
      </c>
      <c r="O817">
        <v>600</v>
      </c>
      <c r="P817">
        <v>600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6801.25</v>
      </c>
      <c r="X817">
        <v>5621.2</v>
      </c>
      <c r="Y817">
        <v>300</v>
      </c>
      <c r="Z817">
        <v>7472.15</v>
      </c>
      <c r="AA817">
        <v>300</v>
      </c>
      <c r="AB817" s="6">
        <v>46147.586365740739</v>
      </c>
      <c r="AC817" s="6">
        <v>25569.229166666668</v>
      </c>
    </row>
    <row r="818" spans="1:29" x14ac:dyDescent="0.25">
      <c r="A818" t="s">
        <v>9</v>
      </c>
      <c r="B818" s="5">
        <v>46149</v>
      </c>
      <c r="C818" t="s">
        <v>54</v>
      </c>
      <c r="D818" t="s">
        <v>877</v>
      </c>
      <c r="E818">
        <v>227501317</v>
      </c>
      <c r="F818" t="s">
        <v>763</v>
      </c>
      <c r="G818" t="s">
        <v>764</v>
      </c>
      <c r="H818">
        <v>70500</v>
      </c>
      <c r="I818" t="s">
        <v>60</v>
      </c>
      <c r="J818">
        <v>1.3</v>
      </c>
      <c r="K818">
        <v>-64.86486486486487</v>
      </c>
      <c r="L818">
        <v>100</v>
      </c>
      <c r="M818">
        <v>2.5</v>
      </c>
      <c r="N818">
        <v>601120</v>
      </c>
      <c r="O818">
        <v>58540</v>
      </c>
      <c r="P818">
        <v>16460</v>
      </c>
      <c r="Q818">
        <v>134940</v>
      </c>
      <c r="R818">
        <v>160520</v>
      </c>
      <c r="S818">
        <v>129880</v>
      </c>
      <c r="T818">
        <v>3.4</v>
      </c>
      <c r="U818">
        <v>4.8499999999999996</v>
      </c>
      <c r="V818">
        <v>1.3</v>
      </c>
      <c r="W818">
        <v>3.7</v>
      </c>
      <c r="X818">
        <v>1.3</v>
      </c>
      <c r="Y818">
        <v>1280</v>
      </c>
      <c r="Z818">
        <v>1.35</v>
      </c>
      <c r="AA818">
        <v>2000</v>
      </c>
      <c r="AB818" s="6">
        <v>46147.586504629631</v>
      </c>
      <c r="AC818" s="6">
        <v>46147.586412037039</v>
      </c>
    </row>
    <row r="819" spans="1:29" x14ac:dyDescent="0.25">
      <c r="A819" t="s">
        <v>9</v>
      </c>
      <c r="B819" s="5">
        <v>46149</v>
      </c>
      <c r="C819" t="s">
        <v>54</v>
      </c>
      <c r="D819" t="s">
        <v>878</v>
      </c>
      <c r="E819">
        <v>227529989</v>
      </c>
      <c r="F819" t="s">
        <v>763</v>
      </c>
      <c r="G819" t="s">
        <v>764</v>
      </c>
      <c r="H819">
        <v>70600</v>
      </c>
      <c r="I819" t="s">
        <v>58</v>
      </c>
      <c r="J819">
        <v>6701.3</v>
      </c>
      <c r="K819">
        <v>0</v>
      </c>
      <c r="L819">
        <v>0</v>
      </c>
      <c r="M819">
        <v>0</v>
      </c>
      <c r="N819">
        <v>0</v>
      </c>
      <c r="O819">
        <v>400</v>
      </c>
      <c r="P819">
        <v>400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6701.3</v>
      </c>
      <c r="X819">
        <v>5522.7</v>
      </c>
      <c r="Y819">
        <v>300</v>
      </c>
      <c r="Z819">
        <v>7371.95</v>
      </c>
      <c r="AA819">
        <v>300</v>
      </c>
      <c r="AB819" s="6">
        <v>46147.586365740739</v>
      </c>
      <c r="AC819" s="6">
        <v>25569.229166666668</v>
      </c>
    </row>
    <row r="820" spans="1:29" x14ac:dyDescent="0.25">
      <c r="A820" t="s">
        <v>9</v>
      </c>
      <c r="B820" s="5">
        <v>46149</v>
      </c>
      <c r="C820" t="s">
        <v>54</v>
      </c>
      <c r="D820" t="s">
        <v>879</v>
      </c>
      <c r="E820">
        <v>227584773</v>
      </c>
      <c r="F820" t="s">
        <v>763</v>
      </c>
      <c r="G820" t="s">
        <v>764</v>
      </c>
      <c r="H820">
        <v>70600</v>
      </c>
      <c r="I820" t="s">
        <v>60</v>
      </c>
      <c r="J820">
        <v>1.75</v>
      </c>
      <c r="K820">
        <v>-52.054794520547944</v>
      </c>
      <c r="L820">
        <v>20</v>
      </c>
      <c r="M820">
        <v>2.61</v>
      </c>
      <c r="N820">
        <v>9660</v>
      </c>
      <c r="O820">
        <v>35020</v>
      </c>
      <c r="P820">
        <v>7620</v>
      </c>
      <c r="Q820">
        <v>1400</v>
      </c>
      <c r="R820">
        <v>2920</v>
      </c>
      <c r="S820">
        <v>1380</v>
      </c>
      <c r="T820">
        <v>4.9000000000000004</v>
      </c>
      <c r="U820">
        <v>4.9000000000000004</v>
      </c>
      <c r="V820">
        <v>1.2</v>
      </c>
      <c r="W820">
        <v>3.65</v>
      </c>
      <c r="X820">
        <v>1.1499999999999999</v>
      </c>
      <c r="Y820">
        <v>80</v>
      </c>
      <c r="Z820">
        <v>1.5</v>
      </c>
      <c r="AA820">
        <v>40</v>
      </c>
      <c r="AB820" s="6">
        <v>46147.586504629631</v>
      </c>
      <c r="AC820" s="6">
        <v>46147.584768518522</v>
      </c>
    </row>
    <row r="821" spans="1:29" x14ac:dyDescent="0.25">
      <c r="A821" t="s">
        <v>9</v>
      </c>
      <c r="B821" s="5">
        <v>46149</v>
      </c>
      <c r="C821" t="s">
        <v>54</v>
      </c>
      <c r="D821" t="s">
        <v>880</v>
      </c>
      <c r="E821">
        <v>227464709</v>
      </c>
      <c r="F821" t="s">
        <v>763</v>
      </c>
      <c r="G821" t="s">
        <v>764</v>
      </c>
      <c r="H821">
        <v>70700</v>
      </c>
      <c r="I821" t="s">
        <v>58</v>
      </c>
      <c r="J821">
        <v>6601.35</v>
      </c>
      <c r="K821">
        <v>0</v>
      </c>
      <c r="L821">
        <v>0</v>
      </c>
      <c r="M821">
        <v>0</v>
      </c>
      <c r="N821">
        <v>0</v>
      </c>
      <c r="O821">
        <v>400</v>
      </c>
      <c r="P821">
        <v>400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6601.35</v>
      </c>
      <c r="X821">
        <v>5427.05</v>
      </c>
      <c r="Y821">
        <v>300</v>
      </c>
      <c r="Z821">
        <v>7277.9</v>
      </c>
      <c r="AA821">
        <v>300</v>
      </c>
      <c r="AB821" s="6">
        <v>46147.586354166669</v>
      </c>
      <c r="AC821" s="6">
        <v>25569.229166666668</v>
      </c>
    </row>
    <row r="822" spans="1:29" x14ac:dyDescent="0.25">
      <c r="A822" t="s">
        <v>9</v>
      </c>
      <c r="B822" s="5">
        <v>46149</v>
      </c>
      <c r="C822" t="s">
        <v>54</v>
      </c>
      <c r="D822" t="s">
        <v>881</v>
      </c>
      <c r="E822">
        <v>227518725</v>
      </c>
      <c r="F822" t="s">
        <v>763</v>
      </c>
      <c r="G822" t="s">
        <v>764</v>
      </c>
      <c r="H822">
        <v>70700</v>
      </c>
      <c r="I822" t="s">
        <v>60</v>
      </c>
      <c r="J822">
        <v>1.7</v>
      </c>
      <c r="K822">
        <v>-54.666666666666657</v>
      </c>
      <c r="L822">
        <v>20</v>
      </c>
      <c r="M822">
        <v>2.33</v>
      </c>
      <c r="N822">
        <v>8520</v>
      </c>
      <c r="O822">
        <v>30920</v>
      </c>
      <c r="P822">
        <v>6660</v>
      </c>
      <c r="Q822">
        <v>3540</v>
      </c>
      <c r="R822">
        <v>3660</v>
      </c>
      <c r="S822">
        <v>2740</v>
      </c>
      <c r="T822">
        <v>2.95</v>
      </c>
      <c r="U822">
        <v>3.25</v>
      </c>
      <c r="V822">
        <v>1.25</v>
      </c>
      <c r="W822">
        <v>3.75</v>
      </c>
      <c r="X822">
        <v>1.1000000000000001</v>
      </c>
      <c r="Y822">
        <v>20</v>
      </c>
      <c r="Z822">
        <v>1.65</v>
      </c>
      <c r="AA822">
        <v>40</v>
      </c>
      <c r="AB822" s="6">
        <v>46147.586504629631</v>
      </c>
      <c r="AC822" s="6">
        <v>46147.584988425922</v>
      </c>
    </row>
    <row r="823" spans="1:29" x14ac:dyDescent="0.25">
      <c r="A823" t="s">
        <v>9</v>
      </c>
      <c r="B823" s="5">
        <v>46149</v>
      </c>
      <c r="C823" t="s">
        <v>54</v>
      </c>
      <c r="D823" t="s">
        <v>882</v>
      </c>
      <c r="E823">
        <v>227546373</v>
      </c>
      <c r="F823" t="s">
        <v>763</v>
      </c>
      <c r="G823" t="s">
        <v>764</v>
      </c>
      <c r="H823">
        <v>70800</v>
      </c>
      <c r="I823" t="s">
        <v>58</v>
      </c>
      <c r="J823">
        <v>6501.4</v>
      </c>
      <c r="K823">
        <v>0</v>
      </c>
      <c r="L823">
        <v>0</v>
      </c>
      <c r="M823">
        <v>0</v>
      </c>
      <c r="N823">
        <v>0</v>
      </c>
      <c r="O823">
        <v>400</v>
      </c>
      <c r="P823">
        <v>400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6501.4</v>
      </c>
      <c r="X823">
        <v>5329.8</v>
      </c>
      <c r="Y823">
        <v>300</v>
      </c>
      <c r="Z823">
        <v>7178.5</v>
      </c>
      <c r="AA823">
        <v>300</v>
      </c>
      <c r="AB823" s="6">
        <v>46147.586365740739</v>
      </c>
      <c r="AC823" s="6">
        <v>25569.229166666668</v>
      </c>
    </row>
    <row r="824" spans="1:29" x14ac:dyDescent="0.25">
      <c r="A824" t="s">
        <v>9</v>
      </c>
      <c r="B824" s="5">
        <v>46149</v>
      </c>
      <c r="C824" t="s">
        <v>54</v>
      </c>
      <c r="D824" t="s">
        <v>883</v>
      </c>
      <c r="E824">
        <v>227453701</v>
      </c>
      <c r="F824" t="s">
        <v>763</v>
      </c>
      <c r="G824" t="s">
        <v>764</v>
      </c>
      <c r="H824">
        <v>70800</v>
      </c>
      <c r="I824" t="s">
        <v>60</v>
      </c>
      <c r="J824">
        <v>2.0499999999999998</v>
      </c>
      <c r="K824">
        <v>-44.594594594594604</v>
      </c>
      <c r="L824">
        <v>20</v>
      </c>
      <c r="M824">
        <v>2.78</v>
      </c>
      <c r="N824">
        <v>2580</v>
      </c>
      <c r="O824">
        <v>27540</v>
      </c>
      <c r="P824">
        <v>6360</v>
      </c>
      <c r="Q824">
        <v>620</v>
      </c>
      <c r="R824">
        <v>920</v>
      </c>
      <c r="S824">
        <v>620</v>
      </c>
      <c r="T824">
        <v>3.7</v>
      </c>
      <c r="U824">
        <v>3.7</v>
      </c>
      <c r="V824">
        <v>1.65</v>
      </c>
      <c r="W824">
        <v>3.7</v>
      </c>
      <c r="X824">
        <v>1.1499999999999999</v>
      </c>
      <c r="Y824">
        <v>300</v>
      </c>
      <c r="Z824">
        <v>1.65</v>
      </c>
      <c r="AA824">
        <v>120</v>
      </c>
      <c r="AB824" s="6">
        <v>46147.586504629631</v>
      </c>
      <c r="AC824" s="6">
        <v>46147.556655092594</v>
      </c>
    </row>
    <row r="825" spans="1:29" x14ac:dyDescent="0.25">
      <c r="A825" t="s">
        <v>9</v>
      </c>
      <c r="B825" s="5">
        <v>46149</v>
      </c>
      <c r="C825" t="s">
        <v>54</v>
      </c>
      <c r="D825" t="s">
        <v>884</v>
      </c>
      <c r="E825">
        <v>227481861</v>
      </c>
      <c r="F825" t="s">
        <v>763</v>
      </c>
      <c r="G825" t="s">
        <v>764</v>
      </c>
      <c r="H825">
        <v>70900</v>
      </c>
      <c r="I825" t="s">
        <v>58</v>
      </c>
      <c r="J825">
        <v>6401.45</v>
      </c>
      <c r="K825">
        <v>0</v>
      </c>
      <c r="L825">
        <v>0</v>
      </c>
      <c r="M825">
        <v>0</v>
      </c>
      <c r="N825">
        <v>0</v>
      </c>
      <c r="O825">
        <v>600</v>
      </c>
      <c r="P825">
        <v>600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6401.45</v>
      </c>
      <c r="X825">
        <v>5233.1499999999996</v>
      </c>
      <c r="Y825">
        <v>500</v>
      </c>
      <c r="Z825">
        <v>7085.25</v>
      </c>
      <c r="AA825">
        <v>500</v>
      </c>
      <c r="AB825" s="6">
        <v>46147.586365740739</v>
      </c>
      <c r="AC825" s="6">
        <v>25569.229166666668</v>
      </c>
    </row>
    <row r="826" spans="1:29" x14ac:dyDescent="0.25">
      <c r="A826" t="s">
        <v>9</v>
      </c>
      <c r="B826" s="5">
        <v>46149</v>
      </c>
      <c r="C826" t="s">
        <v>54</v>
      </c>
      <c r="D826" t="s">
        <v>885</v>
      </c>
      <c r="E826">
        <v>227537669</v>
      </c>
      <c r="F826" t="s">
        <v>763</v>
      </c>
      <c r="G826" t="s">
        <v>764</v>
      </c>
      <c r="H826">
        <v>70900</v>
      </c>
      <c r="I826" t="s">
        <v>60</v>
      </c>
      <c r="J826">
        <v>1.55</v>
      </c>
      <c r="K826">
        <v>-57.534246575342458</v>
      </c>
      <c r="L826">
        <v>40</v>
      </c>
      <c r="M826">
        <v>2.61</v>
      </c>
      <c r="N826">
        <v>13740</v>
      </c>
      <c r="O826">
        <v>35940</v>
      </c>
      <c r="P826">
        <v>8080</v>
      </c>
      <c r="Q826">
        <v>2300</v>
      </c>
      <c r="R826">
        <v>3200</v>
      </c>
      <c r="S826">
        <v>1580</v>
      </c>
      <c r="T826">
        <v>3.55</v>
      </c>
      <c r="U826">
        <v>3.55</v>
      </c>
      <c r="V826">
        <v>1.2</v>
      </c>
      <c r="W826">
        <v>3.65</v>
      </c>
      <c r="X826">
        <v>1.25</v>
      </c>
      <c r="Y826">
        <v>60</v>
      </c>
      <c r="Z826">
        <v>1.55</v>
      </c>
      <c r="AA826">
        <v>80</v>
      </c>
      <c r="AB826" s="6">
        <v>46147.586527777778</v>
      </c>
      <c r="AC826" s="6">
        <v>46147.585717592592</v>
      </c>
    </row>
    <row r="827" spans="1:29" x14ac:dyDescent="0.25">
      <c r="A827" t="s">
        <v>9</v>
      </c>
      <c r="B827" s="5">
        <v>46149</v>
      </c>
      <c r="C827" t="s">
        <v>54</v>
      </c>
      <c r="D827" t="s">
        <v>886</v>
      </c>
      <c r="E827">
        <v>227631109</v>
      </c>
      <c r="F827" t="s">
        <v>763</v>
      </c>
      <c r="G827" t="s">
        <v>764</v>
      </c>
      <c r="H827">
        <v>71000</v>
      </c>
      <c r="I827" t="s">
        <v>58</v>
      </c>
      <c r="J827">
        <v>6301.5</v>
      </c>
      <c r="K827">
        <v>0</v>
      </c>
      <c r="L827">
        <v>0</v>
      </c>
      <c r="M827">
        <v>0</v>
      </c>
      <c r="N827">
        <v>0</v>
      </c>
      <c r="O827">
        <v>960</v>
      </c>
      <c r="P827">
        <v>960</v>
      </c>
      <c r="Q827">
        <v>660</v>
      </c>
      <c r="R827">
        <v>660</v>
      </c>
      <c r="S827">
        <v>660</v>
      </c>
      <c r="T827">
        <v>0</v>
      </c>
      <c r="U827">
        <v>6227.15</v>
      </c>
      <c r="V827">
        <v>5625</v>
      </c>
      <c r="W827">
        <v>6301.5</v>
      </c>
      <c r="X827">
        <v>5589.05</v>
      </c>
      <c r="Y827">
        <v>500</v>
      </c>
      <c r="Z827">
        <v>6744.25</v>
      </c>
      <c r="AA827">
        <v>500</v>
      </c>
      <c r="AB827" s="6">
        <v>46147.586527777778</v>
      </c>
      <c r="AC827" s="6">
        <v>46142.626875000002</v>
      </c>
    </row>
    <row r="828" spans="1:29" x14ac:dyDescent="0.25">
      <c r="A828" t="s">
        <v>9</v>
      </c>
      <c r="B828" s="5">
        <v>46149</v>
      </c>
      <c r="C828" t="s">
        <v>54</v>
      </c>
      <c r="D828" t="s">
        <v>887</v>
      </c>
      <c r="E828">
        <v>227425797</v>
      </c>
      <c r="F828" t="s">
        <v>763</v>
      </c>
      <c r="G828" t="s">
        <v>764</v>
      </c>
      <c r="H828">
        <v>71000</v>
      </c>
      <c r="I828" t="s">
        <v>60</v>
      </c>
      <c r="J828">
        <v>1.5</v>
      </c>
      <c r="K828">
        <v>-61.038961038961041</v>
      </c>
      <c r="L828">
        <v>80</v>
      </c>
      <c r="M828">
        <v>2.5299999999999998</v>
      </c>
      <c r="N828">
        <v>1027440</v>
      </c>
      <c r="O828">
        <v>64800</v>
      </c>
      <c r="P828">
        <v>110480</v>
      </c>
      <c r="Q828">
        <v>346240</v>
      </c>
      <c r="R828">
        <v>382260</v>
      </c>
      <c r="S828">
        <v>341560</v>
      </c>
      <c r="T828">
        <v>3.4</v>
      </c>
      <c r="U828">
        <v>3.6</v>
      </c>
      <c r="V828">
        <v>1.5</v>
      </c>
      <c r="W828">
        <v>3.85</v>
      </c>
      <c r="X828">
        <v>1.5</v>
      </c>
      <c r="Y828">
        <v>1520</v>
      </c>
      <c r="Z828">
        <v>1.55</v>
      </c>
      <c r="AA828">
        <v>3040</v>
      </c>
      <c r="AB828" s="6">
        <v>46147.586504629631</v>
      </c>
      <c r="AC828" s="6">
        <v>46147.586412037039</v>
      </c>
    </row>
    <row r="829" spans="1:29" x14ac:dyDescent="0.25">
      <c r="A829" t="s">
        <v>9</v>
      </c>
      <c r="B829" s="5">
        <v>46149</v>
      </c>
      <c r="C829" t="s">
        <v>54</v>
      </c>
      <c r="D829" t="s">
        <v>888</v>
      </c>
      <c r="E829">
        <v>227451909</v>
      </c>
      <c r="F829" t="s">
        <v>763</v>
      </c>
      <c r="G829" t="s">
        <v>764</v>
      </c>
      <c r="H829">
        <v>71100</v>
      </c>
      <c r="I829" t="s">
        <v>58</v>
      </c>
      <c r="J829">
        <v>6201.55</v>
      </c>
      <c r="K829">
        <v>0</v>
      </c>
      <c r="L829">
        <v>0</v>
      </c>
      <c r="M829">
        <v>0</v>
      </c>
      <c r="N829">
        <v>0</v>
      </c>
      <c r="O829">
        <v>600</v>
      </c>
      <c r="P829">
        <v>600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6201.55</v>
      </c>
      <c r="X829">
        <v>5033.8</v>
      </c>
      <c r="Y829">
        <v>500</v>
      </c>
      <c r="Z829">
        <v>6885.15</v>
      </c>
      <c r="AA829">
        <v>500</v>
      </c>
      <c r="AB829" s="6">
        <v>46147.586365740739</v>
      </c>
      <c r="AC829" s="6">
        <v>25569.229166666668</v>
      </c>
    </row>
    <row r="830" spans="1:29" x14ac:dyDescent="0.25">
      <c r="A830" t="s">
        <v>9</v>
      </c>
      <c r="B830" s="5">
        <v>46149</v>
      </c>
      <c r="C830" t="s">
        <v>54</v>
      </c>
      <c r="D830" t="s">
        <v>889</v>
      </c>
      <c r="E830">
        <v>227622917</v>
      </c>
      <c r="F830" t="s">
        <v>763</v>
      </c>
      <c r="G830" t="s">
        <v>764</v>
      </c>
      <c r="H830">
        <v>71100</v>
      </c>
      <c r="I830" t="s">
        <v>60</v>
      </c>
      <c r="J830">
        <v>1.6</v>
      </c>
      <c r="K830">
        <v>-56.756756756756751</v>
      </c>
      <c r="L830">
        <v>20</v>
      </c>
      <c r="M830">
        <v>2.7</v>
      </c>
      <c r="N830">
        <v>20380</v>
      </c>
      <c r="O830">
        <v>49940</v>
      </c>
      <c r="P830">
        <v>9220</v>
      </c>
      <c r="Q830">
        <v>1940</v>
      </c>
      <c r="R830">
        <v>8400</v>
      </c>
      <c r="S830">
        <v>1940</v>
      </c>
      <c r="T830">
        <v>3.6</v>
      </c>
      <c r="U830">
        <v>3.65</v>
      </c>
      <c r="V830">
        <v>1.5</v>
      </c>
      <c r="W830">
        <v>3.7</v>
      </c>
      <c r="X830">
        <v>1.5</v>
      </c>
      <c r="Y830">
        <v>180</v>
      </c>
      <c r="Z830">
        <v>1.6</v>
      </c>
      <c r="AA830">
        <v>80</v>
      </c>
      <c r="AB830" s="6">
        <v>46147.586504629631</v>
      </c>
      <c r="AC830" s="6">
        <v>46147.586226851854</v>
      </c>
    </row>
    <row r="831" spans="1:29" x14ac:dyDescent="0.25">
      <c r="A831" t="s">
        <v>9</v>
      </c>
      <c r="B831" s="5">
        <v>46149</v>
      </c>
      <c r="C831" t="s">
        <v>54</v>
      </c>
      <c r="D831" t="s">
        <v>890</v>
      </c>
      <c r="E831">
        <v>227385605</v>
      </c>
      <c r="F831" t="s">
        <v>763</v>
      </c>
      <c r="G831" t="s">
        <v>764</v>
      </c>
      <c r="H831">
        <v>71200</v>
      </c>
      <c r="I831" t="s">
        <v>58</v>
      </c>
      <c r="J831">
        <v>6101.6</v>
      </c>
      <c r="K831">
        <v>0</v>
      </c>
      <c r="L831">
        <v>0</v>
      </c>
      <c r="M831">
        <v>0</v>
      </c>
      <c r="N831">
        <v>0</v>
      </c>
      <c r="O831">
        <v>600</v>
      </c>
      <c r="P831">
        <v>600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6101.6</v>
      </c>
      <c r="X831">
        <v>4935.3500000000004</v>
      </c>
      <c r="Y831">
        <v>500</v>
      </c>
      <c r="Z831">
        <v>6784.9</v>
      </c>
      <c r="AA831">
        <v>500</v>
      </c>
      <c r="AB831" s="6">
        <v>46147.586365740739</v>
      </c>
      <c r="AC831" s="6">
        <v>45289</v>
      </c>
    </row>
    <row r="832" spans="1:29" x14ac:dyDescent="0.25">
      <c r="A832" t="s">
        <v>9</v>
      </c>
      <c r="B832" s="5">
        <v>46149</v>
      </c>
      <c r="C832" t="s">
        <v>54</v>
      </c>
      <c r="D832" t="s">
        <v>891</v>
      </c>
      <c r="E832">
        <v>227443205</v>
      </c>
      <c r="F832" t="s">
        <v>763</v>
      </c>
      <c r="G832" t="s">
        <v>764</v>
      </c>
      <c r="H832">
        <v>71200</v>
      </c>
      <c r="I832" t="s">
        <v>60</v>
      </c>
      <c r="J832">
        <v>1.65</v>
      </c>
      <c r="K832">
        <v>-57.692307692307693</v>
      </c>
      <c r="L832">
        <v>40</v>
      </c>
      <c r="M832">
        <v>2.83</v>
      </c>
      <c r="N832">
        <v>16700</v>
      </c>
      <c r="O832">
        <v>49300</v>
      </c>
      <c r="P832">
        <v>12420</v>
      </c>
      <c r="Q832">
        <v>3460</v>
      </c>
      <c r="R832">
        <v>5360</v>
      </c>
      <c r="S832">
        <v>2080</v>
      </c>
      <c r="T832">
        <v>3.65</v>
      </c>
      <c r="U832">
        <v>3.65</v>
      </c>
      <c r="V832">
        <v>1.6</v>
      </c>
      <c r="W832">
        <v>3.9</v>
      </c>
      <c r="X832">
        <v>1.6</v>
      </c>
      <c r="Y832">
        <v>20</v>
      </c>
      <c r="Z832">
        <v>1.65</v>
      </c>
      <c r="AA832">
        <v>4320</v>
      </c>
      <c r="AB832" s="6">
        <v>46147.586504629631</v>
      </c>
      <c r="AC832" s="6">
        <v>46147.585405092592</v>
      </c>
    </row>
    <row r="833" spans="1:29" x14ac:dyDescent="0.25">
      <c r="A833" t="s">
        <v>9</v>
      </c>
      <c r="B833" s="5">
        <v>46149</v>
      </c>
      <c r="C833" t="s">
        <v>54</v>
      </c>
      <c r="D833" t="s">
        <v>892</v>
      </c>
      <c r="E833">
        <v>227587589</v>
      </c>
      <c r="F833" t="s">
        <v>763</v>
      </c>
      <c r="G833" t="s">
        <v>764</v>
      </c>
      <c r="H833">
        <v>71300</v>
      </c>
      <c r="I833" t="s">
        <v>58</v>
      </c>
      <c r="J833">
        <v>6001.65</v>
      </c>
      <c r="K833">
        <v>0</v>
      </c>
      <c r="L833">
        <v>0</v>
      </c>
      <c r="M833">
        <v>0</v>
      </c>
      <c r="N833">
        <v>0</v>
      </c>
      <c r="O833">
        <v>600</v>
      </c>
      <c r="P833">
        <v>600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6001.65</v>
      </c>
      <c r="X833">
        <v>4835.7</v>
      </c>
      <c r="Y833">
        <v>500</v>
      </c>
      <c r="Z833">
        <v>6688.8</v>
      </c>
      <c r="AA833">
        <v>500</v>
      </c>
      <c r="AB833" s="6">
        <v>46147.586354166669</v>
      </c>
      <c r="AC833" s="6">
        <v>25569.229166666668</v>
      </c>
    </row>
    <row r="834" spans="1:29" x14ac:dyDescent="0.25">
      <c r="A834" t="s">
        <v>9</v>
      </c>
      <c r="B834" s="5">
        <v>46149</v>
      </c>
      <c r="C834" t="s">
        <v>54</v>
      </c>
      <c r="D834" t="s">
        <v>893</v>
      </c>
      <c r="E834">
        <v>227376901</v>
      </c>
      <c r="F834" t="s">
        <v>763</v>
      </c>
      <c r="G834" t="s">
        <v>764</v>
      </c>
      <c r="H834">
        <v>71300</v>
      </c>
      <c r="I834" t="s">
        <v>60</v>
      </c>
      <c r="J834">
        <v>1.6</v>
      </c>
      <c r="K834">
        <v>-60.975609756097555</v>
      </c>
      <c r="L834">
        <v>40</v>
      </c>
      <c r="M834">
        <v>2.54</v>
      </c>
      <c r="N834">
        <v>6420</v>
      </c>
      <c r="O834">
        <v>35740</v>
      </c>
      <c r="P834">
        <v>6740</v>
      </c>
      <c r="Q834">
        <v>1240</v>
      </c>
      <c r="R834">
        <v>1500</v>
      </c>
      <c r="S834">
        <v>860</v>
      </c>
      <c r="T834">
        <v>3.5</v>
      </c>
      <c r="U834">
        <v>3.5</v>
      </c>
      <c r="V834">
        <v>1.45</v>
      </c>
      <c r="W834">
        <v>4.0999999999999996</v>
      </c>
      <c r="X834">
        <v>1.5</v>
      </c>
      <c r="Y834">
        <v>40</v>
      </c>
      <c r="Z834">
        <v>1.65</v>
      </c>
      <c r="AA834">
        <v>120</v>
      </c>
      <c r="AB834" s="6">
        <v>46147.586504629631</v>
      </c>
      <c r="AC834" s="6">
        <v>46147.574212962965</v>
      </c>
    </row>
    <row r="835" spans="1:29" x14ac:dyDescent="0.25">
      <c r="A835" t="s">
        <v>9</v>
      </c>
      <c r="B835" s="5">
        <v>46149</v>
      </c>
      <c r="C835" t="s">
        <v>54</v>
      </c>
      <c r="D835" t="s">
        <v>894</v>
      </c>
      <c r="E835">
        <v>227400965</v>
      </c>
      <c r="F835" t="s">
        <v>763</v>
      </c>
      <c r="G835" t="s">
        <v>764</v>
      </c>
      <c r="H835">
        <v>71400</v>
      </c>
      <c r="I835" t="s">
        <v>58</v>
      </c>
      <c r="J835">
        <v>5901.7</v>
      </c>
      <c r="K835">
        <v>0</v>
      </c>
      <c r="L835">
        <v>0</v>
      </c>
      <c r="M835">
        <v>0</v>
      </c>
      <c r="N835">
        <v>0</v>
      </c>
      <c r="O835">
        <v>600</v>
      </c>
      <c r="P835">
        <v>600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5901.7</v>
      </c>
      <c r="X835">
        <v>4736</v>
      </c>
      <c r="Y835">
        <v>500</v>
      </c>
      <c r="Z835">
        <v>6585.9</v>
      </c>
      <c r="AA835">
        <v>500</v>
      </c>
      <c r="AB835" s="6">
        <v>46147.586365740739</v>
      </c>
      <c r="AC835" s="6">
        <v>25569.229166666668</v>
      </c>
    </row>
    <row r="836" spans="1:29" x14ac:dyDescent="0.25">
      <c r="A836" t="s">
        <v>9</v>
      </c>
      <c r="B836" s="5">
        <v>46149</v>
      </c>
      <c r="C836" t="s">
        <v>54</v>
      </c>
      <c r="D836" t="s">
        <v>895</v>
      </c>
      <c r="E836">
        <v>227459589</v>
      </c>
      <c r="F836" t="s">
        <v>763</v>
      </c>
      <c r="G836" t="s">
        <v>764</v>
      </c>
      <c r="H836">
        <v>71400</v>
      </c>
      <c r="I836" t="s">
        <v>60</v>
      </c>
      <c r="J836">
        <v>1.65</v>
      </c>
      <c r="K836">
        <v>-58.75</v>
      </c>
      <c r="L836">
        <v>100</v>
      </c>
      <c r="M836">
        <v>2.82</v>
      </c>
      <c r="N836">
        <v>20080</v>
      </c>
      <c r="O836">
        <v>47080</v>
      </c>
      <c r="P836">
        <v>6980</v>
      </c>
      <c r="Q836">
        <v>5080</v>
      </c>
      <c r="R836">
        <v>5840</v>
      </c>
      <c r="S836">
        <v>3040</v>
      </c>
      <c r="T836">
        <v>3.7</v>
      </c>
      <c r="U836">
        <v>3.75</v>
      </c>
      <c r="V836">
        <v>1.6</v>
      </c>
      <c r="W836">
        <v>4</v>
      </c>
      <c r="X836">
        <v>1.5</v>
      </c>
      <c r="Y836">
        <v>40</v>
      </c>
      <c r="Z836">
        <v>1.8</v>
      </c>
      <c r="AA836">
        <v>80</v>
      </c>
      <c r="AB836" s="6">
        <v>46147.586504629631</v>
      </c>
      <c r="AC836" s="6">
        <v>46147.580127314817</v>
      </c>
    </row>
    <row r="837" spans="1:29" x14ac:dyDescent="0.25">
      <c r="A837" t="s">
        <v>9</v>
      </c>
      <c r="B837" s="5">
        <v>46149</v>
      </c>
      <c r="C837" t="s">
        <v>54</v>
      </c>
      <c r="D837" t="s">
        <v>896</v>
      </c>
      <c r="E837">
        <v>227603973</v>
      </c>
      <c r="F837" t="s">
        <v>763</v>
      </c>
      <c r="G837" t="s">
        <v>764</v>
      </c>
      <c r="H837">
        <v>71500</v>
      </c>
      <c r="I837" t="s">
        <v>58</v>
      </c>
      <c r="J837">
        <v>5801.75</v>
      </c>
      <c r="K837">
        <v>0</v>
      </c>
      <c r="L837">
        <v>0</v>
      </c>
      <c r="M837">
        <v>0</v>
      </c>
      <c r="N837">
        <v>0</v>
      </c>
      <c r="O837">
        <v>800</v>
      </c>
      <c r="P837">
        <v>800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5801.75</v>
      </c>
      <c r="X837">
        <v>4635.2</v>
      </c>
      <c r="Y837">
        <v>500</v>
      </c>
      <c r="Z837">
        <v>6486.65</v>
      </c>
      <c r="AA837">
        <v>500</v>
      </c>
      <c r="AB837" s="6">
        <v>46147.586365740739</v>
      </c>
      <c r="AC837" s="6">
        <v>25569.229166666668</v>
      </c>
    </row>
    <row r="838" spans="1:29" x14ac:dyDescent="0.25">
      <c r="A838" t="s">
        <v>9</v>
      </c>
      <c r="B838" s="5">
        <v>46149</v>
      </c>
      <c r="C838" t="s">
        <v>54</v>
      </c>
      <c r="D838" t="s">
        <v>897</v>
      </c>
      <c r="E838">
        <v>227392773</v>
      </c>
      <c r="F838" t="s">
        <v>763</v>
      </c>
      <c r="G838" t="s">
        <v>764</v>
      </c>
      <c r="H838">
        <v>71500</v>
      </c>
      <c r="I838" t="s">
        <v>60</v>
      </c>
      <c r="J838">
        <v>1.45</v>
      </c>
      <c r="K838">
        <v>-62.337662337662344</v>
      </c>
      <c r="L838">
        <v>100</v>
      </c>
      <c r="M838">
        <v>2.5</v>
      </c>
      <c r="N838">
        <v>361880</v>
      </c>
      <c r="O838">
        <v>73920</v>
      </c>
      <c r="P838">
        <v>18460</v>
      </c>
      <c r="Q838">
        <v>58040</v>
      </c>
      <c r="R838">
        <v>66640</v>
      </c>
      <c r="S838">
        <v>56860</v>
      </c>
      <c r="T838">
        <v>3.3</v>
      </c>
      <c r="U838">
        <v>3.55</v>
      </c>
      <c r="V838">
        <v>1.45</v>
      </c>
      <c r="W838">
        <v>3.85</v>
      </c>
      <c r="X838">
        <v>1.45</v>
      </c>
      <c r="Y838">
        <v>1520</v>
      </c>
      <c r="Z838">
        <v>1.55</v>
      </c>
      <c r="AA838">
        <v>3720</v>
      </c>
      <c r="AB838" s="6">
        <v>46147.586527777778</v>
      </c>
      <c r="AC838" s="6">
        <v>46147.586412037039</v>
      </c>
    </row>
    <row r="839" spans="1:29" x14ac:dyDescent="0.25">
      <c r="A839" t="s">
        <v>9</v>
      </c>
      <c r="B839" s="5">
        <v>46149</v>
      </c>
      <c r="C839" t="s">
        <v>54</v>
      </c>
      <c r="D839" t="s">
        <v>898</v>
      </c>
      <c r="E839">
        <v>227419653</v>
      </c>
      <c r="F839" t="s">
        <v>763</v>
      </c>
      <c r="G839" t="s">
        <v>764</v>
      </c>
      <c r="H839">
        <v>71600</v>
      </c>
      <c r="I839" t="s">
        <v>58</v>
      </c>
      <c r="J839">
        <v>5701.8</v>
      </c>
      <c r="K839">
        <v>0</v>
      </c>
      <c r="L839">
        <v>0</v>
      </c>
      <c r="M839">
        <v>0</v>
      </c>
      <c r="N839">
        <v>0</v>
      </c>
      <c r="O839">
        <v>600</v>
      </c>
      <c r="P839">
        <v>600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5701.8</v>
      </c>
      <c r="X839">
        <v>4535.3500000000004</v>
      </c>
      <c r="Y839">
        <v>500</v>
      </c>
      <c r="Z839">
        <v>6386.5</v>
      </c>
      <c r="AA839">
        <v>500</v>
      </c>
      <c r="AB839" s="6">
        <v>46147.586365740739</v>
      </c>
      <c r="AC839" s="6">
        <v>45289</v>
      </c>
    </row>
    <row r="840" spans="1:29" x14ac:dyDescent="0.25">
      <c r="A840" t="s">
        <v>9</v>
      </c>
      <c r="B840" s="5">
        <v>46149</v>
      </c>
      <c r="C840" t="s">
        <v>54</v>
      </c>
      <c r="D840" t="s">
        <v>899</v>
      </c>
      <c r="E840">
        <v>227595525</v>
      </c>
      <c r="F840" t="s">
        <v>763</v>
      </c>
      <c r="G840" t="s">
        <v>764</v>
      </c>
      <c r="H840">
        <v>71600</v>
      </c>
      <c r="I840" t="s">
        <v>60</v>
      </c>
      <c r="J840">
        <v>1.75</v>
      </c>
      <c r="K840">
        <v>-52.702702702702709</v>
      </c>
      <c r="L840">
        <v>20</v>
      </c>
      <c r="M840">
        <v>2.82</v>
      </c>
      <c r="N840">
        <v>5680</v>
      </c>
      <c r="O840">
        <v>40400</v>
      </c>
      <c r="P840">
        <v>5960</v>
      </c>
      <c r="Q840">
        <v>2460</v>
      </c>
      <c r="R840">
        <v>2600</v>
      </c>
      <c r="S840">
        <v>940</v>
      </c>
      <c r="T840">
        <v>3.6</v>
      </c>
      <c r="U840">
        <v>3.6</v>
      </c>
      <c r="V840">
        <v>1.65</v>
      </c>
      <c r="W840">
        <v>3.7</v>
      </c>
      <c r="X840">
        <v>1.65</v>
      </c>
      <c r="Y840">
        <v>40</v>
      </c>
      <c r="Z840">
        <v>1.9</v>
      </c>
      <c r="AA840">
        <v>80</v>
      </c>
      <c r="AB840" s="6">
        <v>46147.586527777778</v>
      </c>
      <c r="AC840" s="6">
        <v>46147.585405092592</v>
      </c>
    </row>
    <row r="841" spans="1:29" x14ac:dyDescent="0.25">
      <c r="A841" t="s">
        <v>9</v>
      </c>
      <c r="B841" s="5">
        <v>46149</v>
      </c>
      <c r="C841" t="s">
        <v>54</v>
      </c>
      <c r="D841" t="s">
        <v>900</v>
      </c>
      <c r="E841">
        <v>227618565</v>
      </c>
      <c r="F841" t="s">
        <v>763</v>
      </c>
      <c r="G841" t="s">
        <v>764</v>
      </c>
      <c r="H841">
        <v>71700</v>
      </c>
      <c r="I841" t="s">
        <v>58</v>
      </c>
      <c r="J841">
        <v>5601.85</v>
      </c>
      <c r="K841">
        <v>0</v>
      </c>
      <c r="L841">
        <v>0</v>
      </c>
      <c r="M841">
        <v>0</v>
      </c>
      <c r="N841">
        <v>0</v>
      </c>
      <c r="O841">
        <v>600</v>
      </c>
      <c r="P841">
        <v>600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5601.85</v>
      </c>
      <c r="X841">
        <v>4435.8999999999996</v>
      </c>
      <c r="Y841">
        <v>500</v>
      </c>
      <c r="Z841">
        <v>6286</v>
      </c>
      <c r="AA841">
        <v>500</v>
      </c>
      <c r="AB841" s="6">
        <v>46147.586365740739</v>
      </c>
      <c r="AC841" s="6">
        <v>25569.229166666668</v>
      </c>
    </row>
    <row r="842" spans="1:29" x14ac:dyDescent="0.25">
      <c r="A842" t="s">
        <v>9</v>
      </c>
      <c r="B842" s="5">
        <v>46149</v>
      </c>
      <c r="C842" t="s">
        <v>54</v>
      </c>
      <c r="D842" t="s">
        <v>901</v>
      </c>
      <c r="E842">
        <v>227410693</v>
      </c>
      <c r="F842" t="s">
        <v>763</v>
      </c>
      <c r="G842" t="s">
        <v>764</v>
      </c>
      <c r="H842">
        <v>71700</v>
      </c>
      <c r="I842" t="s">
        <v>60</v>
      </c>
      <c r="J842">
        <v>1.4</v>
      </c>
      <c r="K842">
        <v>-62.666666666666664</v>
      </c>
      <c r="L842">
        <v>20</v>
      </c>
      <c r="M842">
        <v>2.69</v>
      </c>
      <c r="N842">
        <v>7620</v>
      </c>
      <c r="O842">
        <v>43220</v>
      </c>
      <c r="P842">
        <v>4580</v>
      </c>
      <c r="Q842">
        <v>6220</v>
      </c>
      <c r="R842">
        <v>6880</v>
      </c>
      <c r="S842">
        <v>6120</v>
      </c>
      <c r="T842">
        <v>4</v>
      </c>
      <c r="U842">
        <v>4</v>
      </c>
      <c r="V842">
        <v>1.35</v>
      </c>
      <c r="W842">
        <v>3.75</v>
      </c>
      <c r="X842">
        <v>1.4</v>
      </c>
      <c r="Y842">
        <v>40</v>
      </c>
      <c r="Z842">
        <v>1.55</v>
      </c>
      <c r="AA842">
        <v>120</v>
      </c>
      <c r="AB842" s="6">
        <v>46147.586504629631</v>
      </c>
      <c r="AC842" s="6">
        <v>46147.579131944447</v>
      </c>
    </row>
    <row r="843" spans="1:29" x14ac:dyDescent="0.25">
      <c r="A843" t="s">
        <v>9</v>
      </c>
      <c r="B843" s="5">
        <v>46149</v>
      </c>
      <c r="C843" t="s">
        <v>54</v>
      </c>
      <c r="D843" t="s">
        <v>902</v>
      </c>
      <c r="E843">
        <v>227555589</v>
      </c>
      <c r="F843" t="s">
        <v>763</v>
      </c>
      <c r="G843" t="s">
        <v>764</v>
      </c>
      <c r="H843">
        <v>71800</v>
      </c>
      <c r="I843" t="s">
        <v>58</v>
      </c>
      <c r="J843">
        <v>5501.9</v>
      </c>
      <c r="K843">
        <v>0</v>
      </c>
      <c r="L843">
        <v>0</v>
      </c>
      <c r="M843">
        <v>0</v>
      </c>
      <c r="N843">
        <v>0</v>
      </c>
      <c r="O843">
        <v>600</v>
      </c>
      <c r="P843">
        <v>600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5501.9</v>
      </c>
      <c r="X843">
        <v>4335.5</v>
      </c>
      <c r="Y843">
        <v>500</v>
      </c>
      <c r="Z843">
        <v>6186.35</v>
      </c>
      <c r="AA843">
        <v>500</v>
      </c>
      <c r="AB843" s="6">
        <v>46147.586365740739</v>
      </c>
      <c r="AC843" s="6">
        <v>25569.229166666668</v>
      </c>
    </row>
    <row r="844" spans="1:29" x14ac:dyDescent="0.25">
      <c r="A844" t="s">
        <v>9</v>
      </c>
      <c r="B844" s="5">
        <v>46149</v>
      </c>
      <c r="C844" t="s">
        <v>54</v>
      </c>
      <c r="D844" t="s">
        <v>903</v>
      </c>
      <c r="E844">
        <v>227611653</v>
      </c>
      <c r="F844" t="s">
        <v>763</v>
      </c>
      <c r="G844" t="s">
        <v>764</v>
      </c>
      <c r="H844">
        <v>71800</v>
      </c>
      <c r="I844" t="s">
        <v>60</v>
      </c>
      <c r="J844">
        <v>1.55</v>
      </c>
      <c r="K844">
        <v>-61.728395061728399</v>
      </c>
      <c r="L844">
        <v>40</v>
      </c>
      <c r="M844">
        <v>2.56</v>
      </c>
      <c r="N844">
        <v>23240</v>
      </c>
      <c r="O844">
        <v>23040</v>
      </c>
      <c r="P844">
        <v>4000</v>
      </c>
      <c r="Q844">
        <v>7560</v>
      </c>
      <c r="R844">
        <v>7700</v>
      </c>
      <c r="S844">
        <v>6020</v>
      </c>
      <c r="T844">
        <v>3.5</v>
      </c>
      <c r="U844">
        <v>3.65</v>
      </c>
      <c r="V844">
        <v>1.35</v>
      </c>
      <c r="W844">
        <v>4.05</v>
      </c>
      <c r="X844">
        <v>1.4</v>
      </c>
      <c r="Y844">
        <v>40</v>
      </c>
      <c r="Z844">
        <v>1.6</v>
      </c>
      <c r="AA844">
        <v>40</v>
      </c>
      <c r="AB844" s="6">
        <v>46147.586527777778</v>
      </c>
      <c r="AC844" s="6">
        <v>46147.585405092592</v>
      </c>
    </row>
    <row r="845" spans="1:29" x14ac:dyDescent="0.25">
      <c r="A845" t="s">
        <v>9</v>
      </c>
      <c r="B845" s="5">
        <v>46149</v>
      </c>
      <c r="C845" t="s">
        <v>54</v>
      </c>
      <c r="D845" t="s">
        <v>904</v>
      </c>
      <c r="E845">
        <v>227633925</v>
      </c>
      <c r="F845" t="s">
        <v>763</v>
      </c>
      <c r="G845" t="s">
        <v>764</v>
      </c>
      <c r="H845">
        <v>71900</v>
      </c>
      <c r="I845" t="s">
        <v>58</v>
      </c>
      <c r="J845">
        <v>5401.95</v>
      </c>
      <c r="K845">
        <v>0</v>
      </c>
      <c r="L845">
        <v>0</v>
      </c>
      <c r="M845">
        <v>0</v>
      </c>
      <c r="N845">
        <v>0</v>
      </c>
      <c r="O845">
        <v>600</v>
      </c>
      <c r="P845">
        <v>600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5401.95</v>
      </c>
      <c r="X845">
        <v>4234.95</v>
      </c>
      <c r="Y845">
        <v>500</v>
      </c>
      <c r="Z845">
        <v>6086.9</v>
      </c>
      <c r="AA845">
        <v>500</v>
      </c>
      <c r="AB845" s="6">
        <v>46147.586365740739</v>
      </c>
      <c r="AC845" s="6">
        <v>25569.229166666668</v>
      </c>
    </row>
    <row r="846" spans="1:29" x14ac:dyDescent="0.25">
      <c r="A846" t="s">
        <v>9</v>
      </c>
      <c r="B846" s="5">
        <v>46149</v>
      </c>
      <c r="C846" t="s">
        <v>54</v>
      </c>
      <c r="D846" t="s">
        <v>905</v>
      </c>
      <c r="E846">
        <v>227428101</v>
      </c>
      <c r="F846" t="s">
        <v>763</v>
      </c>
      <c r="G846" t="s">
        <v>764</v>
      </c>
      <c r="H846">
        <v>71900</v>
      </c>
      <c r="I846" t="s">
        <v>60</v>
      </c>
      <c r="J846">
        <v>1.4</v>
      </c>
      <c r="K846">
        <v>-63.63636363636364</v>
      </c>
      <c r="L846">
        <v>40</v>
      </c>
      <c r="M846">
        <v>2.4900000000000002</v>
      </c>
      <c r="N846">
        <v>86120</v>
      </c>
      <c r="O846">
        <v>47280</v>
      </c>
      <c r="P846">
        <v>6380</v>
      </c>
      <c r="Q846">
        <v>18100</v>
      </c>
      <c r="R846">
        <v>25540</v>
      </c>
      <c r="S846">
        <v>3280</v>
      </c>
      <c r="T846">
        <v>3.55</v>
      </c>
      <c r="U846">
        <v>3.8</v>
      </c>
      <c r="V846">
        <v>1.4</v>
      </c>
      <c r="W846">
        <v>3.85</v>
      </c>
      <c r="X846">
        <v>1.4</v>
      </c>
      <c r="Y846">
        <v>980</v>
      </c>
      <c r="Z846">
        <v>1.75</v>
      </c>
      <c r="AA846">
        <v>20</v>
      </c>
      <c r="AB846" s="6">
        <v>46147.586527777778</v>
      </c>
      <c r="AC846" s="6">
        <v>46147.586226851854</v>
      </c>
    </row>
    <row r="847" spans="1:29" x14ac:dyDescent="0.25">
      <c r="A847" t="s">
        <v>9</v>
      </c>
      <c r="B847" s="5">
        <v>46149</v>
      </c>
      <c r="C847" t="s">
        <v>54</v>
      </c>
      <c r="D847" t="s">
        <v>906</v>
      </c>
      <c r="E847">
        <v>227526661</v>
      </c>
      <c r="F847" t="s">
        <v>763</v>
      </c>
      <c r="G847" t="s">
        <v>764</v>
      </c>
      <c r="H847">
        <v>72000</v>
      </c>
      <c r="I847" t="s">
        <v>58</v>
      </c>
      <c r="J847">
        <v>5302</v>
      </c>
      <c r="K847">
        <v>0</v>
      </c>
      <c r="L847">
        <v>0</v>
      </c>
      <c r="M847">
        <v>0</v>
      </c>
      <c r="N847">
        <v>0</v>
      </c>
      <c r="O847">
        <v>800</v>
      </c>
      <c r="P847">
        <v>800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5302</v>
      </c>
      <c r="X847">
        <v>4134.3999999999996</v>
      </c>
      <c r="Y847">
        <v>500</v>
      </c>
      <c r="Z847">
        <v>5984.7</v>
      </c>
      <c r="AA847">
        <v>500</v>
      </c>
      <c r="AB847" s="6">
        <v>46147.586365740739</v>
      </c>
      <c r="AC847" s="6">
        <v>25569.229166666668</v>
      </c>
    </row>
    <row r="848" spans="1:29" x14ac:dyDescent="0.25">
      <c r="A848" t="s">
        <v>9</v>
      </c>
      <c r="B848" s="5">
        <v>46149</v>
      </c>
      <c r="C848" t="s">
        <v>54</v>
      </c>
      <c r="D848" t="s">
        <v>907</v>
      </c>
      <c r="E848">
        <v>227582725</v>
      </c>
      <c r="F848" t="s">
        <v>763</v>
      </c>
      <c r="G848" t="s">
        <v>764</v>
      </c>
      <c r="H848">
        <v>72000</v>
      </c>
      <c r="I848" t="s">
        <v>60</v>
      </c>
      <c r="J848">
        <v>1.6</v>
      </c>
      <c r="K848">
        <v>-61.445783132530124</v>
      </c>
      <c r="L848">
        <v>100</v>
      </c>
      <c r="M848">
        <v>2.5499999999999998</v>
      </c>
      <c r="N848">
        <v>1544660</v>
      </c>
      <c r="O848">
        <v>133880</v>
      </c>
      <c r="P848">
        <v>76100</v>
      </c>
      <c r="Q848">
        <v>370880</v>
      </c>
      <c r="R848">
        <v>413880</v>
      </c>
      <c r="S848">
        <v>279240</v>
      </c>
      <c r="T848">
        <v>4.1500000000000004</v>
      </c>
      <c r="U848">
        <v>4.1500000000000004</v>
      </c>
      <c r="V848">
        <v>1.6</v>
      </c>
      <c r="W848">
        <v>4.1500000000000004</v>
      </c>
      <c r="X848">
        <v>1.6</v>
      </c>
      <c r="Y848">
        <v>3120</v>
      </c>
      <c r="Z848">
        <v>1.65</v>
      </c>
      <c r="AA848">
        <v>3640</v>
      </c>
      <c r="AB848" s="6">
        <v>46147.586504629631</v>
      </c>
      <c r="AC848" s="6">
        <v>46147.586412037039</v>
      </c>
    </row>
    <row r="849" spans="1:29" x14ac:dyDescent="0.25">
      <c r="A849" t="s">
        <v>9</v>
      </c>
      <c r="B849" s="5">
        <v>46149</v>
      </c>
      <c r="C849" t="s">
        <v>54</v>
      </c>
      <c r="D849" t="s">
        <v>908</v>
      </c>
      <c r="E849">
        <v>227463173</v>
      </c>
      <c r="F849" t="s">
        <v>763</v>
      </c>
      <c r="G849" t="s">
        <v>764</v>
      </c>
      <c r="H849">
        <v>72100</v>
      </c>
      <c r="I849" t="s">
        <v>58</v>
      </c>
      <c r="J849">
        <v>5202.05</v>
      </c>
      <c r="K849">
        <v>0</v>
      </c>
      <c r="L849">
        <v>0</v>
      </c>
      <c r="M849">
        <v>0</v>
      </c>
      <c r="N849">
        <v>0</v>
      </c>
      <c r="O849">
        <v>600</v>
      </c>
      <c r="P849">
        <v>600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5202.05</v>
      </c>
      <c r="X849">
        <v>4034.15</v>
      </c>
      <c r="Y849">
        <v>500</v>
      </c>
      <c r="Z849">
        <v>5885.3</v>
      </c>
      <c r="AA849">
        <v>500</v>
      </c>
      <c r="AB849" s="6">
        <v>46147.586365740739</v>
      </c>
      <c r="AC849" s="6">
        <v>25569.229166666668</v>
      </c>
    </row>
    <row r="850" spans="1:29" x14ac:dyDescent="0.25">
      <c r="A850" t="s">
        <v>9</v>
      </c>
      <c r="B850" s="5">
        <v>46149</v>
      </c>
      <c r="C850" t="s">
        <v>54</v>
      </c>
      <c r="D850" t="s">
        <v>909</v>
      </c>
      <c r="E850">
        <v>227516933</v>
      </c>
      <c r="F850" t="s">
        <v>763</v>
      </c>
      <c r="G850" t="s">
        <v>764</v>
      </c>
      <c r="H850">
        <v>72100</v>
      </c>
      <c r="I850" t="s">
        <v>60</v>
      </c>
      <c r="J850">
        <v>1.6</v>
      </c>
      <c r="K850">
        <v>-59.493670886075947</v>
      </c>
      <c r="L850">
        <v>20</v>
      </c>
      <c r="M850">
        <v>2.59</v>
      </c>
      <c r="N850">
        <v>38760</v>
      </c>
      <c r="O850">
        <v>54620</v>
      </c>
      <c r="P850">
        <v>7000</v>
      </c>
      <c r="Q850">
        <v>4080</v>
      </c>
      <c r="R850">
        <v>14520</v>
      </c>
      <c r="S850">
        <v>4080</v>
      </c>
      <c r="T850">
        <v>2.65</v>
      </c>
      <c r="U850">
        <v>3.6</v>
      </c>
      <c r="V850">
        <v>1.6</v>
      </c>
      <c r="W850">
        <v>3.95</v>
      </c>
      <c r="X850">
        <v>1.6</v>
      </c>
      <c r="Y850">
        <v>40</v>
      </c>
      <c r="Z850">
        <v>1.8</v>
      </c>
      <c r="AA850">
        <v>160</v>
      </c>
      <c r="AB850" s="6">
        <v>46147.586504629631</v>
      </c>
      <c r="AC850" s="6">
        <v>46147.585497685184</v>
      </c>
    </row>
    <row r="851" spans="1:29" x14ac:dyDescent="0.25">
      <c r="A851" t="s">
        <v>9</v>
      </c>
      <c r="B851" s="5">
        <v>46149</v>
      </c>
      <c r="C851" t="s">
        <v>54</v>
      </c>
      <c r="D851" t="s">
        <v>910</v>
      </c>
      <c r="E851">
        <v>227544837</v>
      </c>
      <c r="F851" t="s">
        <v>763</v>
      </c>
      <c r="G851" t="s">
        <v>764</v>
      </c>
      <c r="H851">
        <v>72200</v>
      </c>
      <c r="I851" t="s">
        <v>58</v>
      </c>
      <c r="J851">
        <v>5102.1499999999996</v>
      </c>
      <c r="K851">
        <v>0</v>
      </c>
      <c r="L851">
        <v>0</v>
      </c>
      <c r="M851">
        <v>0</v>
      </c>
      <c r="N851">
        <v>0</v>
      </c>
      <c r="O851">
        <v>600</v>
      </c>
      <c r="P851">
        <v>600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5102.1499999999996</v>
      </c>
      <c r="X851">
        <v>3931.05</v>
      </c>
      <c r="Y851">
        <v>500</v>
      </c>
      <c r="Z851">
        <v>5781.65</v>
      </c>
      <c r="AA851">
        <v>500</v>
      </c>
      <c r="AB851" s="6">
        <v>46147.586365740739</v>
      </c>
      <c r="AC851" s="6">
        <v>25569.229166666668</v>
      </c>
    </row>
    <row r="852" spans="1:29" x14ac:dyDescent="0.25">
      <c r="A852" t="s">
        <v>9</v>
      </c>
      <c r="B852" s="5">
        <v>46149</v>
      </c>
      <c r="C852" t="s">
        <v>54</v>
      </c>
      <c r="D852" t="s">
        <v>911</v>
      </c>
      <c r="E852">
        <v>227600389</v>
      </c>
      <c r="F852" t="s">
        <v>763</v>
      </c>
      <c r="G852" t="s">
        <v>764</v>
      </c>
      <c r="H852">
        <v>72200</v>
      </c>
      <c r="I852" t="s">
        <v>60</v>
      </c>
      <c r="J852">
        <v>1.6</v>
      </c>
      <c r="K852">
        <v>-60</v>
      </c>
      <c r="L852">
        <v>20</v>
      </c>
      <c r="M852">
        <v>2.46</v>
      </c>
      <c r="N852">
        <v>45680</v>
      </c>
      <c r="O852">
        <v>51780</v>
      </c>
      <c r="P852">
        <v>8260</v>
      </c>
      <c r="Q852">
        <v>13460</v>
      </c>
      <c r="R852">
        <v>14920</v>
      </c>
      <c r="S852">
        <v>9340</v>
      </c>
      <c r="T852">
        <v>4</v>
      </c>
      <c r="U852">
        <v>4</v>
      </c>
      <c r="V852">
        <v>1.6</v>
      </c>
      <c r="W852">
        <v>4</v>
      </c>
      <c r="X852">
        <v>1.6</v>
      </c>
      <c r="Y852">
        <v>1940</v>
      </c>
      <c r="Z852">
        <v>1.85</v>
      </c>
      <c r="AA852">
        <v>40</v>
      </c>
      <c r="AB852" s="6">
        <v>46147.586504629631</v>
      </c>
      <c r="AC852" s="6">
        <v>46147.584780092591</v>
      </c>
    </row>
    <row r="853" spans="1:29" x14ac:dyDescent="0.25">
      <c r="A853" t="s">
        <v>9</v>
      </c>
      <c r="B853" s="5">
        <v>46149</v>
      </c>
      <c r="C853" t="s">
        <v>54</v>
      </c>
      <c r="D853" t="s">
        <v>912</v>
      </c>
      <c r="E853">
        <v>227480325</v>
      </c>
      <c r="F853" t="s">
        <v>763</v>
      </c>
      <c r="G853" t="s">
        <v>764</v>
      </c>
      <c r="H853">
        <v>72300</v>
      </c>
      <c r="I853" t="s">
        <v>58</v>
      </c>
      <c r="J853">
        <v>5002.25</v>
      </c>
      <c r="K853">
        <v>0</v>
      </c>
      <c r="L853">
        <v>0</v>
      </c>
      <c r="M853">
        <v>0</v>
      </c>
      <c r="N853">
        <v>0</v>
      </c>
      <c r="O853">
        <v>600</v>
      </c>
      <c r="P853">
        <v>600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5002.25</v>
      </c>
      <c r="X853">
        <v>3831.05</v>
      </c>
      <c r="Y853">
        <v>500</v>
      </c>
      <c r="Z853">
        <v>5682.55</v>
      </c>
      <c r="AA853">
        <v>500</v>
      </c>
      <c r="AB853" s="6">
        <v>46147.586365740739</v>
      </c>
      <c r="AC853" s="6">
        <v>25569.229166666668</v>
      </c>
    </row>
    <row r="854" spans="1:29" x14ac:dyDescent="0.25">
      <c r="A854" t="s">
        <v>9</v>
      </c>
      <c r="B854" s="5">
        <v>46149</v>
      </c>
      <c r="C854" t="s">
        <v>54</v>
      </c>
      <c r="D854" t="s">
        <v>913</v>
      </c>
      <c r="E854">
        <v>227535877</v>
      </c>
      <c r="F854" t="s">
        <v>763</v>
      </c>
      <c r="G854" t="s">
        <v>764</v>
      </c>
      <c r="H854">
        <v>72300</v>
      </c>
      <c r="I854" t="s">
        <v>60</v>
      </c>
      <c r="J854">
        <v>1.45</v>
      </c>
      <c r="K854">
        <v>-64.634146341463406</v>
      </c>
      <c r="L854">
        <v>60</v>
      </c>
      <c r="M854">
        <v>2.4500000000000002</v>
      </c>
      <c r="N854">
        <v>235260</v>
      </c>
      <c r="O854">
        <v>63540</v>
      </c>
      <c r="P854">
        <v>14980</v>
      </c>
      <c r="Q854">
        <v>92420</v>
      </c>
      <c r="R854">
        <v>97000</v>
      </c>
      <c r="S854">
        <v>90720</v>
      </c>
      <c r="T854">
        <v>3.6</v>
      </c>
      <c r="U854">
        <v>4.55</v>
      </c>
      <c r="V854">
        <v>1.45</v>
      </c>
      <c r="W854">
        <v>4.0999999999999996</v>
      </c>
      <c r="X854">
        <v>1.4</v>
      </c>
      <c r="Y854">
        <v>3280</v>
      </c>
      <c r="Z854">
        <v>1.5</v>
      </c>
      <c r="AA854">
        <v>760</v>
      </c>
      <c r="AB854" s="6">
        <v>46147.586504629631</v>
      </c>
      <c r="AC854" s="6">
        <v>46147.586412037039</v>
      </c>
    </row>
    <row r="855" spans="1:29" x14ac:dyDescent="0.25">
      <c r="A855" t="s">
        <v>9</v>
      </c>
      <c r="B855" s="5">
        <v>46149</v>
      </c>
      <c r="C855" t="s">
        <v>54</v>
      </c>
      <c r="D855" t="s">
        <v>914</v>
      </c>
      <c r="E855">
        <v>227560965</v>
      </c>
      <c r="F855" t="s">
        <v>763</v>
      </c>
      <c r="G855" t="s">
        <v>764</v>
      </c>
      <c r="H855">
        <v>72400</v>
      </c>
      <c r="I855" t="s">
        <v>58</v>
      </c>
      <c r="J855">
        <v>4902.3</v>
      </c>
      <c r="K855">
        <v>0</v>
      </c>
      <c r="L855">
        <v>0</v>
      </c>
      <c r="M855">
        <v>0</v>
      </c>
      <c r="N855">
        <v>0</v>
      </c>
      <c r="O855">
        <v>600</v>
      </c>
      <c r="P855">
        <v>600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4902.3</v>
      </c>
      <c r="X855">
        <v>3730.65</v>
      </c>
      <c r="Y855">
        <v>500</v>
      </c>
      <c r="Z855">
        <v>5582.2</v>
      </c>
      <c r="AA855">
        <v>500</v>
      </c>
      <c r="AB855" s="6">
        <v>46147.586365740739</v>
      </c>
      <c r="AC855" s="6">
        <v>25569.229166666668</v>
      </c>
    </row>
    <row r="856" spans="1:29" x14ac:dyDescent="0.25">
      <c r="A856" t="s">
        <v>9</v>
      </c>
      <c r="B856" s="5">
        <v>46149</v>
      </c>
      <c r="C856" t="s">
        <v>54</v>
      </c>
      <c r="D856" t="s">
        <v>915</v>
      </c>
      <c r="E856">
        <v>227470853</v>
      </c>
      <c r="F856" t="s">
        <v>763</v>
      </c>
      <c r="G856" t="s">
        <v>764</v>
      </c>
      <c r="H856">
        <v>72400</v>
      </c>
      <c r="I856" t="s">
        <v>60</v>
      </c>
      <c r="J856">
        <v>1.7</v>
      </c>
      <c r="K856">
        <v>-64.21052631578948</v>
      </c>
      <c r="L856">
        <v>20</v>
      </c>
      <c r="M856">
        <v>2.81</v>
      </c>
      <c r="N856">
        <v>92420</v>
      </c>
      <c r="O856">
        <v>54620</v>
      </c>
      <c r="P856">
        <v>6860</v>
      </c>
      <c r="Q856">
        <v>23180</v>
      </c>
      <c r="R856">
        <v>26700</v>
      </c>
      <c r="S856">
        <v>12940</v>
      </c>
      <c r="T856">
        <v>4.8</v>
      </c>
      <c r="U856">
        <v>4.8</v>
      </c>
      <c r="V856">
        <v>1.7</v>
      </c>
      <c r="W856">
        <v>4.75</v>
      </c>
      <c r="X856">
        <v>1.7</v>
      </c>
      <c r="Y856">
        <v>40</v>
      </c>
      <c r="Z856">
        <v>1.75</v>
      </c>
      <c r="AA856">
        <v>100</v>
      </c>
      <c r="AB856" s="6">
        <v>46147.586504629631</v>
      </c>
      <c r="AC856" s="6">
        <v>46147.584479166668</v>
      </c>
    </row>
    <row r="857" spans="1:29" x14ac:dyDescent="0.25">
      <c r="A857" t="s">
        <v>9</v>
      </c>
      <c r="B857" s="5">
        <v>46149</v>
      </c>
      <c r="C857" t="s">
        <v>54</v>
      </c>
      <c r="D857" t="s">
        <v>916</v>
      </c>
      <c r="E857">
        <v>227495173</v>
      </c>
      <c r="F857" t="s">
        <v>763</v>
      </c>
      <c r="G857" t="s">
        <v>764</v>
      </c>
      <c r="H857">
        <v>72500</v>
      </c>
      <c r="I857" t="s">
        <v>58</v>
      </c>
      <c r="J857">
        <v>4802.45</v>
      </c>
      <c r="K857">
        <v>0</v>
      </c>
      <c r="L857">
        <v>0</v>
      </c>
      <c r="M857">
        <v>0</v>
      </c>
      <c r="N857">
        <v>0</v>
      </c>
      <c r="O857">
        <v>800</v>
      </c>
      <c r="P857">
        <v>800</v>
      </c>
      <c r="Q857">
        <v>0</v>
      </c>
      <c r="R857">
        <v>0</v>
      </c>
      <c r="S857">
        <v>0</v>
      </c>
      <c r="T857">
        <v>0</v>
      </c>
      <c r="U857">
        <v>2650</v>
      </c>
      <c r="V857">
        <v>2650</v>
      </c>
      <c r="W857">
        <v>4802.45</v>
      </c>
      <c r="X857">
        <v>3631.6</v>
      </c>
      <c r="Y857">
        <v>500</v>
      </c>
      <c r="Z857">
        <v>5482.25</v>
      </c>
      <c r="AA857">
        <v>500</v>
      </c>
      <c r="AB857" s="6">
        <v>46147.586354166669</v>
      </c>
      <c r="AC857" s="6">
        <v>46114.562523148146</v>
      </c>
    </row>
    <row r="858" spans="1:29" x14ac:dyDescent="0.25">
      <c r="A858" t="s">
        <v>9</v>
      </c>
      <c r="B858" s="5">
        <v>46149</v>
      </c>
      <c r="C858" t="s">
        <v>54</v>
      </c>
      <c r="D858" t="s">
        <v>917</v>
      </c>
      <c r="E858">
        <v>227552517</v>
      </c>
      <c r="F858" t="s">
        <v>763</v>
      </c>
      <c r="G858" t="s">
        <v>764</v>
      </c>
      <c r="H858">
        <v>72500</v>
      </c>
      <c r="I858" t="s">
        <v>60</v>
      </c>
      <c r="J858">
        <v>1.8</v>
      </c>
      <c r="K858">
        <v>-63.265306122448983</v>
      </c>
      <c r="L858">
        <v>580</v>
      </c>
      <c r="M858">
        <v>2.84</v>
      </c>
      <c r="N858">
        <v>1122080</v>
      </c>
      <c r="O858">
        <v>118140</v>
      </c>
      <c r="P858">
        <v>31520</v>
      </c>
      <c r="Q858">
        <v>181720</v>
      </c>
      <c r="R858">
        <v>231160</v>
      </c>
      <c r="S858">
        <v>178140</v>
      </c>
      <c r="T858">
        <v>6.65</v>
      </c>
      <c r="U858">
        <v>6.65</v>
      </c>
      <c r="V858">
        <v>1.7</v>
      </c>
      <c r="W858">
        <v>4.9000000000000004</v>
      </c>
      <c r="X858">
        <v>1.75</v>
      </c>
      <c r="Y858">
        <v>3960</v>
      </c>
      <c r="Z858">
        <v>1.8</v>
      </c>
      <c r="AA858">
        <v>560</v>
      </c>
      <c r="AB858" s="6">
        <v>46147.586504629631</v>
      </c>
      <c r="AC858" s="6">
        <v>46147.586458333331</v>
      </c>
    </row>
    <row r="859" spans="1:29" x14ac:dyDescent="0.25">
      <c r="A859" t="s">
        <v>9</v>
      </c>
      <c r="B859" s="5">
        <v>46149</v>
      </c>
      <c r="C859" t="s">
        <v>54</v>
      </c>
      <c r="D859" t="s">
        <v>918</v>
      </c>
      <c r="E859">
        <v>227430917</v>
      </c>
      <c r="F859" t="s">
        <v>763</v>
      </c>
      <c r="G859" t="s">
        <v>764</v>
      </c>
      <c r="H859">
        <v>72600</v>
      </c>
      <c r="I859" t="s">
        <v>58</v>
      </c>
      <c r="J859">
        <v>4702.55</v>
      </c>
      <c r="K859">
        <v>0</v>
      </c>
      <c r="L859">
        <v>0</v>
      </c>
      <c r="M859">
        <v>0</v>
      </c>
      <c r="N859">
        <v>0</v>
      </c>
      <c r="O859">
        <v>600</v>
      </c>
      <c r="P859">
        <v>600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4702.55</v>
      </c>
      <c r="X859">
        <v>3530.6</v>
      </c>
      <c r="Y859">
        <v>500</v>
      </c>
      <c r="Z859">
        <v>5381</v>
      </c>
      <c r="AA859">
        <v>500</v>
      </c>
      <c r="AB859" s="6">
        <v>46147.586365740739</v>
      </c>
      <c r="AC859" s="6">
        <v>25569.229166666668</v>
      </c>
    </row>
    <row r="860" spans="1:29" x14ac:dyDescent="0.25">
      <c r="A860" t="s">
        <v>9</v>
      </c>
      <c r="B860" s="5">
        <v>46149</v>
      </c>
      <c r="C860" t="s">
        <v>54</v>
      </c>
      <c r="D860" t="s">
        <v>919</v>
      </c>
      <c r="E860">
        <v>227487749</v>
      </c>
      <c r="F860" t="s">
        <v>763</v>
      </c>
      <c r="G860" t="s">
        <v>764</v>
      </c>
      <c r="H860">
        <v>72600</v>
      </c>
      <c r="I860" t="s">
        <v>60</v>
      </c>
      <c r="J860">
        <v>1.8</v>
      </c>
      <c r="K860">
        <v>-62.10526315789474</v>
      </c>
      <c r="L860">
        <v>40</v>
      </c>
      <c r="M860">
        <v>2.91</v>
      </c>
      <c r="N860">
        <v>38640</v>
      </c>
      <c r="O860">
        <v>55740</v>
      </c>
      <c r="P860">
        <v>5260</v>
      </c>
      <c r="Q860">
        <v>5760</v>
      </c>
      <c r="R860">
        <v>9520</v>
      </c>
      <c r="S860">
        <v>2880</v>
      </c>
      <c r="T860">
        <v>4.75</v>
      </c>
      <c r="U860">
        <v>4.75</v>
      </c>
      <c r="V860">
        <v>1.75</v>
      </c>
      <c r="W860">
        <v>4.75</v>
      </c>
      <c r="X860">
        <v>1.75</v>
      </c>
      <c r="Y860">
        <v>100</v>
      </c>
      <c r="Z860">
        <v>1.8</v>
      </c>
      <c r="AA860">
        <v>160</v>
      </c>
      <c r="AB860" s="6">
        <v>46147.586504629631</v>
      </c>
      <c r="AC860" s="6">
        <v>46147.583981481483</v>
      </c>
    </row>
    <row r="861" spans="1:29" x14ac:dyDescent="0.25">
      <c r="A861" t="s">
        <v>9</v>
      </c>
      <c r="B861" s="5">
        <v>46149</v>
      </c>
      <c r="C861" t="s">
        <v>54</v>
      </c>
      <c r="D861" t="s">
        <v>920</v>
      </c>
      <c r="E861">
        <v>227511045</v>
      </c>
      <c r="F861" t="s">
        <v>763</v>
      </c>
      <c r="G861" t="s">
        <v>764</v>
      </c>
      <c r="H861">
        <v>72700</v>
      </c>
      <c r="I861" t="s">
        <v>58</v>
      </c>
      <c r="J861">
        <v>4602.7</v>
      </c>
      <c r="K861">
        <v>0</v>
      </c>
      <c r="L861">
        <v>0</v>
      </c>
      <c r="M861">
        <v>0</v>
      </c>
      <c r="N861">
        <v>0</v>
      </c>
      <c r="O861">
        <v>600</v>
      </c>
      <c r="P861">
        <v>600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4602.7</v>
      </c>
      <c r="X861">
        <v>3430</v>
      </c>
      <c r="Y861">
        <v>500</v>
      </c>
      <c r="Z861">
        <v>5279.95</v>
      </c>
      <c r="AA861">
        <v>500</v>
      </c>
      <c r="AB861" s="6">
        <v>46147.586365740739</v>
      </c>
      <c r="AC861" s="6">
        <v>25569.229166666668</v>
      </c>
    </row>
    <row r="862" spans="1:29" x14ac:dyDescent="0.25">
      <c r="A862" t="s">
        <v>9</v>
      </c>
      <c r="B862" s="5">
        <v>46149</v>
      </c>
      <c r="C862" t="s">
        <v>54</v>
      </c>
      <c r="D862" t="s">
        <v>921</v>
      </c>
      <c r="E862">
        <v>227568133</v>
      </c>
      <c r="F862" t="s">
        <v>763</v>
      </c>
      <c r="G862" t="s">
        <v>764</v>
      </c>
      <c r="H862">
        <v>72700</v>
      </c>
      <c r="I862" t="s">
        <v>60</v>
      </c>
      <c r="J862">
        <v>1.75</v>
      </c>
      <c r="K862">
        <v>-65.686274509803908</v>
      </c>
      <c r="L862">
        <v>20</v>
      </c>
      <c r="M862">
        <v>3.17</v>
      </c>
      <c r="N862">
        <v>88620</v>
      </c>
      <c r="O862">
        <v>53120</v>
      </c>
      <c r="P862">
        <v>5020</v>
      </c>
      <c r="Q862">
        <v>14120</v>
      </c>
      <c r="R862">
        <v>23240</v>
      </c>
      <c r="S862">
        <v>13620</v>
      </c>
      <c r="T862">
        <v>4.5</v>
      </c>
      <c r="U862">
        <v>4.55</v>
      </c>
      <c r="V862">
        <v>1.75</v>
      </c>
      <c r="W862">
        <v>5.0999999999999996</v>
      </c>
      <c r="X862">
        <v>1.75</v>
      </c>
      <c r="Y862">
        <v>160</v>
      </c>
      <c r="Z862">
        <v>1.85</v>
      </c>
      <c r="AA862">
        <v>140</v>
      </c>
      <c r="AB862" s="6">
        <v>46147.586504629631</v>
      </c>
      <c r="AC862" s="6">
        <v>46147.586122685185</v>
      </c>
    </row>
    <row r="863" spans="1:29" x14ac:dyDescent="0.25">
      <c r="A863" t="s">
        <v>9</v>
      </c>
      <c r="B863" s="5">
        <v>46149</v>
      </c>
      <c r="C863" t="s">
        <v>54</v>
      </c>
      <c r="D863" t="s">
        <v>922</v>
      </c>
      <c r="E863">
        <v>227448581</v>
      </c>
      <c r="F863" t="s">
        <v>763</v>
      </c>
      <c r="G863" t="s">
        <v>764</v>
      </c>
      <c r="H863">
        <v>72800</v>
      </c>
      <c r="I863" t="s">
        <v>58</v>
      </c>
      <c r="J863">
        <v>4502.8500000000004</v>
      </c>
      <c r="K863">
        <v>0</v>
      </c>
      <c r="L863">
        <v>0</v>
      </c>
      <c r="M863">
        <v>0</v>
      </c>
      <c r="N863">
        <v>0</v>
      </c>
      <c r="O863">
        <v>600</v>
      </c>
      <c r="P863">
        <v>600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4502.8500000000004</v>
      </c>
      <c r="X863">
        <v>3329.65</v>
      </c>
      <c r="Y863">
        <v>500</v>
      </c>
      <c r="Z863">
        <v>5199.95</v>
      </c>
      <c r="AA863">
        <v>500</v>
      </c>
      <c r="AB863" s="6">
        <v>46147.586365740739</v>
      </c>
      <c r="AC863" s="6">
        <v>25569.229166666668</v>
      </c>
    </row>
    <row r="864" spans="1:29" x14ac:dyDescent="0.25">
      <c r="A864" t="s">
        <v>9</v>
      </c>
      <c r="B864" s="5">
        <v>46149</v>
      </c>
      <c r="C864" t="s">
        <v>54</v>
      </c>
      <c r="D864" t="s">
        <v>923</v>
      </c>
      <c r="E864">
        <v>227501573</v>
      </c>
      <c r="F864" t="s">
        <v>763</v>
      </c>
      <c r="G864" t="s">
        <v>764</v>
      </c>
      <c r="H864">
        <v>72800</v>
      </c>
      <c r="I864" t="s">
        <v>60</v>
      </c>
      <c r="J864">
        <v>1.65</v>
      </c>
      <c r="K864">
        <v>-70.535714285714292</v>
      </c>
      <c r="L864">
        <v>20</v>
      </c>
      <c r="M864">
        <v>3.09</v>
      </c>
      <c r="N864">
        <v>101680</v>
      </c>
      <c r="O864">
        <v>53720</v>
      </c>
      <c r="P864">
        <v>6560</v>
      </c>
      <c r="Q864">
        <v>16140</v>
      </c>
      <c r="R864">
        <v>19200</v>
      </c>
      <c r="S864">
        <v>14460</v>
      </c>
      <c r="T864">
        <v>5.55</v>
      </c>
      <c r="U864">
        <v>5.55</v>
      </c>
      <c r="V864">
        <v>1.65</v>
      </c>
      <c r="W864">
        <v>5.6</v>
      </c>
      <c r="X864">
        <v>1.5</v>
      </c>
      <c r="Y864">
        <v>160</v>
      </c>
      <c r="Z864">
        <v>2.0499999999999998</v>
      </c>
      <c r="AA864">
        <v>160</v>
      </c>
      <c r="AB864" s="6">
        <v>46147.586493055554</v>
      </c>
      <c r="AC864" s="6">
        <v>46147.585775462961</v>
      </c>
    </row>
    <row r="865" spans="1:29" x14ac:dyDescent="0.25">
      <c r="A865" t="s">
        <v>9</v>
      </c>
      <c r="B865" s="5">
        <v>46149</v>
      </c>
      <c r="C865" t="s">
        <v>54</v>
      </c>
      <c r="D865" t="s">
        <v>924</v>
      </c>
      <c r="E865">
        <v>227530501</v>
      </c>
      <c r="F865" t="s">
        <v>763</v>
      </c>
      <c r="G865" t="s">
        <v>764</v>
      </c>
      <c r="H865">
        <v>72900</v>
      </c>
      <c r="I865" t="s">
        <v>58</v>
      </c>
      <c r="J865">
        <v>4403.05</v>
      </c>
      <c r="K865">
        <v>0</v>
      </c>
      <c r="L865">
        <v>0</v>
      </c>
      <c r="M865">
        <v>0</v>
      </c>
      <c r="N865">
        <v>0</v>
      </c>
      <c r="O865">
        <v>600</v>
      </c>
      <c r="P865">
        <v>600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4403.05</v>
      </c>
      <c r="X865">
        <v>3228.45</v>
      </c>
      <c r="Y865">
        <v>500</v>
      </c>
      <c r="Z865">
        <v>5099.95</v>
      </c>
      <c r="AA865">
        <v>500</v>
      </c>
      <c r="AB865" s="6">
        <v>46147.586365740739</v>
      </c>
      <c r="AC865" s="6">
        <v>25569.229166666668</v>
      </c>
    </row>
    <row r="866" spans="1:29" x14ac:dyDescent="0.25">
      <c r="A866" t="s">
        <v>9</v>
      </c>
      <c r="B866" s="5">
        <v>46149</v>
      </c>
      <c r="C866" t="s">
        <v>54</v>
      </c>
      <c r="D866" t="s">
        <v>925</v>
      </c>
      <c r="E866">
        <v>227585029</v>
      </c>
      <c r="F866" t="s">
        <v>763</v>
      </c>
      <c r="G866" t="s">
        <v>764</v>
      </c>
      <c r="H866">
        <v>72900</v>
      </c>
      <c r="I866" t="s">
        <v>60</v>
      </c>
      <c r="J866">
        <v>2.25</v>
      </c>
      <c r="K866">
        <v>-60.869565217391305</v>
      </c>
      <c r="L866">
        <v>40</v>
      </c>
      <c r="M866">
        <v>3.61</v>
      </c>
      <c r="N866">
        <v>80860</v>
      </c>
      <c r="O866">
        <v>58940</v>
      </c>
      <c r="P866">
        <v>6820</v>
      </c>
      <c r="Q866">
        <v>16980</v>
      </c>
      <c r="R866">
        <v>20220</v>
      </c>
      <c r="S866">
        <v>7140</v>
      </c>
      <c r="T866">
        <v>5.25</v>
      </c>
      <c r="U866">
        <v>5.8</v>
      </c>
      <c r="V866">
        <v>2.1</v>
      </c>
      <c r="W866">
        <v>5.75</v>
      </c>
      <c r="X866">
        <v>2.0499999999999998</v>
      </c>
      <c r="Y866">
        <v>160</v>
      </c>
      <c r="Z866">
        <v>2.15</v>
      </c>
      <c r="AA866">
        <v>160</v>
      </c>
      <c r="AB866" s="6">
        <v>46147.586504629631</v>
      </c>
      <c r="AC866" s="6">
        <v>46147.584988425922</v>
      </c>
    </row>
    <row r="867" spans="1:29" x14ac:dyDescent="0.25">
      <c r="A867" t="s">
        <v>9</v>
      </c>
      <c r="B867" s="5">
        <v>46149</v>
      </c>
      <c r="C867" t="s">
        <v>54</v>
      </c>
      <c r="D867" t="s">
        <v>926</v>
      </c>
      <c r="E867">
        <v>227418117</v>
      </c>
      <c r="F867" t="s">
        <v>763</v>
      </c>
      <c r="G867" t="s">
        <v>764</v>
      </c>
      <c r="H867">
        <v>73000</v>
      </c>
      <c r="I867" t="s">
        <v>58</v>
      </c>
      <c r="J867">
        <v>3687.25</v>
      </c>
      <c r="K867">
        <v>-14.315757674342949</v>
      </c>
      <c r="L867">
        <v>20</v>
      </c>
      <c r="M867">
        <v>3861.34</v>
      </c>
      <c r="N867">
        <v>120</v>
      </c>
      <c r="O867">
        <v>880</v>
      </c>
      <c r="P867">
        <v>700</v>
      </c>
      <c r="Q867">
        <v>780</v>
      </c>
      <c r="R867">
        <v>800</v>
      </c>
      <c r="S867">
        <v>780</v>
      </c>
      <c r="T867">
        <v>4303.3</v>
      </c>
      <c r="U867">
        <v>4303.3</v>
      </c>
      <c r="V867">
        <v>3687.25</v>
      </c>
      <c r="W867">
        <v>4303.3</v>
      </c>
      <c r="X867">
        <v>4055.8</v>
      </c>
      <c r="Y867">
        <v>60</v>
      </c>
      <c r="Z867">
        <v>4114.05</v>
      </c>
      <c r="AA867">
        <v>60</v>
      </c>
      <c r="AB867" s="6">
        <v>46147.586527777778</v>
      </c>
      <c r="AC867" s="6">
        <v>46147.454780092594</v>
      </c>
    </row>
    <row r="868" spans="1:29" x14ac:dyDescent="0.25">
      <c r="A868" t="s">
        <v>9</v>
      </c>
      <c r="B868" s="5">
        <v>46149</v>
      </c>
      <c r="C868" t="s">
        <v>54</v>
      </c>
      <c r="D868" t="s">
        <v>927</v>
      </c>
      <c r="E868">
        <v>227475973</v>
      </c>
      <c r="F868" t="s">
        <v>763</v>
      </c>
      <c r="G868" t="s">
        <v>764</v>
      </c>
      <c r="H868">
        <v>73000</v>
      </c>
      <c r="I868" t="s">
        <v>60</v>
      </c>
      <c r="J868">
        <v>2</v>
      </c>
      <c r="K868">
        <v>-67.741935483870961</v>
      </c>
      <c r="L868">
        <v>680</v>
      </c>
      <c r="M868">
        <v>3.43</v>
      </c>
      <c r="N868">
        <v>2621220</v>
      </c>
      <c r="O868">
        <v>163020</v>
      </c>
      <c r="P868">
        <v>64360</v>
      </c>
      <c r="Q868">
        <v>460560</v>
      </c>
      <c r="R868">
        <v>498940</v>
      </c>
      <c r="S868">
        <v>295160</v>
      </c>
      <c r="T868">
        <v>6.2</v>
      </c>
      <c r="U868">
        <v>6.2</v>
      </c>
      <c r="V868">
        <v>1.85</v>
      </c>
      <c r="W868">
        <v>6.2</v>
      </c>
      <c r="X868">
        <v>2</v>
      </c>
      <c r="Y868">
        <v>1500</v>
      </c>
      <c r="Z868">
        <v>2.0499999999999998</v>
      </c>
      <c r="AA868">
        <v>8980</v>
      </c>
      <c r="AB868" s="6">
        <v>46147.586527777778</v>
      </c>
      <c r="AC868" s="6">
        <v>46147.586469907408</v>
      </c>
    </row>
    <row r="869" spans="1:29" x14ac:dyDescent="0.25">
      <c r="A869" t="s">
        <v>9</v>
      </c>
      <c r="B869" s="5">
        <v>46149</v>
      </c>
      <c r="C869" t="s">
        <v>54</v>
      </c>
      <c r="D869" t="s">
        <v>928</v>
      </c>
      <c r="E869">
        <v>227616773</v>
      </c>
      <c r="F869" t="s">
        <v>763</v>
      </c>
      <c r="G869" t="s">
        <v>764</v>
      </c>
      <c r="H869">
        <v>73100</v>
      </c>
      <c r="I869" t="s">
        <v>58</v>
      </c>
      <c r="J869">
        <v>4203.55</v>
      </c>
      <c r="K869">
        <v>0</v>
      </c>
      <c r="L869">
        <v>0</v>
      </c>
      <c r="M869">
        <v>0</v>
      </c>
      <c r="N869">
        <v>0</v>
      </c>
      <c r="O869">
        <v>600</v>
      </c>
      <c r="P869">
        <v>600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4203.55</v>
      </c>
      <c r="X869">
        <v>3029.55</v>
      </c>
      <c r="Y869">
        <v>500</v>
      </c>
      <c r="Z869">
        <v>4799.95</v>
      </c>
      <c r="AA869">
        <v>500</v>
      </c>
      <c r="AB869" s="6">
        <v>46147.586365740739</v>
      </c>
      <c r="AC869" s="6">
        <v>25569.229166666668</v>
      </c>
    </row>
    <row r="870" spans="1:29" x14ac:dyDescent="0.25">
      <c r="A870" t="s">
        <v>9</v>
      </c>
      <c r="B870" s="5">
        <v>46149</v>
      </c>
      <c r="C870" t="s">
        <v>54</v>
      </c>
      <c r="D870" t="s">
        <v>929</v>
      </c>
      <c r="E870">
        <v>227408645</v>
      </c>
      <c r="F870" t="s">
        <v>763</v>
      </c>
      <c r="G870" t="s">
        <v>764</v>
      </c>
      <c r="H870">
        <v>73100</v>
      </c>
      <c r="I870" t="s">
        <v>60</v>
      </c>
      <c r="J870">
        <v>2.1</v>
      </c>
      <c r="K870">
        <v>-66.400000000000006</v>
      </c>
      <c r="L870">
        <v>260</v>
      </c>
      <c r="M870">
        <v>3.52</v>
      </c>
      <c r="N870">
        <v>408700</v>
      </c>
      <c r="O870">
        <v>77300</v>
      </c>
      <c r="P870">
        <v>7220</v>
      </c>
      <c r="Q870">
        <v>28520</v>
      </c>
      <c r="R870">
        <v>96140</v>
      </c>
      <c r="S870">
        <v>24120</v>
      </c>
      <c r="T870">
        <v>5.4</v>
      </c>
      <c r="U870">
        <v>5.8</v>
      </c>
      <c r="V870">
        <v>2.1</v>
      </c>
      <c r="W870">
        <v>6.25</v>
      </c>
      <c r="X870">
        <v>2.15</v>
      </c>
      <c r="Y870">
        <v>600</v>
      </c>
      <c r="Z870">
        <v>2.25</v>
      </c>
      <c r="AA870">
        <v>320</v>
      </c>
      <c r="AB870" s="6">
        <v>46147.586504629631</v>
      </c>
      <c r="AC870" s="6">
        <v>46147.585393518515</v>
      </c>
    </row>
    <row r="871" spans="1:29" x14ac:dyDescent="0.25">
      <c r="A871" t="s">
        <v>9</v>
      </c>
      <c r="B871" s="5">
        <v>46149</v>
      </c>
      <c r="C871" t="s">
        <v>54</v>
      </c>
      <c r="D871" t="s">
        <v>930</v>
      </c>
      <c r="E871">
        <v>227435781</v>
      </c>
      <c r="F871" t="s">
        <v>763</v>
      </c>
      <c r="G871" t="s">
        <v>764</v>
      </c>
      <c r="H871">
        <v>73200</v>
      </c>
      <c r="I871" t="s">
        <v>58</v>
      </c>
      <c r="J871">
        <v>4103.8999999999996</v>
      </c>
      <c r="K871">
        <v>0</v>
      </c>
      <c r="L871">
        <v>0</v>
      </c>
      <c r="M871">
        <v>0</v>
      </c>
      <c r="N871">
        <v>0</v>
      </c>
      <c r="O871">
        <v>600</v>
      </c>
      <c r="P871">
        <v>600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4103.8999999999996</v>
      </c>
      <c r="X871">
        <v>2930.45</v>
      </c>
      <c r="Y871">
        <v>500</v>
      </c>
      <c r="Z871">
        <v>4699.95</v>
      </c>
      <c r="AA871">
        <v>500</v>
      </c>
      <c r="AB871" s="6">
        <v>46147.586365740739</v>
      </c>
      <c r="AC871" s="6">
        <v>25569.229166666668</v>
      </c>
    </row>
    <row r="872" spans="1:29" x14ac:dyDescent="0.25">
      <c r="A872" t="s">
        <v>9</v>
      </c>
      <c r="B872" s="5">
        <v>46149</v>
      </c>
      <c r="C872" t="s">
        <v>54</v>
      </c>
      <c r="D872" t="s">
        <v>931</v>
      </c>
      <c r="E872">
        <v>227609605</v>
      </c>
      <c r="F872" t="s">
        <v>763</v>
      </c>
      <c r="G872" t="s">
        <v>764</v>
      </c>
      <c r="H872">
        <v>73200</v>
      </c>
      <c r="I872" t="s">
        <v>60</v>
      </c>
      <c r="J872">
        <v>2.2000000000000002</v>
      </c>
      <c r="K872">
        <v>-66.15384615384616</v>
      </c>
      <c r="L872">
        <v>20</v>
      </c>
      <c r="M872">
        <v>3.84</v>
      </c>
      <c r="N872">
        <v>161120</v>
      </c>
      <c r="O872">
        <v>83740</v>
      </c>
      <c r="P872">
        <v>8960</v>
      </c>
      <c r="Q872">
        <v>25100</v>
      </c>
      <c r="R872">
        <v>34000</v>
      </c>
      <c r="S872">
        <v>24380</v>
      </c>
      <c r="T872">
        <v>3.6</v>
      </c>
      <c r="U872">
        <v>6.1</v>
      </c>
      <c r="V872">
        <v>2.2000000000000002</v>
      </c>
      <c r="W872">
        <v>6.5</v>
      </c>
      <c r="X872">
        <v>2.2000000000000002</v>
      </c>
      <c r="Y872">
        <v>100</v>
      </c>
      <c r="Z872">
        <v>2.35</v>
      </c>
      <c r="AA872">
        <v>300</v>
      </c>
      <c r="AB872" s="6">
        <v>46147.586516203701</v>
      </c>
      <c r="AC872" s="6">
        <v>46147.585729166669</v>
      </c>
    </row>
    <row r="873" spans="1:29" x14ac:dyDescent="0.25">
      <c r="A873" t="s">
        <v>9</v>
      </c>
      <c r="B873" s="5">
        <v>46149</v>
      </c>
      <c r="C873" t="s">
        <v>54</v>
      </c>
      <c r="D873" t="s">
        <v>932</v>
      </c>
      <c r="E873">
        <v>227631621</v>
      </c>
      <c r="F873" t="s">
        <v>763</v>
      </c>
      <c r="G873" t="s">
        <v>764</v>
      </c>
      <c r="H873">
        <v>73300</v>
      </c>
      <c r="I873" t="s">
        <v>58</v>
      </c>
      <c r="J873">
        <v>4004.3</v>
      </c>
      <c r="K873">
        <v>0</v>
      </c>
      <c r="L873">
        <v>0</v>
      </c>
      <c r="M873">
        <v>0</v>
      </c>
      <c r="N873">
        <v>0</v>
      </c>
      <c r="O873">
        <v>600</v>
      </c>
      <c r="P873">
        <v>600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4004.3</v>
      </c>
      <c r="X873">
        <v>2831.55</v>
      </c>
      <c r="Y873">
        <v>500</v>
      </c>
      <c r="Z873">
        <v>4499.95</v>
      </c>
      <c r="AA873">
        <v>500</v>
      </c>
      <c r="AB873" s="6">
        <v>46147.586365740739</v>
      </c>
      <c r="AC873" s="6">
        <v>25569.229166666668</v>
      </c>
    </row>
    <row r="874" spans="1:29" x14ac:dyDescent="0.25">
      <c r="A874" t="s">
        <v>9</v>
      </c>
      <c r="B874" s="5">
        <v>46149</v>
      </c>
      <c r="C874" t="s">
        <v>54</v>
      </c>
      <c r="D874" t="s">
        <v>933</v>
      </c>
      <c r="E874">
        <v>227426053</v>
      </c>
      <c r="F874" t="s">
        <v>763</v>
      </c>
      <c r="G874" t="s">
        <v>764</v>
      </c>
      <c r="H874">
        <v>73300</v>
      </c>
      <c r="I874" t="s">
        <v>60</v>
      </c>
      <c r="J874">
        <v>2.6</v>
      </c>
      <c r="K874">
        <v>-63.120567375886516</v>
      </c>
      <c r="L874">
        <v>80</v>
      </c>
      <c r="M874">
        <v>4.25</v>
      </c>
      <c r="N874">
        <v>309440</v>
      </c>
      <c r="O874">
        <v>77600</v>
      </c>
      <c r="P874">
        <v>9420</v>
      </c>
      <c r="Q874">
        <v>33360</v>
      </c>
      <c r="R874">
        <v>43240</v>
      </c>
      <c r="S874">
        <v>11700</v>
      </c>
      <c r="T874">
        <v>5.65</v>
      </c>
      <c r="U874">
        <v>7.15</v>
      </c>
      <c r="V874">
        <v>2.6</v>
      </c>
      <c r="W874">
        <v>7.05</v>
      </c>
      <c r="X874">
        <v>2.5</v>
      </c>
      <c r="Y874">
        <v>460</v>
      </c>
      <c r="Z874">
        <v>2.65</v>
      </c>
      <c r="AA874">
        <v>680</v>
      </c>
      <c r="AB874" s="6">
        <v>46147.586504629631</v>
      </c>
      <c r="AC874" s="6">
        <v>46147.583449074074</v>
      </c>
    </row>
    <row r="875" spans="1:29" x14ac:dyDescent="0.25">
      <c r="A875" t="s">
        <v>9</v>
      </c>
      <c r="B875" s="5">
        <v>46149</v>
      </c>
      <c r="C875" t="s">
        <v>54</v>
      </c>
      <c r="D875" t="s">
        <v>934</v>
      </c>
      <c r="E875">
        <v>227570181</v>
      </c>
      <c r="F875" t="s">
        <v>763</v>
      </c>
      <c r="G875" t="s">
        <v>764</v>
      </c>
      <c r="H875">
        <v>73400</v>
      </c>
      <c r="I875" t="s">
        <v>58</v>
      </c>
      <c r="J875">
        <v>3904.8</v>
      </c>
      <c r="K875">
        <v>0</v>
      </c>
      <c r="L875">
        <v>0</v>
      </c>
      <c r="M875">
        <v>0</v>
      </c>
      <c r="N875">
        <v>0</v>
      </c>
      <c r="O875">
        <v>600</v>
      </c>
      <c r="P875">
        <v>600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3904.8</v>
      </c>
      <c r="X875">
        <v>2735.4</v>
      </c>
      <c r="Y875">
        <v>500</v>
      </c>
      <c r="Z875">
        <v>4399.95</v>
      </c>
      <c r="AA875">
        <v>500</v>
      </c>
      <c r="AB875" s="6">
        <v>46147.586365740739</v>
      </c>
      <c r="AC875" s="6">
        <v>25569.229166666668</v>
      </c>
    </row>
    <row r="876" spans="1:29" x14ac:dyDescent="0.25">
      <c r="A876" t="s">
        <v>9</v>
      </c>
      <c r="B876" s="5">
        <v>46149</v>
      </c>
      <c r="C876" t="s">
        <v>54</v>
      </c>
      <c r="D876" t="s">
        <v>935</v>
      </c>
      <c r="E876">
        <v>227623429</v>
      </c>
      <c r="F876" t="s">
        <v>763</v>
      </c>
      <c r="G876" t="s">
        <v>764</v>
      </c>
      <c r="H876">
        <v>73400</v>
      </c>
      <c r="I876" t="s">
        <v>60</v>
      </c>
      <c r="J876">
        <v>2.75</v>
      </c>
      <c r="K876">
        <v>-61.805555555555557</v>
      </c>
      <c r="L876">
        <v>120</v>
      </c>
      <c r="M876">
        <v>3.84</v>
      </c>
      <c r="N876">
        <v>605040</v>
      </c>
      <c r="O876">
        <v>99300</v>
      </c>
      <c r="P876">
        <v>16820</v>
      </c>
      <c r="Q876">
        <v>116880</v>
      </c>
      <c r="R876">
        <v>116880</v>
      </c>
      <c r="S876">
        <v>27820</v>
      </c>
      <c r="T876">
        <v>2.6</v>
      </c>
      <c r="U876">
        <v>7.5</v>
      </c>
      <c r="V876">
        <v>2.6</v>
      </c>
      <c r="W876">
        <v>7.2</v>
      </c>
      <c r="X876">
        <v>2.75</v>
      </c>
      <c r="Y876">
        <v>300</v>
      </c>
      <c r="Z876">
        <v>2.85</v>
      </c>
      <c r="AA876">
        <v>1640</v>
      </c>
      <c r="AB876" s="6">
        <v>46147.586527777778</v>
      </c>
      <c r="AC876" s="6">
        <v>46147.586493055554</v>
      </c>
    </row>
    <row r="877" spans="1:29" x14ac:dyDescent="0.25">
      <c r="A877" t="s">
        <v>9</v>
      </c>
      <c r="B877" s="5">
        <v>46149</v>
      </c>
      <c r="C877" t="s">
        <v>54</v>
      </c>
      <c r="D877" t="s">
        <v>936</v>
      </c>
      <c r="E877">
        <v>227386117</v>
      </c>
      <c r="F877" t="s">
        <v>763</v>
      </c>
      <c r="G877" t="s">
        <v>764</v>
      </c>
      <c r="H877">
        <v>73500</v>
      </c>
      <c r="I877" t="s">
        <v>58</v>
      </c>
      <c r="J877">
        <v>3805.35</v>
      </c>
      <c r="K877">
        <v>0</v>
      </c>
      <c r="L877">
        <v>0</v>
      </c>
      <c r="M877">
        <v>0</v>
      </c>
      <c r="N877">
        <v>0</v>
      </c>
      <c r="O877">
        <v>800</v>
      </c>
      <c r="P877">
        <v>800</v>
      </c>
      <c r="Q877">
        <v>0</v>
      </c>
      <c r="R877">
        <v>0</v>
      </c>
      <c r="S877">
        <v>0</v>
      </c>
      <c r="T877">
        <v>0</v>
      </c>
      <c r="U877">
        <v>3800</v>
      </c>
      <c r="V877">
        <v>3800</v>
      </c>
      <c r="W877">
        <v>3805.35</v>
      </c>
      <c r="X877">
        <v>2645.25</v>
      </c>
      <c r="Y877">
        <v>500</v>
      </c>
      <c r="Z877">
        <v>4199.95</v>
      </c>
      <c r="AA877">
        <v>500</v>
      </c>
      <c r="AB877" s="6">
        <v>46147.586365740739</v>
      </c>
      <c r="AC877" s="6">
        <v>46120.385416666664</v>
      </c>
    </row>
    <row r="878" spans="1:29" x14ac:dyDescent="0.25">
      <c r="A878" t="s">
        <v>9</v>
      </c>
      <c r="B878" s="5">
        <v>46149</v>
      </c>
      <c r="C878" t="s">
        <v>54</v>
      </c>
      <c r="D878" t="s">
        <v>937</v>
      </c>
      <c r="E878">
        <v>227443461</v>
      </c>
      <c r="F878" t="s">
        <v>763</v>
      </c>
      <c r="G878" t="s">
        <v>764</v>
      </c>
      <c r="H878">
        <v>73500</v>
      </c>
      <c r="I878" t="s">
        <v>60</v>
      </c>
      <c r="J878">
        <v>2.65</v>
      </c>
      <c r="K878">
        <v>-69.540229885057471</v>
      </c>
      <c r="L878">
        <v>120</v>
      </c>
      <c r="M878">
        <v>4.87</v>
      </c>
      <c r="N878">
        <v>2971360</v>
      </c>
      <c r="O878">
        <v>150620</v>
      </c>
      <c r="P878">
        <v>36980</v>
      </c>
      <c r="Q878">
        <v>407940</v>
      </c>
      <c r="R878">
        <v>415180</v>
      </c>
      <c r="S878">
        <v>232900</v>
      </c>
      <c r="T878">
        <v>8.6999999999999993</v>
      </c>
      <c r="U878">
        <v>8.85</v>
      </c>
      <c r="V878">
        <v>2.5</v>
      </c>
      <c r="W878">
        <v>8.6999999999999993</v>
      </c>
      <c r="X878">
        <v>2.65</v>
      </c>
      <c r="Y878">
        <v>5200</v>
      </c>
      <c r="Z878">
        <v>2.75</v>
      </c>
      <c r="AA878">
        <v>4780</v>
      </c>
      <c r="AB878" s="6">
        <v>46147.586516203701</v>
      </c>
      <c r="AC878" s="6">
        <v>46147.586493055554</v>
      </c>
    </row>
    <row r="879" spans="1:29" x14ac:dyDescent="0.25">
      <c r="A879" t="s">
        <v>9</v>
      </c>
      <c r="B879" s="5">
        <v>46149</v>
      </c>
      <c r="C879" t="s">
        <v>54</v>
      </c>
      <c r="D879" t="s">
        <v>938</v>
      </c>
      <c r="E879">
        <v>227587845</v>
      </c>
      <c r="F879" t="s">
        <v>763</v>
      </c>
      <c r="G879" t="s">
        <v>764</v>
      </c>
      <c r="H879">
        <v>73600</v>
      </c>
      <c r="I879" t="s">
        <v>58</v>
      </c>
      <c r="J879">
        <v>3706.05</v>
      </c>
      <c r="K879">
        <v>0</v>
      </c>
      <c r="L879">
        <v>0</v>
      </c>
      <c r="M879">
        <v>0</v>
      </c>
      <c r="N879">
        <v>0</v>
      </c>
      <c r="O879">
        <v>600</v>
      </c>
      <c r="P879">
        <v>600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3706.05</v>
      </c>
      <c r="X879">
        <v>2549.3000000000002</v>
      </c>
      <c r="Y879">
        <v>500</v>
      </c>
      <c r="Z879">
        <v>4099.95</v>
      </c>
      <c r="AA879">
        <v>500</v>
      </c>
      <c r="AB879" s="6">
        <v>46147.586365740739</v>
      </c>
      <c r="AC879" s="6">
        <v>25569.229166666668</v>
      </c>
    </row>
    <row r="880" spans="1:29" x14ac:dyDescent="0.25">
      <c r="A880" t="s">
        <v>9</v>
      </c>
      <c r="B880" s="5">
        <v>46149</v>
      </c>
      <c r="C880" t="s">
        <v>54</v>
      </c>
      <c r="D880" t="s">
        <v>939</v>
      </c>
      <c r="E880">
        <v>227377669</v>
      </c>
      <c r="F880" t="s">
        <v>763</v>
      </c>
      <c r="G880" t="s">
        <v>764</v>
      </c>
      <c r="H880">
        <v>73600</v>
      </c>
      <c r="I880" t="s">
        <v>60</v>
      </c>
      <c r="J880">
        <v>2.9</v>
      </c>
      <c r="K880">
        <v>-70.558375634517759</v>
      </c>
      <c r="L880">
        <v>80</v>
      </c>
      <c r="M880">
        <v>5.48</v>
      </c>
      <c r="N880">
        <v>492620</v>
      </c>
      <c r="O880">
        <v>102560</v>
      </c>
      <c r="P880">
        <v>7540</v>
      </c>
      <c r="Q880">
        <v>38140</v>
      </c>
      <c r="R880">
        <v>64860</v>
      </c>
      <c r="S880">
        <v>16460</v>
      </c>
      <c r="T880">
        <v>9.85</v>
      </c>
      <c r="U880">
        <v>9.85</v>
      </c>
      <c r="V880">
        <v>2.9</v>
      </c>
      <c r="W880">
        <v>9.85</v>
      </c>
      <c r="X880">
        <v>2.9</v>
      </c>
      <c r="Y880">
        <v>260</v>
      </c>
      <c r="Z880">
        <v>2.95</v>
      </c>
      <c r="AA880">
        <v>60</v>
      </c>
      <c r="AB880" s="6">
        <v>46147.586527777778</v>
      </c>
      <c r="AC880" s="6">
        <v>46147.586018518516</v>
      </c>
    </row>
    <row r="881" spans="1:29" x14ac:dyDescent="0.25">
      <c r="A881" t="s">
        <v>9</v>
      </c>
      <c r="B881" s="5">
        <v>46149</v>
      </c>
      <c r="C881" t="s">
        <v>54</v>
      </c>
      <c r="D881" t="s">
        <v>940</v>
      </c>
      <c r="E881">
        <v>227401733</v>
      </c>
      <c r="F881" t="s">
        <v>763</v>
      </c>
      <c r="G881" t="s">
        <v>764</v>
      </c>
      <c r="H881">
        <v>73700</v>
      </c>
      <c r="I881" t="s">
        <v>58</v>
      </c>
      <c r="J881">
        <v>3606.9</v>
      </c>
      <c r="K881">
        <v>0</v>
      </c>
      <c r="L881">
        <v>0</v>
      </c>
      <c r="M881">
        <v>0</v>
      </c>
      <c r="N881">
        <v>0</v>
      </c>
      <c r="O881">
        <v>700</v>
      </c>
      <c r="P881">
        <v>600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3606.9</v>
      </c>
      <c r="X881">
        <v>2453.15</v>
      </c>
      <c r="Y881">
        <v>500</v>
      </c>
      <c r="Z881">
        <v>3999.95</v>
      </c>
      <c r="AA881">
        <v>500</v>
      </c>
      <c r="AB881" s="6">
        <v>46147.586365740739</v>
      </c>
      <c r="AC881" s="6">
        <v>25569.229166666668</v>
      </c>
    </row>
    <row r="882" spans="1:29" x14ac:dyDescent="0.25">
      <c r="A882" t="s">
        <v>9</v>
      </c>
      <c r="B882" s="5">
        <v>46149</v>
      </c>
      <c r="C882" t="s">
        <v>54</v>
      </c>
      <c r="D882" t="s">
        <v>941</v>
      </c>
      <c r="E882">
        <v>227460101</v>
      </c>
      <c r="F882" t="s">
        <v>763</v>
      </c>
      <c r="G882" t="s">
        <v>764</v>
      </c>
      <c r="H882">
        <v>73700</v>
      </c>
      <c r="I882" t="s">
        <v>60</v>
      </c>
      <c r="J882">
        <v>3.2</v>
      </c>
      <c r="K882">
        <v>-68.472906403940883</v>
      </c>
      <c r="L882">
        <v>20</v>
      </c>
      <c r="M882">
        <v>6.09</v>
      </c>
      <c r="N882">
        <v>750260</v>
      </c>
      <c r="O882">
        <v>111460</v>
      </c>
      <c r="P882">
        <v>17620</v>
      </c>
      <c r="Q882">
        <v>90860</v>
      </c>
      <c r="R882">
        <v>94360</v>
      </c>
      <c r="S882">
        <v>42620</v>
      </c>
      <c r="T882">
        <v>10</v>
      </c>
      <c r="U882">
        <v>10</v>
      </c>
      <c r="V882">
        <v>3.05</v>
      </c>
      <c r="W882">
        <v>10.15</v>
      </c>
      <c r="X882">
        <v>3.15</v>
      </c>
      <c r="Y882">
        <v>940</v>
      </c>
      <c r="Z882">
        <v>3.2</v>
      </c>
      <c r="AA882">
        <v>20</v>
      </c>
      <c r="AB882" s="6">
        <v>46147.586527777778</v>
      </c>
      <c r="AC882" s="6">
        <v>46147.586481481485</v>
      </c>
    </row>
    <row r="883" spans="1:29" x14ac:dyDescent="0.25">
      <c r="A883" t="s">
        <v>9</v>
      </c>
      <c r="B883" s="5">
        <v>46149</v>
      </c>
      <c r="C883" t="s">
        <v>54</v>
      </c>
      <c r="D883" t="s">
        <v>942</v>
      </c>
      <c r="E883">
        <v>227604229</v>
      </c>
      <c r="F883" t="s">
        <v>763</v>
      </c>
      <c r="G883" t="s">
        <v>764</v>
      </c>
      <c r="H883">
        <v>73800</v>
      </c>
      <c r="I883" t="s">
        <v>58</v>
      </c>
      <c r="J883">
        <v>3507.85</v>
      </c>
      <c r="K883">
        <v>0</v>
      </c>
      <c r="L883">
        <v>0</v>
      </c>
      <c r="M883">
        <v>0</v>
      </c>
      <c r="N883">
        <v>0</v>
      </c>
      <c r="O883">
        <v>700</v>
      </c>
      <c r="P883">
        <v>600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3507.85</v>
      </c>
      <c r="X883">
        <v>2347.1999999999998</v>
      </c>
      <c r="Y883">
        <v>500</v>
      </c>
      <c r="Z883">
        <v>3799.95</v>
      </c>
      <c r="AA883">
        <v>500</v>
      </c>
      <c r="AB883" s="6">
        <v>46147.586365740739</v>
      </c>
      <c r="AC883" s="6">
        <v>25569.229166666668</v>
      </c>
    </row>
    <row r="884" spans="1:29" x14ac:dyDescent="0.25">
      <c r="A884" t="s">
        <v>9</v>
      </c>
      <c r="B884" s="5">
        <v>46149</v>
      </c>
      <c r="C884" t="s">
        <v>54</v>
      </c>
      <c r="D884" t="s">
        <v>943</v>
      </c>
      <c r="E884">
        <v>227393285</v>
      </c>
      <c r="F884" t="s">
        <v>763</v>
      </c>
      <c r="G884" t="s">
        <v>764</v>
      </c>
      <c r="H884">
        <v>73800</v>
      </c>
      <c r="I884" t="s">
        <v>60</v>
      </c>
      <c r="J884">
        <v>3.65</v>
      </c>
      <c r="K884">
        <v>-69.327731092436977</v>
      </c>
      <c r="L884">
        <v>20</v>
      </c>
      <c r="M884">
        <v>6.98</v>
      </c>
      <c r="N884">
        <v>603400</v>
      </c>
      <c r="O884">
        <v>109840</v>
      </c>
      <c r="P884">
        <v>14580</v>
      </c>
      <c r="Q884">
        <v>73140</v>
      </c>
      <c r="R884">
        <v>85740</v>
      </c>
      <c r="S884">
        <v>32220</v>
      </c>
      <c r="T884">
        <v>10.4</v>
      </c>
      <c r="U884">
        <v>13</v>
      </c>
      <c r="V884">
        <v>3.4</v>
      </c>
      <c r="W884">
        <v>11.9</v>
      </c>
      <c r="X884">
        <v>3.6</v>
      </c>
      <c r="Y884">
        <v>260</v>
      </c>
      <c r="Z884">
        <v>3.65</v>
      </c>
      <c r="AA884">
        <v>4380</v>
      </c>
      <c r="AB884" s="6">
        <v>46147.586516203701</v>
      </c>
      <c r="AC884" s="6">
        <v>46147.586469907408</v>
      </c>
    </row>
    <row r="885" spans="1:29" x14ac:dyDescent="0.25">
      <c r="A885" t="s">
        <v>9</v>
      </c>
      <c r="B885" s="5">
        <v>46149</v>
      </c>
      <c r="C885" t="s">
        <v>54</v>
      </c>
      <c r="D885" t="s">
        <v>944</v>
      </c>
      <c r="E885">
        <v>227420165</v>
      </c>
      <c r="F885" t="s">
        <v>763</v>
      </c>
      <c r="G885" t="s">
        <v>764</v>
      </c>
      <c r="H885">
        <v>73900</v>
      </c>
      <c r="I885" t="s">
        <v>58</v>
      </c>
      <c r="J885">
        <v>3409.05</v>
      </c>
      <c r="K885">
        <v>0</v>
      </c>
      <c r="L885">
        <v>0</v>
      </c>
      <c r="M885">
        <v>0</v>
      </c>
      <c r="N885">
        <v>0</v>
      </c>
      <c r="O885">
        <v>220</v>
      </c>
      <c r="P885">
        <v>600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3409.05</v>
      </c>
      <c r="X885">
        <v>2285.6</v>
      </c>
      <c r="Y885">
        <v>20</v>
      </c>
      <c r="Z885">
        <v>3699.95</v>
      </c>
      <c r="AA885">
        <v>500</v>
      </c>
      <c r="AB885" s="6">
        <v>46147.586365740739</v>
      </c>
      <c r="AC885" s="6">
        <v>25569.229166666668</v>
      </c>
    </row>
    <row r="886" spans="1:29" x14ac:dyDescent="0.25">
      <c r="A886" t="s">
        <v>9</v>
      </c>
      <c r="B886" s="5">
        <v>46149</v>
      </c>
      <c r="C886" t="s">
        <v>54</v>
      </c>
      <c r="D886" t="s">
        <v>945</v>
      </c>
      <c r="E886">
        <v>227595781</v>
      </c>
      <c r="F886" t="s">
        <v>763</v>
      </c>
      <c r="G886" t="s">
        <v>764</v>
      </c>
      <c r="H886">
        <v>73900</v>
      </c>
      <c r="I886" t="s">
        <v>60</v>
      </c>
      <c r="J886">
        <v>4.25</v>
      </c>
      <c r="K886">
        <v>-67.55725190839695</v>
      </c>
      <c r="L886">
        <v>40</v>
      </c>
      <c r="M886">
        <v>8.1999999999999993</v>
      </c>
      <c r="N886">
        <v>650380</v>
      </c>
      <c r="O886">
        <v>105140</v>
      </c>
      <c r="P886">
        <v>17500</v>
      </c>
      <c r="Q886">
        <v>84300</v>
      </c>
      <c r="R886">
        <v>94720</v>
      </c>
      <c r="S886">
        <v>41360</v>
      </c>
      <c r="T886">
        <v>10</v>
      </c>
      <c r="U886">
        <v>18.75</v>
      </c>
      <c r="V886">
        <v>4</v>
      </c>
      <c r="W886">
        <v>13.1</v>
      </c>
      <c r="X886">
        <v>4.0999999999999996</v>
      </c>
      <c r="Y886">
        <v>380</v>
      </c>
      <c r="Z886">
        <v>4.2</v>
      </c>
      <c r="AA886">
        <v>1700</v>
      </c>
      <c r="AB886" s="6">
        <v>46147.586527777778</v>
      </c>
      <c r="AC886" s="6">
        <v>46147.586354166669</v>
      </c>
    </row>
    <row r="887" spans="1:29" x14ac:dyDescent="0.25">
      <c r="A887" t="s">
        <v>9</v>
      </c>
      <c r="B887" s="5">
        <v>46149</v>
      </c>
      <c r="C887" t="s">
        <v>54</v>
      </c>
      <c r="D887" t="s">
        <v>946</v>
      </c>
      <c r="E887">
        <v>227576069</v>
      </c>
      <c r="F887" t="s">
        <v>763</v>
      </c>
      <c r="G887" t="s">
        <v>764</v>
      </c>
      <c r="H887">
        <v>74000</v>
      </c>
      <c r="I887" t="s">
        <v>58</v>
      </c>
      <c r="J887">
        <v>3115</v>
      </c>
      <c r="K887">
        <v>-8.534347334576367</v>
      </c>
      <c r="L887">
        <v>20</v>
      </c>
      <c r="M887">
        <v>2972.1</v>
      </c>
      <c r="N887">
        <v>720</v>
      </c>
      <c r="O887">
        <v>2080</v>
      </c>
      <c r="P887">
        <v>760</v>
      </c>
      <c r="Q887">
        <v>5960</v>
      </c>
      <c r="R887">
        <v>6100</v>
      </c>
      <c r="S887">
        <v>5840</v>
      </c>
      <c r="T887">
        <v>3200</v>
      </c>
      <c r="U887">
        <v>3200</v>
      </c>
      <c r="V887">
        <v>2735.85</v>
      </c>
      <c r="W887">
        <v>3405.65</v>
      </c>
      <c r="X887">
        <v>3070.5</v>
      </c>
      <c r="Y887">
        <v>60</v>
      </c>
      <c r="Z887">
        <v>3096.5</v>
      </c>
      <c r="AA887">
        <v>60</v>
      </c>
      <c r="AB887" s="6">
        <v>46147.586527777778</v>
      </c>
      <c r="AC887" s="6">
        <v>46147.578125</v>
      </c>
    </row>
    <row r="888" spans="1:29" x14ac:dyDescent="0.25">
      <c r="A888" t="s">
        <v>9</v>
      </c>
      <c r="B888" s="5">
        <v>46149</v>
      </c>
      <c r="C888" t="s">
        <v>54</v>
      </c>
      <c r="D888" t="s">
        <v>947</v>
      </c>
      <c r="E888">
        <v>227485701</v>
      </c>
      <c r="F888" t="s">
        <v>763</v>
      </c>
      <c r="G888" t="s">
        <v>764</v>
      </c>
      <c r="H888">
        <v>74000</v>
      </c>
      <c r="I888" t="s">
        <v>60</v>
      </c>
      <c r="J888">
        <v>4.4000000000000004</v>
      </c>
      <c r="K888">
        <v>-68.79432624113474</v>
      </c>
      <c r="L888">
        <v>20</v>
      </c>
      <c r="M888">
        <v>8.6199999999999992</v>
      </c>
      <c r="N888">
        <v>6874800</v>
      </c>
      <c r="O888">
        <v>144500</v>
      </c>
      <c r="P888">
        <v>125640</v>
      </c>
      <c r="Q888">
        <v>963540</v>
      </c>
      <c r="R888">
        <v>1159220</v>
      </c>
      <c r="S888">
        <v>712260</v>
      </c>
      <c r="T888">
        <v>12</v>
      </c>
      <c r="U888">
        <v>17.850000000000001</v>
      </c>
      <c r="V888">
        <v>4.2</v>
      </c>
      <c r="W888">
        <v>14.1</v>
      </c>
      <c r="X888">
        <v>4.3499999999999996</v>
      </c>
      <c r="Y888">
        <v>7800</v>
      </c>
      <c r="Z888">
        <v>4.4000000000000004</v>
      </c>
      <c r="AA888">
        <v>2740</v>
      </c>
      <c r="AB888" s="6">
        <v>46147.586527777778</v>
      </c>
      <c r="AC888" s="6">
        <v>46147.586516203701</v>
      </c>
    </row>
    <row r="889" spans="1:29" x14ac:dyDescent="0.25">
      <c r="A889" t="s">
        <v>9</v>
      </c>
      <c r="B889" s="5">
        <v>46149</v>
      </c>
      <c r="C889" t="s">
        <v>54</v>
      </c>
      <c r="D889" t="s">
        <v>948</v>
      </c>
      <c r="E889">
        <v>227507461</v>
      </c>
      <c r="F889" t="s">
        <v>763</v>
      </c>
      <c r="G889" t="s">
        <v>764</v>
      </c>
      <c r="H889">
        <v>74100</v>
      </c>
      <c r="I889" t="s">
        <v>58</v>
      </c>
      <c r="J889">
        <v>3212.05</v>
      </c>
      <c r="K889">
        <v>0</v>
      </c>
      <c r="L889">
        <v>0</v>
      </c>
      <c r="M889">
        <v>0</v>
      </c>
      <c r="N889">
        <v>0</v>
      </c>
      <c r="O889">
        <v>700</v>
      </c>
      <c r="P889">
        <v>600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3212.05</v>
      </c>
      <c r="X889">
        <v>2045.5</v>
      </c>
      <c r="Y889">
        <v>500</v>
      </c>
      <c r="Z889">
        <v>3499.95</v>
      </c>
      <c r="AA889">
        <v>500</v>
      </c>
      <c r="AB889" s="6">
        <v>46147.586377314816</v>
      </c>
      <c r="AC889" s="6">
        <v>25569.229166666668</v>
      </c>
    </row>
    <row r="890" spans="1:29" x14ac:dyDescent="0.25">
      <c r="A890" t="s">
        <v>9</v>
      </c>
      <c r="B890" s="5">
        <v>46149</v>
      </c>
      <c r="C890" t="s">
        <v>54</v>
      </c>
      <c r="D890" t="s">
        <v>949</v>
      </c>
      <c r="E890">
        <v>227566341</v>
      </c>
      <c r="F890" t="s">
        <v>763</v>
      </c>
      <c r="G890" t="s">
        <v>764</v>
      </c>
      <c r="H890">
        <v>74100</v>
      </c>
      <c r="I890" t="s">
        <v>60</v>
      </c>
      <c r="J890">
        <v>5.5</v>
      </c>
      <c r="K890">
        <v>-65.625</v>
      </c>
      <c r="L890">
        <v>40</v>
      </c>
      <c r="M890">
        <v>10.77</v>
      </c>
      <c r="N890">
        <v>812380</v>
      </c>
      <c r="O890">
        <v>102360</v>
      </c>
      <c r="P890">
        <v>16500</v>
      </c>
      <c r="Q890">
        <v>111520</v>
      </c>
      <c r="R890">
        <v>115560</v>
      </c>
      <c r="S890">
        <v>44440</v>
      </c>
      <c r="T890">
        <v>16.8</v>
      </c>
      <c r="U890">
        <v>17.149999999999999</v>
      </c>
      <c r="V890">
        <v>5.0999999999999996</v>
      </c>
      <c r="W890">
        <v>16</v>
      </c>
      <c r="X890">
        <v>5.25</v>
      </c>
      <c r="Y890">
        <v>380</v>
      </c>
      <c r="Z890">
        <v>5.4</v>
      </c>
      <c r="AA890">
        <v>820</v>
      </c>
      <c r="AB890" s="6">
        <v>46147.586516203701</v>
      </c>
      <c r="AC890" s="6">
        <v>46147.586354166669</v>
      </c>
    </row>
    <row r="891" spans="1:29" x14ac:dyDescent="0.25">
      <c r="A891" t="s">
        <v>9</v>
      </c>
      <c r="B891" s="5">
        <v>46149</v>
      </c>
      <c r="C891" t="s">
        <v>54</v>
      </c>
      <c r="D891" t="s">
        <v>950</v>
      </c>
      <c r="E891">
        <v>227445253</v>
      </c>
      <c r="F891" t="s">
        <v>763</v>
      </c>
      <c r="G891" t="s">
        <v>764</v>
      </c>
      <c r="H891">
        <v>74200</v>
      </c>
      <c r="I891" t="s">
        <v>58</v>
      </c>
      <c r="J891">
        <v>3114</v>
      </c>
      <c r="K891">
        <v>0</v>
      </c>
      <c r="L891">
        <v>0</v>
      </c>
      <c r="M891">
        <v>0</v>
      </c>
      <c r="N891">
        <v>0</v>
      </c>
      <c r="O891">
        <v>700</v>
      </c>
      <c r="P891">
        <v>600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3114</v>
      </c>
      <c r="X891">
        <v>1946.35</v>
      </c>
      <c r="Y891">
        <v>500</v>
      </c>
      <c r="Z891">
        <v>3399.95</v>
      </c>
      <c r="AA891">
        <v>500</v>
      </c>
      <c r="AB891" s="6">
        <v>46147.586377314816</v>
      </c>
      <c r="AC891" s="6">
        <v>25569.229166666668</v>
      </c>
    </row>
    <row r="892" spans="1:29" x14ac:dyDescent="0.25">
      <c r="A892" t="s">
        <v>9</v>
      </c>
      <c r="B892" s="5">
        <v>46149</v>
      </c>
      <c r="C892" t="s">
        <v>54</v>
      </c>
      <c r="D892" t="s">
        <v>951</v>
      </c>
      <c r="E892">
        <v>227499781</v>
      </c>
      <c r="F892" t="s">
        <v>763</v>
      </c>
      <c r="G892" t="s">
        <v>764</v>
      </c>
      <c r="H892">
        <v>74200</v>
      </c>
      <c r="I892" t="s">
        <v>60</v>
      </c>
      <c r="J892">
        <v>5.95</v>
      </c>
      <c r="K892">
        <v>-67.307692307692307</v>
      </c>
      <c r="L892">
        <v>100</v>
      </c>
      <c r="M892">
        <v>12</v>
      </c>
      <c r="N892">
        <v>1154920</v>
      </c>
      <c r="O892">
        <v>112320</v>
      </c>
      <c r="P892">
        <v>11540</v>
      </c>
      <c r="Q892">
        <v>142480</v>
      </c>
      <c r="R892">
        <v>145780</v>
      </c>
      <c r="S892">
        <v>88440</v>
      </c>
      <c r="T892">
        <v>18.25</v>
      </c>
      <c r="U892">
        <v>20.100000000000001</v>
      </c>
      <c r="V892">
        <v>5.5</v>
      </c>
      <c r="W892">
        <v>18.2</v>
      </c>
      <c r="X892">
        <v>6</v>
      </c>
      <c r="Y892">
        <v>100</v>
      </c>
      <c r="Z892">
        <v>6.1</v>
      </c>
      <c r="AA892">
        <v>400</v>
      </c>
      <c r="AB892" s="6">
        <v>46147.586527777778</v>
      </c>
      <c r="AC892" s="6">
        <v>46147.586493055554</v>
      </c>
    </row>
    <row r="893" spans="1:29" x14ac:dyDescent="0.25">
      <c r="A893" t="s">
        <v>9</v>
      </c>
      <c r="B893" s="5">
        <v>46149</v>
      </c>
      <c r="C893" t="s">
        <v>54</v>
      </c>
      <c r="D893" t="s">
        <v>952</v>
      </c>
      <c r="E893">
        <v>227527173</v>
      </c>
      <c r="F893" t="s">
        <v>763</v>
      </c>
      <c r="G893" t="s">
        <v>764</v>
      </c>
      <c r="H893">
        <v>74300</v>
      </c>
      <c r="I893" t="s">
        <v>58</v>
      </c>
      <c r="J893">
        <v>3016.25</v>
      </c>
      <c r="K893">
        <v>0</v>
      </c>
      <c r="L893">
        <v>0</v>
      </c>
      <c r="M893">
        <v>0</v>
      </c>
      <c r="N893">
        <v>0</v>
      </c>
      <c r="O893">
        <v>700</v>
      </c>
      <c r="P893">
        <v>600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3016.25</v>
      </c>
      <c r="X893">
        <v>1843.95</v>
      </c>
      <c r="Y893">
        <v>500</v>
      </c>
      <c r="Z893">
        <v>3299.95</v>
      </c>
      <c r="AA893">
        <v>500</v>
      </c>
      <c r="AB893" s="6">
        <v>46147.586388888885</v>
      </c>
      <c r="AC893" s="6">
        <v>25569.229166666668</v>
      </c>
    </row>
    <row r="894" spans="1:29" x14ac:dyDescent="0.25">
      <c r="A894" t="s">
        <v>9</v>
      </c>
      <c r="B894" s="5">
        <v>46149</v>
      </c>
      <c r="C894" t="s">
        <v>54</v>
      </c>
      <c r="D894" t="s">
        <v>953</v>
      </c>
      <c r="E894">
        <v>227583749</v>
      </c>
      <c r="F894" t="s">
        <v>763</v>
      </c>
      <c r="G894" t="s">
        <v>764</v>
      </c>
      <c r="H894">
        <v>74300</v>
      </c>
      <c r="I894" t="s">
        <v>60</v>
      </c>
      <c r="J894">
        <v>7.4</v>
      </c>
      <c r="K894">
        <v>-65.581395348837205</v>
      </c>
      <c r="L894">
        <v>40</v>
      </c>
      <c r="M894">
        <v>14.67</v>
      </c>
      <c r="N894">
        <v>1072240</v>
      </c>
      <c r="O894">
        <v>89120</v>
      </c>
      <c r="P894">
        <v>14180</v>
      </c>
      <c r="Q894">
        <v>73080</v>
      </c>
      <c r="R894">
        <v>81180</v>
      </c>
      <c r="S894">
        <v>52880</v>
      </c>
      <c r="T894">
        <v>20</v>
      </c>
      <c r="U894">
        <v>22.85</v>
      </c>
      <c r="V894">
        <v>6.75</v>
      </c>
      <c r="W894">
        <v>21.5</v>
      </c>
      <c r="X894">
        <v>7</v>
      </c>
      <c r="Y894">
        <v>180</v>
      </c>
      <c r="Z894">
        <v>7.1</v>
      </c>
      <c r="AA894">
        <v>100</v>
      </c>
      <c r="AB894" s="6">
        <v>46147.586527777778</v>
      </c>
      <c r="AC894" s="6">
        <v>46147.58630787037</v>
      </c>
    </row>
    <row r="895" spans="1:29" x14ac:dyDescent="0.25">
      <c r="A895" t="s">
        <v>9</v>
      </c>
      <c r="B895" s="5">
        <v>46149</v>
      </c>
      <c r="C895" t="s">
        <v>54</v>
      </c>
      <c r="D895" t="s">
        <v>954</v>
      </c>
      <c r="E895">
        <v>227463429</v>
      </c>
      <c r="F895" t="s">
        <v>763</v>
      </c>
      <c r="G895" t="s">
        <v>764</v>
      </c>
      <c r="H895">
        <v>74400</v>
      </c>
      <c r="I895" t="s">
        <v>58</v>
      </c>
      <c r="J895">
        <v>2918.9</v>
      </c>
      <c r="K895">
        <v>0</v>
      </c>
      <c r="L895">
        <v>0</v>
      </c>
      <c r="M895">
        <v>0</v>
      </c>
      <c r="N895">
        <v>0</v>
      </c>
      <c r="O895">
        <v>700</v>
      </c>
      <c r="P895">
        <v>600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2918.9</v>
      </c>
      <c r="X895">
        <v>1744.3</v>
      </c>
      <c r="Y895">
        <v>500</v>
      </c>
      <c r="Z895">
        <v>3199.95</v>
      </c>
      <c r="AA895">
        <v>500</v>
      </c>
      <c r="AB895" s="6">
        <v>46147.586377314816</v>
      </c>
      <c r="AC895" s="6">
        <v>25569.229166666668</v>
      </c>
    </row>
    <row r="896" spans="1:29" x14ac:dyDescent="0.25">
      <c r="A896" t="s">
        <v>9</v>
      </c>
      <c r="B896" s="5">
        <v>46149</v>
      </c>
      <c r="C896" t="s">
        <v>54</v>
      </c>
      <c r="D896" t="s">
        <v>955</v>
      </c>
      <c r="E896">
        <v>227517189</v>
      </c>
      <c r="F896" t="s">
        <v>763</v>
      </c>
      <c r="G896" t="s">
        <v>764</v>
      </c>
      <c r="H896">
        <v>74400</v>
      </c>
      <c r="I896" t="s">
        <v>60</v>
      </c>
      <c r="J896">
        <v>8.0500000000000007</v>
      </c>
      <c r="K896">
        <v>-64.770240700218821</v>
      </c>
      <c r="L896">
        <v>40</v>
      </c>
      <c r="M896">
        <v>16.47</v>
      </c>
      <c r="N896">
        <v>1669620</v>
      </c>
      <c r="O896">
        <v>84320</v>
      </c>
      <c r="P896">
        <v>25160</v>
      </c>
      <c r="Q896">
        <v>109180</v>
      </c>
      <c r="R896">
        <v>122760</v>
      </c>
      <c r="S896">
        <v>68040</v>
      </c>
      <c r="T896">
        <v>25</v>
      </c>
      <c r="U896">
        <v>28.2</v>
      </c>
      <c r="V896">
        <v>7.6</v>
      </c>
      <c r="W896">
        <v>22.85</v>
      </c>
      <c r="X896">
        <v>8</v>
      </c>
      <c r="Y896">
        <v>80</v>
      </c>
      <c r="Z896">
        <v>8.1</v>
      </c>
      <c r="AA896">
        <v>720</v>
      </c>
      <c r="AB896" s="6">
        <v>46147.586516203701</v>
      </c>
      <c r="AC896" s="6">
        <v>46147.586446759262</v>
      </c>
    </row>
    <row r="897" spans="1:29" x14ac:dyDescent="0.25">
      <c r="A897" t="s">
        <v>9</v>
      </c>
      <c r="B897" s="5">
        <v>46149</v>
      </c>
      <c r="C897" t="s">
        <v>54</v>
      </c>
      <c r="D897" t="s">
        <v>956</v>
      </c>
      <c r="E897">
        <v>227545093</v>
      </c>
      <c r="F897" t="s">
        <v>763</v>
      </c>
      <c r="G897" t="s">
        <v>764</v>
      </c>
      <c r="H897">
        <v>74500</v>
      </c>
      <c r="I897" t="s">
        <v>58</v>
      </c>
      <c r="J897">
        <v>2986</v>
      </c>
      <c r="K897">
        <v>0</v>
      </c>
      <c r="L897">
        <v>0</v>
      </c>
      <c r="M897">
        <v>0</v>
      </c>
      <c r="N897">
        <v>0</v>
      </c>
      <c r="O897">
        <v>4200</v>
      </c>
      <c r="P897">
        <v>1100</v>
      </c>
      <c r="Q897">
        <v>240</v>
      </c>
      <c r="R897">
        <v>240</v>
      </c>
      <c r="S897">
        <v>240</v>
      </c>
      <c r="T897">
        <v>0</v>
      </c>
      <c r="U897">
        <v>3527.1</v>
      </c>
      <c r="V897">
        <v>2759.05</v>
      </c>
      <c r="W897">
        <v>2986</v>
      </c>
      <c r="X897">
        <v>2073.5500000000002</v>
      </c>
      <c r="Y897">
        <v>500</v>
      </c>
      <c r="Z897">
        <v>2893.85</v>
      </c>
      <c r="AA897">
        <v>500</v>
      </c>
      <c r="AB897" s="6">
        <v>46147.586516203701</v>
      </c>
      <c r="AC897" s="6">
        <v>46146.640763888892</v>
      </c>
    </row>
    <row r="898" spans="1:29" x14ac:dyDescent="0.25">
      <c r="A898" t="s">
        <v>9</v>
      </c>
      <c r="B898" s="5">
        <v>46149</v>
      </c>
      <c r="C898" t="s">
        <v>54</v>
      </c>
      <c r="D898" t="s">
        <v>957</v>
      </c>
      <c r="E898">
        <v>227452421</v>
      </c>
      <c r="F898" t="s">
        <v>763</v>
      </c>
      <c r="G898" t="s">
        <v>764</v>
      </c>
      <c r="H898">
        <v>74500</v>
      </c>
      <c r="I898" t="s">
        <v>60</v>
      </c>
      <c r="J898">
        <v>9.4</v>
      </c>
      <c r="K898">
        <v>-64.925373134328353</v>
      </c>
      <c r="L898">
        <v>20</v>
      </c>
      <c r="M898">
        <v>18.38</v>
      </c>
      <c r="N898">
        <v>7428540</v>
      </c>
      <c r="O898">
        <v>110000</v>
      </c>
      <c r="P898">
        <v>77520</v>
      </c>
      <c r="Q898">
        <v>758520</v>
      </c>
      <c r="R898">
        <v>825240</v>
      </c>
      <c r="S898">
        <v>447320</v>
      </c>
      <c r="T898">
        <v>39</v>
      </c>
      <c r="U898">
        <v>39</v>
      </c>
      <c r="V898">
        <v>8.9</v>
      </c>
      <c r="W898">
        <v>26.8</v>
      </c>
      <c r="X898">
        <v>9.4</v>
      </c>
      <c r="Y898">
        <v>1100</v>
      </c>
      <c r="Z898">
        <v>9.4499999999999993</v>
      </c>
      <c r="AA898">
        <v>140</v>
      </c>
      <c r="AB898" s="6">
        <v>46147.586527777778</v>
      </c>
      <c r="AC898" s="6">
        <v>46147.586527777778</v>
      </c>
    </row>
    <row r="899" spans="1:29" x14ac:dyDescent="0.25">
      <c r="A899" t="s">
        <v>9</v>
      </c>
      <c r="B899" s="5">
        <v>46149</v>
      </c>
      <c r="C899" t="s">
        <v>54</v>
      </c>
      <c r="D899" t="s">
        <v>958</v>
      </c>
      <c r="E899">
        <v>227480581</v>
      </c>
      <c r="F899" t="s">
        <v>763</v>
      </c>
      <c r="G899" t="s">
        <v>764</v>
      </c>
      <c r="H899">
        <v>74600</v>
      </c>
      <c r="I899" t="s">
        <v>58</v>
      </c>
      <c r="J899">
        <v>2725.55</v>
      </c>
      <c r="K899">
        <v>0</v>
      </c>
      <c r="L899">
        <v>0</v>
      </c>
      <c r="M899">
        <v>0</v>
      </c>
      <c r="N899">
        <v>0</v>
      </c>
      <c r="O899">
        <v>9700</v>
      </c>
      <c r="P899">
        <v>600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2725.55</v>
      </c>
      <c r="X899">
        <v>1545.7</v>
      </c>
      <c r="Y899">
        <v>500</v>
      </c>
      <c r="Z899">
        <v>2999.95</v>
      </c>
      <c r="AA899">
        <v>500</v>
      </c>
      <c r="AB899" s="6">
        <v>46147.586388888885</v>
      </c>
      <c r="AC899" s="6">
        <v>25569.229166666668</v>
      </c>
    </row>
    <row r="900" spans="1:29" x14ac:dyDescent="0.25">
      <c r="A900" t="s">
        <v>9</v>
      </c>
      <c r="B900" s="5">
        <v>46149</v>
      </c>
      <c r="C900" t="s">
        <v>54</v>
      </c>
      <c r="D900" t="s">
        <v>959</v>
      </c>
      <c r="E900">
        <v>227536389</v>
      </c>
      <c r="F900" t="s">
        <v>763</v>
      </c>
      <c r="G900" t="s">
        <v>764</v>
      </c>
      <c r="H900">
        <v>74600</v>
      </c>
      <c r="I900" t="s">
        <v>60</v>
      </c>
      <c r="J900">
        <v>11.5</v>
      </c>
      <c r="K900">
        <v>-62.356792144026187</v>
      </c>
      <c r="L900">
        <v>20</v>
      </c>
      <c r="M900">
        <v>20.9</v>
      </c>
      <c r="N900">
        <v>1841920</v>
      </c>
      <c r="O900">
        <v>94380</v>
      </c>
      <c r="P900">
        <v>18220</v>
      </c>
      <c r="Q900">
        <v>120980</v>
      </c>
      <c r="R900">
        <v>158200</v>
      </c>
      <c r="S900">
        <v>26260</v>
      </c>
      <c r="T900">
        <v>30.55</v>
      </c>
      <c r="U900">
        <v>40</v>
      </c>
      <c r="V900">
        <v>10.95</v>
      </c>
      <c r="W900">
        <v>30.55</v>
      </c>
      <c r="X900">
        <v>11.45</v>
      </c>
      <c r="Y900">
        <v>680</v>
      </c>
      <c r="Z900">
        <v>11.5</v>
      </c>
      <c r="AA900">
        <v>180</v>
      </c>
      <c r="AB900" s="6">
        <v>46147.586527777778</v>
      </c>
      <c r="AC900" s="6">
        <v>46147.586504629631</v>
      </c>
    </row>
    <row r="901" spans="1:29" x14ac:dyDescent="0.25">
      <c r="A901" t="s">
        <v>9</v>
      </c>
      <c r="B901" s="5">
        <v>46149</v>
      </c>
      <c r="C901" t="s">
        <v>54</v>
      </c>
      <c r="D901" t="s">
        <v>960</v>
      </c>
      <c r="E901">
        <v>227561221</v>
      </c>
      <c r="F901" t="s">
        <v>763</v>
      </c>
      <c r="G901" t="s">
        <v>764</v>
      </c>
      <c r="H901">
        <v>74700</v>
      </c>
      <c r="I901" t="s">
        <v>58</v>
      </c>
      <c r="J901">
        <v>2629.65</v>
      </c>
      <c r="K901">
        <v>0</v>
      </c>
      <c r="L901">
        <v>0</v>
      </c>
      <c r="M901">
        <v>0</v>
      </c>
      <c r="N901">
        <v>0</v>
      </c>
      <c r="O901">
        <v>9700</v>
      </c>
      <c r="P901">
        <v>600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2629.65</v>
      </c>
      <c r="X901">
        <v>1450.1</v>
      </c>
      <c r="Y901">
        <v>500</v>
      </c>
      <c r="Z901">
        <v>2899.95</v>
      </c>
      <c r="AA901">
        <v>500</v>
      </c>
      <c r="AB901" s="6">
        <v>46147.586516203701</v>
      </c>
      <c r="AC901" s="6">
        <v>25569.229166666668</v>
      </c>
    </row>
    <row r="902" spans="1:29" x14ac:dyDescent="0.25">
      <c r="A902" t="s">
        <v>9</v>
      </c>
      <c r="B902" s="5">
        <v>46149</v>
      </c>
      <c r="C902" t="s">
        <v>54</v>
      </c>
      <c r="D902" t="s">
        <v>961</v>
      </c>
      <c r="E902">
        <v>227471877</v>
      </c>
      <c r="F902" t="s">
        <v>763</v>
      </c>
      <c r="G902" t="s">
        <v>764</v>
      </c>
      <c r="H902">
        <v>74700</v>
      </c>
      <c r="I902" t="s">
        <v>60</v>
      </c>
      <c r="J902">
        <v>13.55</v>
      </c>
      <c r="K902">
        <v>-60.951008645533136</v>
      </c>
      <c r="L902">
        <v>80</v>
      </c>
      <c r="M902">
        <v>25.65</v>
      </c>
      <c r="N902">
        <v>1508320</v>
      </c>
      <c r="O902">
        <v>118440</v>
      </c>
      <c r="P902">
        <v>24840</v>
      </c>
      <c r="Q902">
        <v>100180</v>
      </c>
      <c r="R902">
        <v>109620</v>
      </c>
      <c r="S902">
        <v>41420</v>
      </c>
      <c r="T902">
        <v>34.799999999999997</v>
      </c>
      <c r="U902">
        <v>42.05</v>
      </c>
      <c r="V902">
        <v>12.95</v>
      </c>
      <c r="W902">
        <v>34.700000000000003</v>
      </c>
      <c r="X902">
        <v>13.5</v>
      </c>
      <c r="Y902">
        <v>80</v>
      </c>
      <c r="Z902">
        <v>13.6</v>
      </c>
      <c r="AA902">
        <v>140</v>
      </c>
      <c r="AB902" s="6">
        <v>46147.586516203701</v>
      </c>
      <c r="AC902" s="6">
        <v>46147.586423611108</v>
      </c>
    </row>
    <row r="903" spans="1:29" x14ac:dyDescent="0.25">
      <c r="A903" t="s">
        <v>9</v>
      </c>
      <c r="B903" s="5">
        <v>46149</v>
      </c>
      <c r="C903" t="s">
        <v>54</v>
      </c>
      <c r="D903" t="s">
        <v>962</v>
      </c>
      <c r="E903">
        <v>227495685</v>
      </c>
      <c r="F903" t="s">
        <v>763</v>
      </c>
      <c r="G903" t="s">
        <v>764</v>
      </c>
      <c r="H903">
        <v>74800</v>
      </c>
      <c r="I903" t="s">
        <v>58</v>
      </c>
      <c r="J903">
        <v>2534.4</v>
      </c>
      <c r="K903">
        <v>0</v>
      </c>
      <c r="L903">
        <v>0</v>
      </c>
      <c r="M903">
        <v>0</v>
      </c>
      <c r="N903">
        <v>0</v>
      </c>
      <c r="O903">
        <v>9200</v>
      </c>
      <c r="P903">
        <v>1600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2534.4</v>
      </c>
      <c r="X903">
        <v>1200</v>
      </c>
      <c r="Y903">
        <v>100</v>
      </c>
      <c r="Z903">
        <v>2799.85</v>
      </c>
      <c r="AA903">
        <v>1000</v>
      </c>
      <c r="AB903" s="6">
        <v>46147.586527777778</v>
      </c>
      <c r="AC903" s="6">
        <v>25569.229166666668</v>
      </c>
    </row>
    <row r="904" spans="1:29" x14ac:dyDescent="0.25">
      <c r="A904" t="s">
        <v>9</v>
      </c>
      <c r="B904" s="5">
        <v>46149</v>
      </c>
      <c r="C904" t="s">
        <v>54</v>
      </c>
      <c r="D904" t="s">
        <v>963</v>
      </c>
      <c r="E904">
        <v>227552773</v>
      </c>
      <c r="F904" t="s">
        <v>763</v>
      </c>
      <c r="G904" t="s">
        <v>764</v>
      </c>
      <c r="H904">
        <v>74800</v>
      </c>
      <c r="I904" t="s">
        <v>60</v>
      </c>
      <c r="J904">
        <v>15.75</v>
      </c>
      <c r="K904">
        <v>-59.2496765847348</v>
      </c>
      <c r="L904">
        <v>20</v>
      </c>
      <c r="M904">
        <v>30.68</v>
      </c>
      <c r="N904">
        <v>2448360</v>
      </c>
      <c r="O904">
        <v>98740</v>
      </c>
      <c r="P904">
        <v>14340</v>
      </c>
      <c r="Q904">
        <v>178120</v>
      </c>
      <c r="R904">
        <v>205240</v>
      </c>
      <c r="S904">
        <v>115220</v>
      </c>
      <c r="T904">
        <v>40</v>
      </c>
      <c r="U904">
        <v>49.8</v>
      </c>
      <c r="V904">
        <v>15.1</v>
      </c>
      <c r="W904">
        <v>38.65</v>
      </c>
      <c r="X904">
        <v>15.75</v>
      </c>
      <c r="Y904">
        <v>140</v>
      </c>
      <c r="Z904">
        <v>15.8</v>
      </c>
      <c r="AA904">
        <v>120</v>
      </c>
      <c r="AB904" s="6">
        <v>46147.586527777778</v>
      </c>
      <c r="AC904" s="6">
        <v>46147.586527777778</v>
      </c>
    </row>
    <row r="905" spans="1:29" x14ac:dyDescent="0.25">
      <c r="A905" t="s">
        <v>9</v>
      </c>
      <c r="B905" s="5">
        <v>46149</v>
      </c>
      <c r="C905" t="s">
        <v>54</v>
      </c>
      <c r="D905" t="s">
        <v>964</v>
      </c>
      <c r="E905">
        <v>227431173</v>
      </c>
      <c r="F905" t="s">
        <v>763</v>
      </c>
      <c r="G905" t="s">
        <v>764</v>
      </c>
      <c r="H905">
        <v>74900</v>
      </c>
      <c r="I905" t="s">
        <v>58</v>
      </c>
      <c r="J905">
        <v>2439.85</v>
      </c>
      <c r="K905">
        <v>0</v>
      </c>
      <c r="L905">
        <v>0</v>
      </c>
      <c r="M905">
        <v>0</v>
      </c>
      <c r="N905">
        <v>0</v>
      </c>
      <c r="O905">
        <v>11200</v>
      </c>
      <c r="P905">
        <v>2100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2439.85</v>
      </c>
      <c r="X905">
        <v>2144.3000000000002</v>
      </c>
      <c r="Y905">
        <v>1000</v>
      </c>
      <c r="Z905">
        <v>2699.95</v>
      </c>
      <c r="AA905">
        <v>2000</v>
      </c>
      <c r="AB905" s="6">
        <v>46147.586527777778</v>
      </c>
      <c r="AC905" s="6">
        <v>25569.229166666668</v>
      </c>
    </row>
    <row r="906" spans="1:29" x14ac:dyDescent="0.25">
      <c r="A906" t="s">
        <v>9</v>
      </c>
      <c r="B906" s="5">
        <v>46149</v>
      </c>
      <c r="C906" t="s">
        <v>54</v>
      </c>
      <c r="D906" t="s">
        <v>965</v>
      </c>
      <c r="E906">
        <v>227488005</v>
      </c>
      <c r="F906" t="s">
        <v>763</v>
      </c>
      <c r="G906" t="s">
        <v>764</v>
      </c>
      <c r="H906">
        <v>74900</v>
      </c>
      <c r="I906" t="s">
        <v>60</v>
      </c>
      <c r="J906">
        <v>18.7</v>
      </c>
      <c r="K906">
        <v>-59.828141783029004</v>
      </c>
      <c r="L906">
        <v>20</v>
      </c>
      <c r="M906">
        <v>32.79</v>
      </c>
      <c r="N906">
        <v>1767180</v>
      </c>
      <c r="O906">
        <v>83600</v>
      </c>
      <c r="P906">
        <v>14000</v>
      </c>
      <c r="Q906">
        <v>178980</v>
      </c>
      <c r="R906">
        <v>179880</v>
      </c>
      <c r="S906">
        <v>60560</v>
      </c>
      <c r="T906">
        <v>50</v>
      </c>
      <c r="U906">
        <v>55.65</v>
      </c>
      <c r="V906">
        <v>18</v>
      </c>
      <c r="W906">
        <v>46.55</v>
      </c>
      <c r="X906">
        <v>18.8</v>
      </c>
      <c r="Y906">
        <v>220</v>
      </c>
      <c r="Z906">
        <v>18.899999999999999</v>
      </c>
      <c r="AA906">
        <v>20</v>
      </c>
      <c r="AB906" s="6">
        <v>46147.586527777778</v>
      </c>
      <c r="AC906" s="6">
        <v>46147.586481481485</v>
      </c>
    </row>
    <row r="907" spans="1:29" x14ac:dyDescent="0.25">
      <c r="A907" t="s">
        <v>9</v>
      </c>
      <c r="B907" s="5">
        <v>46149</v>
      </c>
      <c r="C907" t="s">
        <v>54</v>
      </c>
      <c r="D907" t="s">
        <v>966</v>
      </c>
      <c r="E907">
        <v>227585541</v>
      </c>
      <c r="F907" t="s">
        <v>763</v>
      </c>
      <c r="G907" t="s">
        <v>764</v>
      </c>
      <c r="H907">
        <v>75000</v>
      </c>
      <c r="I907" t="s">
        <v>58</v>
      </c>
      <c r="J907">
        <v>2080</v>
      </c>
      <c r="K907">
        <v>-17.202396353720918</v>
      </c>
      <c r="L907">
        <v>20</v>
      </c>
      <c r="M907">
        <v>1851.58</v>
      </c>
      <c r="N907">
        <v>27740</v>
      </c>
      <c r="O907">
        <v>56260</v>
      </c>
      <c r="P907">
        <v>1540</v>
      </c>
      <c r="Q907">
        <v>38420</v>
      </c>
      <c r="R907">
        <v>41400</v>
      </c>
      <c r="S907">
        <v>38420</v>
      </c>
      <c r="T907">
        <v>1910</v>
      </c>
      <c r="U907">
        <v>2250.75</v>
      </c>
      <c r="V907">
        <v>1576.25</v>
      </c>
      <c r="W907">
        <v>2512.15</v>
      </c>
      <c r="X907">
        <v>2098.9499999999998</v>
      </c>
      <c r="Y907">
        <v>40</v>
      </c>
      <c r="Z907">
        <v>2111.1999999999998</v>
      </c>
      <c r="AA907">
        <v>20</v>
      </c>
      <c r="AB907" s="6">
        <v>46147.586527777778</v>
      </c>
      <c r="AC907" s="6">
        <v>46147.585949074077</v>
      </c>
    </row>
    <row r="908" spans="1:29" x14ac:dyDescent="0.25">
      <c r="A908" t="s">
        <v>9</v>
      </c>
      <c r="B908" s="5">
        <v>46149</v>
      </c>
      <c r="C908" t="s">
        <v>54</v>
      </c>
      <c r="D908" t="s">
        <v>967</v>
      </c>
      <c r="E908">
        <v>227375365</v>
      </c>
      <c r="F908" t="s">
        <v>763</v>
      </c>
      <c r="G908" t="s">
        <v>764</v>
      </c>
      <c r="H908">
        <v>75000</v>
      </c>
      <c r="I908" t="s">
        <v>60</v>
      </c>
      <c r="J908">
        <v>22.75</v>
      </c>
      <c r="K908">
        <v>-54.2713567839196</v>
      </c>
      <c r="L908">
        <v>60</v>
      </c>
      <c r="M908">
        <v>40.57</v>
      </c>
      <c r="N908">
        <v>8524940</v>
      </c>
      <c r="O908">
        <v>115820</v>
      </c>
      <c r="P908">
        <v>76540</v>
      </c>
      <c r="Q908">
        <v>689960</v>
      </c>
      <c r="R908">
        <v>689960</v>
      </c>
      <c r="S908">
        <v>423760</v>
      </c>
      <c r="T908">
        <v>40</v>
      </c>
      <c r="U908">
        <v>64.650000000000006</v>
      </c>
      <c r="V908">
        <v>21.4</v>
      </c>
      <c r="W908">
        <v>49.75</v>
      </c>
      <c r="X908">
        <v>22.65</v>
      </c>
      <c r="Y908">
        <v>200</v>
      </c>
      <c r="Z908">
        <v>22.75</v>
      </c>
      <c r="AA908">
        <v>320</v>
      </c>
      <c r="AB908" s="6">
        <v>46147.586516203701</v>
      </c>
      <c r="AC908" s="6">
        <v>46147.586504629631</v>
      </c>
    </row>
    <row r="909" spans="1:29" x14ac:dyDescent="0.25">
      <c r="A909" t="s">
        <v>9</v>
      </c>
      <c r="B909" s="5">
        <v>46149</v>
      </c>
      <c r="C909" t="s">
        <v>54</v>
      </c>
      <c r="D909" t="s">
        <v>968</v>
      </c>
      <c r="E909">
        <v>227399429</v>
      </c>
      <c r="F909" t="s">
        <v>763</v>
      </c>
      <c r="G909" t="s">
        <v>764</v>
      </c>
      <c r="H909">
        <v>75100</v>
      </c>
      <c r="I909" t="s">
        <v>58</v>
      </c>
      <c r="J909">
        <v>2253.15</v>
      </c>
      <c r="K909">
        <v>0</v>
      </c>
      <c r="L909">
        <v>0</v>
      </c>
      <c r="M909">
        <v>0</v>
      </c>
      <c r="N909">
        <v>0</v>
      </c>
      <c r="O909">
        <v>26100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2253.15</v>
      </c>
      <c r="X909">
        <v>222.15</v>
      </c>
      <c r="Y909">
        <v>3000</v>
      </c>
      <c r="Z909">
        <v>0</v>
      </c>
      <c r="AA909">
        <v>0</v>
      </c>
      <c r="AB909" s="6">
        <v>46147.586516203701</v>
      </c>
      <c r="AC909" s="6">
        <v>25569.229166666668</v>
      </c>
    </row>
    <row r="910" spans="1:29" x14ac:dyDescent="0.25">
      <c r="A910" t="s">
        <v>9</v>
      </c>
      <c r="B910" s="5">
        <v>46149</v>
      </c>
      <c r="C910" t="s">
        <v>54</v>
      </c>
      <c r="D910" t="s">
        <v>969</v>
      </c>
      <c r="E910">
        <v>227457797</v>
      </c>
      <c r="F910" t="s">
        <v>763</v>
      </c>
      <c r="G910" t="s">
        <v>764</v>
      </c>
      <c r="H910">
        <v>75100</v>
      </c>
      <c r="I910" t="s">
        <v>60</v>
      </c>
      <c r="J910">
        <v>26.5</v>
      </c>
      <c r="K910">
        <v>-52.551477170993735</v>
      </c>
      <c r="L910">
        <v>20</v>
      </c>
      <c r="M910">
        <v>48.62</v>
      </c>
      <c r="N910">
        <v>2003900</v>
      </c>
      <c r="O910">
        <v>67240</v>
      </c>
      <c r="P910">
        <v>13180</v>
      </c>
      <c r="Q910">
        <v>84060</v>
      </c>
      <c r="R910">
        <v>113380</v>
      </c>
      <c r="S910">
        <v>51680</v>
      </c>
      <c r="T910">
        <v>40</v>
      </c>
      <c r="U910">
        <v>75.55</v>
      </c>
      <c r="V910">
        <v>25.2</v>
      </c>
      <c r="W910">
        <v>55.85</v>
      </c>
      <c r="X910">
        <v>26.45</v>
      </c>
      <c r="Y910">
        <v>100</v>
      </c>
      <c r="Z910">
        <v>26.55</v>
      </c>
      <c r="AA910">
        <v>100</v>
      </c>
      <c r="AB910" s="6">
        <v>46147.586527777778</v>
      </c>
      <c r="AC910" s="6">
        <v>46147.586527777778</v>
      </c>
    </row>
    <row r="911" spans="1:29" x14ac:dyDescent="0.25">
      <c r="A911" t="s">
        <v>9</v>
      </c>
      <c r="B911" s="5">
        <v>46149</v>
      </c>
      <c r="C911" t="s">
        <v>54</v>
      </c>
      <c r="D911" t="s">
        <v>970</v>
      </c>
      <c r="E911">
        <v>227602693</v>
      </c>
      <c r="F911" t="s">
        <v>763</v>
      </c>
      <c r="G911" t="s">
        <v>764</v>
      </c>
      <c r="H911">
        <v>75200</v>
      </c>
      <c r="I911" t="s">
        <v>58</v>
      </c>
      <c r="J911">
        <v>1954.3</v>
      </c>
      <c r="K911">
        <v>-9.571293061564452</v>
      </c>
      <c r="L911">
        <v>40</v>
      </c>
      <c r="M911">
        <v>1698.8</v>
      </c>
      <c r="N911">
        <v>160</v>
      </c>
      <c r="O911">
        <v>9380</v>
      </c>
      <c r="P911">
        <v>360</v>
      </c>
      <c r="Q911">
        <v>1240</v>
      </c>
      <c r="R911">
        <v>1240</v>
      </c>
      <c r="S911">
        <v>1140</v>
      </c>
      <c r="T911">
        <v>1621.15</v>
      </c>
      <c r="U911">
        <v>1954.3</v>
      </c>
      <c r="V911">
        <v>1425</v>
      </c>
      <c r="W911">
        <v>2161.15</v>
      </c>
      <c r="X911">
        <v>1903.25</v>
      </c>
      <c r="Y911">
        <v>20</v>
      </c>
      <c r="Z911">
        <v>1929.8</v>
      </c>
      <c r="AA911">
        <v>180</v>
      </c>
      <c r="AB911" s="6">
        <v>46147.586527777778</v>
      </c>
      <c r="AC911" s="6">
        <v>46147.546620370369</v>
      </c>
    </row>
    <row r="912" spans="1:29" x14ac:dyDescent="0.25">
      <c r="A912" t="s">
        <v>9</v>
      </c>
      <c r="B912" s="5">
        <v>46149</v>
      </c>
      <c r="C912" t="s">
        <v>54</v>
      </c>
      <c r="D912" t="s">
        <v>971</v>
      </c>
      <c r="E912">
        <v>227391493</v>
      </c>
      <c r="F912" t="s">
        <v>763</v>
      </c>
      <c r="G912" t="s">
        <v>764</v>
      </c>
      <c r="H912">
        <v>75200</v>
      </c>
      <c r="I912" t="s">
        <v>60</v>
      </c>
      <c r="J912">
        <v>31.05</v>
      </c>
      <c r="K912">
        <v>-49.878934624697337</v>
      </c>
      <c r="L912">
        <v>240</v>
      </c>
      <c r="M912">
        <v>57.28</v>
      </c>
      <c r="N912">
        <v>2063020</v>
      </c>
      <c r="O912">
        <v>73800</v>
      </c>
      <c r="P912">
        <v>26320</v>
      </c>
      <c r="Q912">
        <v>109080</v>
      </c>
      <c r="R912">
        <v>109080</v>
      </c>
      <c r="S912">
        <v>52000</v>
      </c>
      <c r="T912">
        <v>44</v>
      </c>
      <c r="U912">
        <v>87.85</v>
      </c>
      <c r="V912">
        <v>29.25</v>
      </c>
      <c r="W912">
        <v>61.95</v>
      </c>
      <c r="X912">
        <v>31.15</v>
      </c>
      <c r="Y912">
        <v>20</v>
      </c>
      <c r="Z912">
        <v>31.3</v>
      </c>
      <c r="AA912">
        <v>80</v>
      </c>
      <c r="AB912" s="6">
        <v>46147.586527777778</v>
      </c>
      <c r="AC912" s="6">
        <v>46147.586516203701</v>
      </c>
    </row>
    <row r="913" spans="1:29" x14ac:dyDescent="0.25">
      <c r="A913" t="s">
        <v>9</v>
      </c>
      <c r="B913" s="5">
        <v>46149</v>
      </c>
      <c r="C913" t="s">
        <v>54</v>
      </c>
      <c r="D913" t="s">
        <v>972</v>
      </c>
      <c r="E913">
        <v>227418373</v>
      </c>
      <c r="F913" t="s">
        <v>763</v>
      </c>
      <c r="G913" t="s">
        <v>764</v>
      </c>
      <c r="H913">
        <v>75300</v>
      </c>
      <c r="I913" t="s">
        <v>58</v>
      </c>
      <c r="J913">
        <v>1847</v>
      </c>
      <c r="K913">
        <v>-17.636566332218507</v>
      </c>
      <c r="L913">
        <v>20</v>
      </c>
      <c r="M913">
        <v>1730.15</v>
      </c>
      <c r="N913">
        <v>880</v>
      </c>
      <c r="O913">
        <v>12160</v>
      </c>
      <c r="P913">
        <v>1240</v>
      </c>
      <c r="Q913">
        <v>820</v>
      </c>
      <c r="R913">
        <v>860</v>
      </c>
      <c r="S913">
        <v>700</v>
      </c>
      <c r="T913">
        <v>1555.4</v>
      </c>
      <c r="U913">
        <v>1847</v>
      </c>
      <c r="V913">
        <v>1400</v>
      </c>
      <c r="W913">
        <v>2242.5</v>
      </c>
      <c r="X913">
        <v>1811</v>
      </c>
      <c r="Y913">
        <v>20</v>
      </c>
      <c r="Z913">
        <v>1835.25</v>
      </c>
      <c r="AA913">
        <v>20</v>
      </c>
      <c r="AB913" s="6">
        <v>46147.586516203701</v>
      </c>
      <c r="AC913" s="6">
        <v>46147.567465277774</v>
      </c>
    </row>
    <row r="914" spans="1:29" x14ac:dyDescent="0.25">
      <c r="A914" t="s">
        <v>9</v>
      </c>
      <c r="B914" s="5">
        <v>46149</v>
      </c>
      <c r="C914" t="s">
        <v>54</v>
      </c>
      <c r="D914" t="s">
        <v>973</v>
      </c>
      <c r="E914">
        <v>227593477</v>
      </c>
      <c r="F914" t="s">
        <v>763</v>
      </c>
      <c r="G914" t="s">
        <v>764</v>
      </c>
      <c r="H914">
        <v>75300</v>
      </c>
      <c r="I914" t="s">
        <v>60</v>
      </c>
      <c r="J914">
        <v>36.700000000000003</v>
      </c>
      <c r="K914">
        <v>-48.885793871866291</v>
      </c>
      <c r="L914">
        <v>20</v>
      </c>
      <c r="M914">
        <v>65.2</v>
      </c>
      <c r="N914">
        <v>2224820</v>
      </c>
      <c r="O914">
        <v>69520</v>
      </c>
      <c r="P914">
        <v>21080</v>
      </c>
      <c r="Q914">
        <v>120880</v>
      </c>
      <c r="R914">
        <v>125980</v>
      </c>
      <c r="S914">
        <v>70340</v>
      </c>
      <c r="T914">
        <v>50.95</v>
      </c>
      <c r="U914">
        <v>102.3</v>
      </c>
      <c r="V914">
        <v>34</v>
      </c>
      <c r="W914">
        <v>71.8</v>
      </c>
      <c r="X914">
        <v>36.85</v>
      </c>
      <c r="Y914">
        <v>80</v>
      </c>
      <c r="Z914">
        <v>37</v>
      </c>
      <c r="AA914">
        <v>100</v>
      </c>
      <c r="AB914" s="6">
        <v>46147.586516203701</v>
      </c>
      <c r="AC914" s="6">
        <v>46147.586481481485</v>
      </c>
    </row>
    <row r="915" spans="1:29" x14ac:dyDescent="0.25">
      <c r="A915" t="s">
        <v>9</v>
      </c>
      <c r="B915" s="5">
        <v>46149</v>
      </c>
      <c r="C915" t="s">
        <v>54</v>
      </c>
      <c r="D915" t="s">
        <v>974</v>
      </c>
      <c r="E915">
        <v>227617029</v>
      </c>
      <c r="F915" t="s">
        <v>763</v>
      </c>
      <c r="G915" t="s">
        <v>764</v>
      </c>
      <c r="H915">
        <v>75400</v>
      </c>
      <c r="I915" t="s">
        <v>58</v>
      </c>
      <c r="J915">
        <v>1741.6</v>
      </c>
      <c r="K915">
        <v>-12.055949705860076</v>
      </c>
      <c r="L915">
        <v>20</v>
      </c>
      <c r="M915">
        <v>1509.53</v>
      </c>
      <c r="N915">
        <v>280</v>
      </c>
      <c r="O915">
        <v>37500</v>
      </c>
      <c r="P915">
        <v>2560</v>
      </c>
      <c r="Q915">
        <v>140</v>
      </c>
      <c r="R915">
        <v>140</v>
      </c>
      <c r="S915">
        <v>20</v>
      </c>
      <c r="T915">
        <v>1464.05</v>
      </c>
      <c r="U915">
        <v>1741.6</v>
      </c>
      <c r="V915">
        <v>1305.45</v>
      </c>
      <c r="W915">
        <v>1980.35</v>
      </c>
      <c r="X915">
        <v>1717.8</v>
      </c>
      <c r="Y915">
        <v>100</v>
      </c>
      <c r="Z915">
        <v>1737.2</v>
      </c>
      <c r="AA915">
        <v>20</v>
      </c>
      <c r="AB915" s="6">
        <v>46147.586527777778</v>
      </c>
      <c r="AC915" s="6">
        <v>46147.582800925928</v>
      </c>
    </row>
    <row r="916" spans="1:29" x14ac:dyDescent="0.25">
      <c r="A916" t="s">
        <v>9</v>
      </c>
      <c r="B916" s="5">
        <v>46149</v>
      </c>
      <c r="C916" t="s">
        <v>54</v>
      </c>
      <c r="D916" t="s">
        <v>975</v>
      </c>
      <c r="E916">
        <v>227408901</v>
      </c>
      <c r="F916" t="s">
        <v>763</v>
      </c>
      <c r="G916" t="s">
        <v>764</v>
      </c>
      <c r="H916">
        <v>75400</v>
      </c>
      <c r="I916" t="s">
        <v>60</v>
      </c>
      <c r="J916">
        <v>43.1</v>
      </c>
      <c r="K916">
        <v>-46.790123456790127</v>
      </c>
      <c r="L916">
        <v>80</v>
      </c>
      <c r="M916">
        <v>76.47</v>
      </c>
      <c r="N916">
        <v>2430960</v>
      </c>
      <c r="O916">
        <v>68080</v>
      </c>
      <c r="P916">
        <v>26960</v>
      </c>
      <c r="Q916">
        <v>131200</v>
      </c>
      <c r="R916">
        <v>131200</v>
      </c>
      <c r="S916">
        <v>53440</v>
      </c>
      <c r="T916">
        <v>57</v>
      </c>
      <c r="U916">
        <v>117.65</v>
      </c>
      <c r="V916">
        <v>39.65</v>
      </c>
      <c r="W916">
        <v>81</v>
      </c>
      <c r="X916">
        <v>42.95</v>
      </c>
      <c r="Y916">
        <v>40</v>
      </c>
      <c r="Z916">
        <v>43.25</v>
      </c>
      <c r="AA916">
        <v>220</v>
      </c>
      <c r="AB916" s="6">
        <v>46147.586527777778</v>
      </c>
      <c r="AC916" s="6">
        <v>46147.586527777778</v>
      </c>
    </row>
    <row r="917" spans="1:29" x14ac:dyDescent="0.25">
      <c r="A917" t="s">
        <v>9</v>
      </c>
      <c r="B917" s="5">
        <v>46149</v>
      </c>
      <c r="C917" t="s">
        <v>54</v>
      </c>
      <c r="D917" t="s">
        <v>976</v>
      </c>
      <c r="E917">
        <v>227553797</v>
      </c>
      <c r="F917" t="s">
        <v>763</v>
      </c>
      <c r="G917" t="s">
        <v>764</v>
      </c>
      <c r="H917">
        <v>75500</v>
      </c>
      <c r="I917" t="s">
        <v>58</v>
      </c>
      <c r="J917">
        <v>1639.35</v>
      </c>
      <c r="K917">
        <v>-19.793042712461478</v>
      </c>
      <c r="L917">
        <v>20</v>
      </c>
      <c r="M917">
        <v>1438</v>
      </c>
      <c r="N917">
        <v>33560</v>
      </c>
      <c r="O917">
        <v>40860</v>
      </c>
      <c r="P917">
        <v>5020</v>
      </c>
      <c r="Q917">
        <v>9120</v>
      </c>
      <c r="R917">
        <v>10840</v>
      </c>
      <c r="S917">
        <v>6580</v>
      </c>
      <c r="T917">
        <v>1597</v>
      </c>
      <c r="U917">
        <v>1780</v>
      </c>
      <c r="V917">
        <v>1155</v>
      </c>
      <c r="W917">
        <v>2043.9</v>
      </c>
      <c r="X917">
        <v>1629.95</v>
      </c>
      <c r="Y917">
        <v>40</v>
      </c>
      <c r="Z917">
        <v>1642.4</v>
      </c>
      <c r="AA917">
        <v>40</v>
      </c>
      <c r="AB917" s="6">
        <v>46147.586527777778</v>
      </c>
      <c r="AC917" s="6">
        <v>46147.586516203701</v>
      </c>
    </row>
    <row r="918" spans="1:29" x14ac:dyDescent="0.25">
      <c r="A918" t="s">
        <v>9</v>
      </c>
      <c r="B918" s="5">
        <v>46149</v>
      </c>
      <c r="C918" t="s">
        <v>54</v>
      </c>
      <c r="D918" t="s">
        <v>977</v>
      </c>
      <c r="E918">
        <v>227609861</v>
      </c>
      <c r="F918" t="s">
        <v>763</v>
      </c>
      <c r="G918" t="s">
        <v>764</v>
      </c>
      <c r="H918">
        <v>75500</v>
      </c>
      <c r="I918" t="s">
        <v>60</v>
      </c>
      <c r="J918">
        <v>50.7</v>
      </c>
      <c r="K918">
        <v>-44.193725921849193</v>
      </c>
      <c r="L918">
        <v>20</v>
      </c>
      <c r="M918">
        <v>86.96</v>
      </c>
      <c r="N918">
        <v>6282440</v>
      </c>
      <c r="O918">
        <v>77000</v>
      </c>
      <c r="P918">
        <v>55520</v>
      </c>
      <c r="Q918">
        <v>465160</v>
      </c>
      <c r="R918">
        <v>473300</v>
      </c>
      <c r="S918">
        <v>324360</v>
      </c>
      <c r="T918">
        <v>91</v>
      </c>
      <c r="U918">
        <v>136</v>
      </c>
      <c r="V918">
        <v>46.2</v>
      </c>
      <c r="W918">
        <v>90.85</v>
      </c>
      <c r="X918">
        <v>50.65</v>
      </c>
      <c r="Y918">
        <v>20</v>
      </c>
      <c r="Z918">
        <v>50.85</v>
      </c>
      <c r="AA918">
        <v>140</v>
      </c>
      <c r="AB918" s="6">
        <v>46147.586527777778</v>
      </c>
      <c r="AC918" s="6">
        <v>46147.586504629631</v>
      </c>
    </row>
    <row r="919" spans="1:29" x14ac:dyDescent="0.25">
      <c r="A919" t="s">
        <v>9</v>
      </c>
      <c r="B919" s="5">
        <v>46149</v>
      </c>
      <c r="C919" t="s">
        <v>54</v>
      </c>
      <c r="D919" t="s">
        <v>978</v>
      </c>
      <c r="E919">
        <v>227631877</v>
      </c>
      <c r="F919" t="s">
        <v>763</v>
      </c>
      <c r="G919" t="s">
        <v>764</v>
      </c>
      <c r="H919">
        <v>75600</v>
      </c>
      <c r="I919" t="s">
        <v>58</v>
      </c>
      <c r="J919">
        <v>1580.3</v>
      </c>
      <c r="K919">
        <v>-11.946286287401797</v>
      </c>
      <c r="L919">
        <v>20</v>
      </c>
      <c r="M919">
        <v>1356.98</v>
      </c>
      <c r="N919">
        <v>8040</v>
      </c>
      <c r="O919">
        <v>41060</v>
      </c>
      <c r="P919">
        <v>4160</v>
      </c>
      <c r="Q919">
        <v>3980</v>
      </c>
      <c r="R919">
        <v>4400</v>
      </c>
      <c r="S919">
        <v>1100</v>
      </c>
      <c r="T919">
        <v>1572.6</v>
      </c>
      <c r="U919">
        <v>1665</v>
      </c>
      <c r="V919">
        <v>1089.9000000000001</v>
      </c>
      <c r="W919">
        <v>1794.7</v>
      </c>
      <c r="X919">
        <v>1533.85</v>
      </c>
      <c r="Y919">
        <v>40</v>
      </c>
      <c r="Z919">
        <v>1548.6</v>
      </c>
      <c r="AA919">
        <v>40</v>
      </c>
      <c r="AB919" s="6">
        <v>46147.586527777778</v>
      </c>
      <c r="AC919" s="6">
        <v>46147.581354166665</v>
      </c>
    </row>
    <row r="920" spans="1:29" x14ac:dyDescent="0.25">
      <c r="A920" t="s">
        <v>9</v>
      </c>
      <c r="B920" s="5">
        <v>46149</v>
      </c>
      <c r="C920" t="s">
        <v>54</v>
      </c>
      <c r="D920" t="s">
        <v>979</v>
      </c>
      <c r="E920">
        <v>227426821</v>
      </c>
      <c r="F920" t="s">
        <v>763</v>
      </c>
      <c r="G920" t="s">
        <v>764</v>
      </c>
      <c r="H920">
        <v>75600</v>
      </c>
      <c r="I920" t="s">
        <v>60</v>
      </c>
      <c r="J920">
        <v>59.6</v>
      </c>
      <c r="K920">
        <v>-42.443264123611783</v>
      </c>
      <c r="L920">
        <v>20</v>
      </c>
      <c r="M920">
        <v>100.99</v>
      </c>
      <c r="N920">
        <v>2509520</v>
      </c>
      <c r="O920">
        <v>50920</v>
      </c>
      <c r="P920">
        <v>35580</v>
      </c>
      <c r="Q920">
        <v>109340</v>
      </c>
      <c r="R920">
        <v>128620</v>
      </c>
      <c r="S920">
        <v>45680</v>
      </c>
      <c r="T920">
        <v>81</v>
      </c>
      <c r="U920">
        <v>157.05000000000001</v>
      </c>
      <c r="V920">
        <v>53.5</v>
      </c>
      <c r="W920">
        <v>103.55</v>
      </c>
      <c r="X920">
        <v>59.4</v>
      </c>
      <c r="Y920">
        <v>40</v>
      </c>
      <c r="Z920">
        <v>59.7</v>
      </c>
      <c r="AA920">
        <v>200</v>
      </c>
      <c r="AB920" s="6">
        <v>46147.586516203701</v>
      </c>
      <c r="AC920" s="6">
        <v>46147.586516203701</v>
      </c>
    </row>
    <row r="921" spans="1:29" x14ac:dyDescent="0.25">
      <c r="A921" t="s">
        <v>9</v>
      </c>
      <c r="B921" s="5">
        <v>46149</v>
      </c>
      <c r="C921" t="s">
        <v>54</v>
      </c>
      <c r="D921" t="s">
        <v>980</v>
      </c>
      <c r="E921">
        <v>227570437</v>
      </c>
      <c r="F921" t="s">
        <v>763</v>
      </c>
      <c r="G921" t="s">
        <v>764</v>
      </c>
      <c r="H921">
        <v>75700</v>
      </c>
      <c r="I921" t="s">
        <v>58</v>
      </c>
      <c r="J921">
        <v>1458.85</v>
      </c>
      <c r="K921">
        <v>-20.45312031407618</v>
      </c>
      <c r="L921">
        <v>20</v>
      </c>
      <c r="M921">
        <v>1200</v>
      </c>
      <c r="N921">
        <v>9520</v>
      </c>
      <c r="O921">
        <v>31540</v>
      </c>
      <c r="P921">
        <v>6620</v>
      </c>
      <c r="Q921">
        <v>6640</v>
      </c>
      <c r="R921">
        <v>6940</v>
      </c>
      <c r="S921">
        <v>4300</v>
      </c>
      <c r="T921">
        <v>1401.25</v>
      </c>
      <c r="U921">
        <v>1590</v>
      </c>
      <c r="V921">
        <v>1012.9</v>
      </c>
      <c r="W921">
        <v>1833.95</v>
      </c>
      <c r="X921">
        <v>1449.5</v>
      </c>
      <c r="Y921">
        <v>20</v>
      </c>
      <c r="Z921">
        <v>1460.8</v>
      </c>
      <c r="AA921">
        <v>40</v>
      </c>
      <c r="AB921" s="6">
        <v>46147.586516203701</v>
      </c>
      <c r="AC921" s="6">
        <v>46147.586469907408</v>
      </c>
    </row>
    <row r="922" spans="1:29" x14ac:dyDescent="0.25">
      <c r="A922" t="s">
        <v>9</v>
      </c>
      <c r="B922" s="5">
        <v>46149</v>
      </c>
      <c r="C922" t="s">
        <v>54</v>
      </c>
      <c r="D922" t="s">
        <v>981</v>
      </c>
      <c r="E922">
        <v>227623941</v>
      </c>
      <c r="F922" t="s">
        <v>763</v>
      </c>
      <c r="G922" t="s">
        <v>764</v>
      </c>
      <c r="H922">
        <v>75700</v>
      </c>
      <c r="I922" t="s">
        <v>60</v>
      </c>
      <c r="J922">
        <v>69.2</v>
      </c>
      <c r="K922">
        <v>-39.694989106753816</v>
      </c>
      <c r="L922">
        <v>20</v>
      </c>
      <c r="M922">
        <v>117.96</v>
      </c>
      <c r="N922">
        <v>2217520</v>
      </c>
      <c r="O922">
        <v>46120</v>
      </c>
      <c r="P922">
        <v>24240</v>
      </c>
      <c r="Q922">
        <v>99600</v>
      </c>
      <c r="R922">
        <v>102000</v>
      </c>
      <c r="S922">
        <v>41460</v>
      </c>
      <c r="T922">
        <v>87</v>
      </c>
      <c r="U922">
        <v>180.25</v>
      </c>
      <c r="V922">
        <v>61.9</v>
      </c>
      <c r="W922">
        <v>114.75</v>
      </c>
      <c r="X922">
        <v>69</v>
      </c>
      <c r="Y922">
        <v>40</v>
      </c>
      <c r="Z922">
        <v>69.3</v>
      </c>
      <c r="AA922">
        <v>160</v>
      </c>
      <c r="AB922" s="6">
        <v>46147.586527777778</v>
      </c>
      <c r="AC922" s="6">
        <v>46147.586493055554</v>
      </c>
    </row>
    <row r="923" spans="1:29" x14ac:dyDescent="0.25">
      <c r="A923" t="s">
        <v>9</v>
      </c>
      <c r="B923" s="5">
        <v>46149</v>
      </c>
      <c r="C923" t="s">
        <v>54</v>
      </c>
      <c r="D923" t="s">
        <v>982</v>
      </c>
      <c r="E923">
        <v>227386629</v>
      </c>
      <c r="F923" t="s">
        <v>763</v>
      </c>
      <c r="G923" t="s">
        <v>764</v>
      </c>
      <c r="H923">
        <v>75800</v>
      </c>
      <c r="I923" t="s">
        <v>58</v>
      </c>
      <c r="J923">
        <v>1332.9</v>
      </c>
      <c r="K923">
        <v>-25.737526812825578</v>
      </c>
      <c r="L923">
        <v>20</v>
      </c>
      <c r="M923">
        <v>1169.6300000000001</v>
      </c>
      <c r="N923">
        <v>24980</v>
      </c>
      <c r="O923">
        <v>32820</v>
      </c>
      <c r="P923">
        <v>6640</v>
      </c>
      <c r="Q923">
        <v>6400</v>
      </c>
      <c r="R923">
        <v>10000</v>
      </c>
      <c r="S923">
        <v>3980</v>
      </c>
      <c r="T923">
        <v>1360</v>
      </c>
      <c r="U923">
        <v>1498.25</v>
      </c>
      <c r="V923">
        <v>924.05</v>
      </c>
      <c r="W923">
        <v>1794.85</v>
      </c>
      <c r="X923">
        <v>1356.2</v>
      </c>
      <c r="Y923">
        <v>60</v>
      </c>
      <c r="Z923">
        <v>1371.35</v>
      </c>
      <c r="AA923">
        <v>120</v>
      </c>
      <c r="AB923" s="6">
        <v>46147.586527777778</v>
      </c>
      <c r="AC923" s="6">
        <v>46147.586134259262</v>
      </c>
    </row>
    <row r="924" spans="1:29" x14ac:dyDescent="0.25">
      <c r="A924" t="s">
        <v>9</v>
      </c>
      <c r="B924" s="5">
        <v>46149</v>
      </c>
      <c r="C924" t="s">
        <v>54</v>
      </c>
      <c r="D924" t="s">
        <v>983</v>
      </c>
      <c r="E924">
        <v>227443717</v>
      </c>
      <c r="F924" t="s">
        <v>763</v>
      </c>
      <c r="G924" t="s">
        <v>764</v>
      </c>
      <c r="H924">
        <v>75800</v>
      </c>
      <c r="I924" t="s">
        <v>60</v>
      </c>
      <c r="J924">
        <v>80.5</v>
      </c>
      <c r="K924">
        <v>-36.986301369863014</v>
      </c>
      <c r="L924">
        <v>120</v>
      </c>
      <c r="M924">
        <v>133.16</v>
      </c>
      <c r="N924">
        <v>2888940</v>
      </c>
      <c r="O924">
        <v>51060</v>
      </c>
      <c r="P924">
        <v>31140</v>
      </c>
      <c r="Q924">
        <v>151960</v>
      </c>
      <c r="R924">
        <v>155640</v>
      </c>
      <c r="S924">
        <v>62040</v>
      </c>
      <c r="T924">
        <v>130</v>
      </c>
      <c r="U924">
        <v>205.65</v>
      </c>
      <c r="V924">
        <v>71.7</v>
      </c>
      <c r="W924">
        <v>127.75</v>
      </c>
      <c r="X924">
        <v>81.150000000000006</v>
      </c>
      <c r="Y924">
        <v>40</v>
      </c>
      <c r="Z924">
        <v>81.599999999999994</v>
      </c>
      <c r="AA924">
        <v>280</v>
      </c>
      <c r="AB924" s="6">
        <v>46147.586527777778</v>
      </c>
      <c r="AC924" s="6">
        <v>46147.586469907408</v>
      </c>
    </row>
    <row r="925" spans="1:29" x14ac:dyDescent="0.25">
      <c r="A925" t="s">
        <v>9</v>
      </c>
      <c r="B925" s="5">
        <v>46149</v>
      </c>
      <c r="C925" t="s">
        <v>54</v>
      </c>
      <c r="D925" t="s">
        <v>984</v>
      </c>
      <c r="E925">
        <v>227588101</v>
      </c>
      <c r="F925" t="s">
        <v>763</v>
      </c>
      <c r="G925" t="s">
        <v>764</v>
      </c>
      <c r="H925">
        <v>75900</v>
      </c>
      <c r="I925" t="s">
        <v>58</v>
      </c>
      <c r="J925">
        <v>1300</v>
      </c>
      <c r="K925">
        <v>-23.39873902539626</v>
      </c>
      <c r="L925">
        <v>20</v>
      </c>
      <c r="M925">
        <v>1123.79</v>
      </c>
      <c r="N925">
        <v>32340</v>
      </c>
      <c r="O925">
        <v>33780</v>
      </c>
      <c r="P925">
        <v>8040</v>
      </c>
      <c r="Q925">
        <v>10140</v>
      </c>
      <c r="R925">
        <v>13340</v>
      </c>
      <c r="S925">
        <v>4020</v>
      </c>
      <c r="T925">
        <v>1350</v>
      </c>
      <c r="U925">
        <v>1410</v>
      </c>
      <c r="V925">
        <v>849.7</v>
      </c>
      <c r="W925">
        <v>1697.1</v>
      </c>
      <c r="X925">
        <v>1272.3499999999999</v>
      </c>
      <c r="Y925">
        <v>80</v>
      </c>
      <c r="Z925">
        <v>1283.3499999999999</v>
      </c>
      <c r="AA925">
        <v>40</v>
      </c>
      <c r="AB925" s="6">
        <v>46147.586516203701</v>
      </c>
      <c r="AC925" s="6">
        <v>46147.584687499999</v>
      </c>
    </row>
    <row r="926" spans="1:29" x14ac:dyDescent="0.25">
      <c r="A926" t="s">
        <v>9</v>
      </c>
      <c r="B926" s="5">
        <v>46149</v>
      </c>
      <c r="C926" t="s">
        <v>54</v>
      </c>
      <c r="D926" t="s">
        <v>985</v>
      </c>
      <c r="E926">
        <v>227377925</v>
      </c>
      <c r="F926" t="s">
        <v>763</v>
      </c>
      <c r="G926" t="s">
        <v>764</v>
      </c>
      <c r="H926">
        <v>75900</v>
      </c>
      <c r="I926" t="s">
        <v>60</v>
      </c>
      <c r="J926">
        <v>93.9</v>
      </c>
      <c r="K926">
        <v>-35.596707818930042</v>
      </c>
      <c r="L926">
        <v>40</v>
      </c>
      <c r="M926">
        <v>156.58000000000001</v>
      </c>
      <c r="N926">
        <v>3032440</v>
      </c>
      <c r="O926">
        <v>93460</v>
      </c>
      <c r="P926">
        <v>35880</v>
      </c>
      <c r="Q926">
        <v>184220</v>
      </c>
      <c r="R926">
        <v>186160</v>
      </c>
      <c r="S926">
        <v>43820</v>
      </c>
      <c r="T926">
        <v>110</v>
      </c>
      <c r="U926">
        <v>234.1</v>
      </c>
      <c r="V926">
        <v>82.75</v>
      </c>
      <c r="W926">
        <v>145.80000000000001</v>
      </c>
      <c r="X926">
        <v>94.25</v>
      </c>
      <c r="Y926">
        <v>60</v>
      </c>
      <c r="Z926">
        <v>94.55</v>
      </c>
      <c r="AA926">
        <v>20</v>
      </c>
      <c r="AB926" s="6">
        <v>46147.586516203701</v>
      </c>
      <c r="AC926" s="6">
        <v>46147.586504629631</v>
      </c>
    </row>
    <row r="927" spans="1:29" x14ac:dyDescent="0.25">
      <c r="A927" t="s">
        <v>9</v>
      </c>
      <c r="B927" s="5">
        <v>46149</v>
      </c>
      <c r="C927" t="s">
        <v>54</v>
      </c>
      <c r="D927" t="s">
        <v>986</v>
      </c>
      <c r="E927">
        <v>227478277</v>
      </c>
      <c r="F927" t="s">
        <v>763</v>
      </c>
      <c r="G927" t="s">
        <v>764</v>
      </c>
      <c r="H927">
        <v>76000</v>
      </c>
      <c r="I927" t="s">
        <v>58</v>
      </c>
      <c r="J927">
        <v>1195</v>
      </c>
      <c r="K927">
        <v>-24.930112761880828</v>
      </c>
      <c r="L927">
        <v>40</v>
      </c>
      <c r="M927">
        <v>1018.82</v>
      </c>
      <c r="N927">
        <v>438520</v>
      </c>
      <c r="O927">
        <v>38020</v>
      </c>
      <c r="P927">
        <v>13300</v>
      </c>
      <c r="Q927">
        <v>52500</v>
      </c>
      <c r="R927">
        <v>86020</v>
      </c>
      <c r="S927">
        <v>36760</v>
      </c>
      <c r="T927">
        <v>1301.05</v>
      </c>
      <c r="U927">
        <v>1335</v>
      </c>
      <c r="V927">
        <v>783.9</v>
      </c>
      <c r="W927">
        <v>1591.85</v>
      </c>
      <c r="X927">
        <v>1195.0999999999999</v>
      </c>
      <c r="Y927">
        <v>40</v>
      </c>
      <c r="Z927">
        <v>1201.05</v>
      </c>
      <c r="AA927">
        <v>60</v>
      </c>
      <c r="AB927" s="6">
        <v>46147.586527777778</v>
      </c>
      <c r="AC927" s="6">
        <v>46147.586458333331</v>
      </c>
    </row>
    <row r="928" spans="1:29" x14ac:dyDescent="0.25">
      <c r="A928" t="s">
        <v>9</v>
      </c>
      <c r="B928" s="5">
        <v>46149</v>
      </c>
      <c r="C928" t="s">
        <v>54</v>
      </c>
      <c r="D928" t="s">
        <v>987</v>
      </c>
      <c r="E928">
        <v>227533317</v>
      </c>
      <c r="F928" t="s">
        <v>763</v>
      </c>
      <c r="G928" t="s">
        <v>764</v>
      </c>
      <c r="H928">
        <v>76000</v>
      </c>
      <c r="I928" t="s">
        <v>60</v>
      </c>
      <c r="J928">
        <v>108.5</v>
      </c>
      <c r="K928">
        <v>-33.333333333333336</v>
      </c>
      <c r="L928">
        <v>100</v>
      </c>
      <c r="M928">
        <v>172.62</v>
      </c>
      <c r="N928">
        <v>9356840</v>
      </c>
      <c r="O928">
        <v>98200</v>
      </c>
      <c r="P928">
        <v>95240</v>
      </c>
      <c r="Q928">
        <v>571640</v>
      </c>
      <c r="R928">
        <v>572760</v>
      </c>
      <c r="S928">
        <v>285760</v>
      </c>
      <c r="T928">
        <v>122.95</v>
      </c>
      <c r="U928">
        <v>265.05</v>
      </c>
      <c r="V928">
        <v>95.2</v>
      </c>
      <c r="W928">
        <v>162.75</v>
      </c>
      <c r="X928">
        <v>108.35</v>
      </c>
      <c r="Y928">
        <v>60</v>
      </c>
      <c r="Z928">
        <v>108.7</v>
      </c>
      <c r="AA928">
        <v>80</v>
      </c>
      <c r="AB928" s="6">
        <v>46147.586527777778</v>
      </c>
      <c r="AC928" s="6">
        <v>46147.586527777778</v>
      </c>
    </row>
    <row r="929" spans="1:29" x14ac:dyDescent="0.25">
      <c r="A929" t="s">
        <v>9</v>
      </c>
      <c r="B929" s="5">
        <v>46149</v>
      </c>
      <c r="C929" t="s">
        <v>54</v>
      </c>
      <c r="D929" t="s">
        <v>988</v>
      </c>
      <c r="E929">
        <v>227558917</v>
      </c>
      <c r="F929" t="s">
        <v>763</v>
      </c>
      <c r="G929" t="s">
        <v>764</v>
      </c>
      <c r="H929">
        <v>76100</v>
      </c>
      <c r="I929" t="s">
        <v>58</v>
      </c>
      <c r="J929">
        <v>1092.9000000000001</v>
      </c>
      <c r="K929">
        <v>-27.923234188485118</v>
      </c>
      <c r="L929">
        <v>20</v>
      </c>
      <c r="M929">
        <v>903.86</v>
      </c>
      <c r="N929">
        <v>81180</v>
      </c>
      <c r="O929">
        <v>37740</v>
      </c>
      <c r="P929">
        <v>12960</v>
      </c>
      <c r="Q929">
        <v>16340</v>
      </c>
      <c r="R929">
        <v>19020</v>
      </c>
      <c r="S929">
        <v>3080</v>
      </c>
      <c r="T929">
        <v>1391.15</v>
      </c>
      <c r="U929">
        <v>1391.15</v>
      </c>
      <c r="V929">
        <v>716.35</v>
      </c>
      <c r="W929">
        <v>1516.3</v>
      </c>
      <c r="X929">
        <v>1104.45</v>
      </c>
      <c r="Y929">
        <v>80</v>
      </c>
      <c r="Z929">
        <v>1117.2</v>
      </c>
      <c r="AA929">
        <v>40</v>
      </c>
      <c r="AB929" s="6">
        <v>46147.586527777778</v>
      </c>
      <c r="AC929" s="6">
        <v>46147.586342592593</v>
      </c>
    </row>
    <row r="930" spans="1:29" x14ac:dyDescent="0.25">
      <c r="A930" t="s">
        <v>9</v>
      </c>
      <c r="B930" s="5">
        <v>46149</v>
      </c>
      <c r="C930" t="s">
        <v>54</v>
      </c>
      <c r="D930" t="s">
        <v>989</v>
      </c>
      <c r="E930">
        <v>227469573</v>
      </c>
      <c r="F930" t="s">
        <v>763</v>
      </c>
      <c r="G930" t="s">
        <v>764</v>
      </c>
      <c r="H930">
        <v>76100</v>
      </c>
      <c r="I930" t="s">
        <v>60</v>
      </c>
      <c r="J930">
        <v>125.7</v>
      </c>
      <c r="K930">
        <v>-30.820033021463942</v>
      </c>
      <c r="L930">
        <v>20</v>
      </c>
      <c r="M930">
        <v>203.28</v>
      </c>
      <c r="N930">
        <v>3385680</v>
      </c>
      <c r="O930">
        <v>51480</v>
      </c>
      <c r="P930">
        <v>34120</v>
      </c>
      <c r="Q930">
        <v>104800</v>
      </c>
      <c r="R930">
        <v>123620</v>
      </c>
      <c r="S930">
        <v>50680</v>
      </c>
      <c r="T930">
        <v>190</v>
      </c>
      <c r="U930">
        <v>299.25</v>
      </c>
      <c r="V930">
        <v>109</v>
      </c>
      <c r="W930">
        <v>181.7</v>
      </c>
      <c r="X930">
        <v>125.9</v>
      </c>
      <c r="Y930">
        <v>60</v>
      </c>
      <c r="Z930">
        <v>126.3</v>
      </c>
      <c r="AA930">
        <v>80</v>
      </c>
      <c r="AB930" s="6">
        <v>46147.586527777778</v>
      </c>
      <c r="AC930" s="6">
        <v>46147.586504629631</v>
      </c>
    </row>
    <row r="931" spans="1:29" x14ac:dyDescent="0.25">
      <c r="A931" t="s">
        <v>9</v>
      </c>
      <c r="B931" s="5">
        <v>46149</v>
      </c>
      <c r="C931" t="s">
        <v>54</v>
      </c>
      <c r="D931" t="s">
        <v>990</v>
      </c>
      <c r="E931">
        <v>227493637</v>
      </c>
      <c r="F931" t="s">
        <v>763</v>
      </c>
      <c r="G931" t="s">
        <v>764</v>
      </c>
      <c r="H931">
        <v>76200</v>
      </c>
      <c r="I931" t="s">
        <v>58</v>
      </c>
      <c r="J931">
        <v>1010</v>
      </c>
      <c r="K931">
        <v>-29.100417675757253</v>
      </c>
      <c r="L931">
        <v>20</v>
      </c>
      <c r="M931">
        <v>844.54</v>
      </c>
      <c r="N931">
        <v>237100</v>
      </c>
      <c r="O931">
        <v>19120</v>
      </c>
      <c r="P931">
        <v>16060</v>
      </c>
      <c r="Q931">
        <v>21880</v>
      </c>
      <c r="R931">
        <v>34680</v>
      </c>
      <c r="S931">
        <v>4680</v>
      </c>
      <c r="T931">
        <v>1211</v>
      </c>
      <c r="U931">
        <v>1211</v>
      </c>
      <c r="V931">
        <v>653.20000000000005</v>
      </c>
      <c r="W931">
        <v>1424.55</v>
      </c>
      <c r="X931">
        <v>1028.8</v>
      </c>
      <c r="Y931">
        <v>60</v>
      </c>
      <c r="Z931">
        <v>1034.3499999999999</v>
      </c>
      <c r="AA931">
        <v>200</v>
      </c>
      <c r="AB931" s="6">
        <v>46147.586527777778</v>
      </c>
      <c r="AC931" s="6">
        <v>46147.586284722223</v>
      </c>
    </row>
    <row r="932" spans="1:29" x14ac:dyDescent="0.25">
      <c r="A932" t="s">
        <v>9</v>
      </c>
      <c r="B932" s="5">
        <v>46149</v>
      </c>
      <c r="C932" t="s">
        <v>54</v>
      </c>
      <c r="D932" t="s">
        <v>991</v>
      </c>
      <c r="E932">
        <v>227549957</v>
      </c>
      <c r="F932" t="s">
        <v>763</v>
      </c>
      <c r="G932" t="s">
        <v>764</v>
      </c>
      <c r="H932">
        <v>76200</v>
      </c>
      <c r="I932" t="s">
        <v>60</v>
      </c>
      <c r="J932">
        <v>145.15</v>
      </c>
      <c r="K932">
        <v>-28.285573122529645</v>
      </c>
      <c r="L932">
        <v>20</v>
      </c>
      <c r="M932">
        <v>227.18</v>
      </c>
      <c r="N932">
        <v>4118880</v>
      </c>
      <c r="O932">
        <v>48000</v>
      </c>
      <c r="P932">
        <v>42700</v>
      </c>
      <c r="Q932">
        <v>170720</v>
      </c>
      <c r="R932">
        <v>170940</v>
      </c>
      <c r="S932">
        <v>76860</v>
      </c>
      <c r="T932">
        <v>237.95</v>
      </c>
      <c r="U932">
        <v>337</v>
      </c>
      <c r="V932">
        <v>125.7</v>
      </c>
      <c r="W932">
        <v>202.4</v>
      </c>
      <c r="X932">
        <v>145.05000000000001</v>
      </c>
      <c r="Y932">
        <v>20</v>
      </c>
      <c r="Z932">
        <v>145.5</v>
      </c>
      <c r="AA932">
        <v>220</v>
      </c>
      <c r="AB932" s="6">
        <v>46147.586516203701</v>
      </c>
      <c r="AC932" s="6">
        <v>46147.586504629631</v>
      </c>
    </row>
    <row r="933" spans="1:29" x14ac:dyDescent="0.25">
      <c r="A933" t="s">
        <v>9</v>
      </c>
      <c r="B933" s="5">
        <v>46149</v>
      </c>
      <c r="C933" t="s">
        <v>54</v>
      </c>
      <c r="D933" t="s">
        <v>992</v>
      </c>
      <c r="E933">
        <v>227428357</v>
      </c>
      <c r="F933" t="s">
        <v>763</v>
      </c>
      <c r="G933" t="s">
        <v>764</v>
      </c>
      <c r="H933">
        <v>76300</v>
      </c>
      <c r="I933" t="s">
        <v>58</v>
      </c>
      <c r="J933">
        <v>955.45</v>
      </c>
      <c r="K933">
        <v>-30.067703568161019</v>
      </c>
      <c r="L933">
        <v>20</v>
      </c>
      <c r="M933">
        <v>771.71</v>
      </c>
      <c r="N933">
        <v>354000</v>
      </c>
      <c r="O933">
        <v>16260</v>
      </c>
      <c r="P933">
        <v>18240</v>
      </c>
      <c r="Q933">
        <v>31480</v>
      </c>
      <c r="R933">
        <v>45460</v>
      </c>
      <c r="S933">
        <v>12580</v>
      </c>
      <c r="T933">
        <v>872.6</v>
      </c>
      <c r="U933">
        <v>1089.2</v>
      </c>
      <c r="V933">
        <v>594.20000000000005</v>
      </c>
      <c r="W933">
        <v>1366.25</v>
      </c>
      <c r="X933">
        <v>951.35</v>
      </c>
      <c r="Y933">
        <v>40</v>
      </c>
      <c r="Z933">
        <v>955.45</v>
      </c>
      <c r="AA933">
        <v>60</v>
      </c>
      <c r="AB933" s="6">
        <v>46147.586516203701</v>
      </c>
      <c r="AC933" s="6">
        <v>46147.586504629631</v>
      </c>
    </row>
    <row r="934" spans="1:29" x14ac:dyDescent="0.25">
      <c r="A934" t="s">
        <v>9</v>
      </c>
      <c r="B934" s="5">
        <v>46149</v>
      </c>
      <c r="C934" t="s">
        <v>54</v>
      </c>
      <c r="D934" t="s">
        <v>993</v>
      </c>
      <c r="E934">
        <v>227485957</v>
      </c>
      <c r="F934" t="s">
        <v>763</v>
      </c>
      <c r="G934" t="s">
        <v>764</v>
      </c>
      <c r="H934">
        <v>76300</v>
      </c>
      <c r="I934" t="s">
        <v>60</v>
      </c>
      <c r="J934">
        <v>166.6</v>
      </c>
      <c r="K934">
        <v>-25.27472527472527</v>
      </c>
      <c r="L934">
        <v>20</v>
      </c>
      <c r="M934">
        <v>253.74</v>
      </c>
      <c r="N934">
        <v>4324660</v>
      </c>
      <c r="O934">
        <v>52500</v>
      </c>
      <c r="P934">
        <v>49960</v>
      </c>
      <c r="Q934">
        <v>151820</v>
      </c>
      <c r="R934">
        <v>166660</v>
      </c>
      <c r="S934">
        <v>65820</v>
      </c>
      <c r="T934">
        <v>225</v>
      </c>
      <c r="U934">
        <v>378.4</v>
      </c>
      <c r="V934">
        <v>143.35</v>
      </c>
      <c r="W934">
        <v>222.95</v>
      </c>
      <c r="X934">
        <v>165.85</v>
      </c>
      <c r="Y934">
        <v>20</v>
      </c>
      <c r="Z934">
        <v>166.4</v>
      </c>
      <c r="AA934">
        <v>160</v>
      </c>
      <c r="AB934" s="6">
        <v>46147.586527777778</v>
      </c>
      <c r="AC934" s="6">
        <v>46147.586527777778</v>
      </c>
    </row>
    <row r="935" spans="1:29" x14ac:dyDescent="0.25">
      <c r="A935" t="s">
        <v>9</v>
      </c>
      <c r="B935" s="5">
        <v>46149</v>
      </c>
      <c r="C935" t="s">
        <v>54</v>
      </c>
      <c r="D935" t="s">
        <v>994</v>
      </c>
      <c r="E935">
        <v>227507717</v>
      </c>
      <c r="F935" t="s">
        <v>763</v>
      </c>
      <c r="G935" t="s">
        <v>764</v>
      </c>
      <c r="H935">
        <v>76400</v>
      </c>
      <c r="I935" t="s">
        <v>58</v>
      </c>
      <c r="J935">
        <v>881.35</v>
      </c>
      <c r="K935">
        <v>-32.115073557729332</v>
      </c>
      <c r="L935">
        <v>40</v>
      </c>
      <c r="M935">
        <v>706.66</v>
      </c>
      <c r="N935">
        <v>724060</v>
      </c>
      <c r="O935">
        <v>21280</v>
      </c>
      <c r="P935">
        <v>17220</v>
      </c>
      <c r="Q935">
        <v>33640</v>
      </c>
      <c r="R935">
        <v>72300</v>
      </c>
      <c r="S935">
        <v>21520</v>
      </c>
      <c r="T935">
        <v>1098</v>
      </c>
      <c r="U935">
        <v>1098</v>
      </c>
      <c r="V935">
        <v>538.70000000000005</v>
      </c>
      <c r="W935">
        <v>1298.3</v>
      </c>
      <c r="X935">
        <v>875.75</v>
      </c>
      <c r="Y935">
        <v>100</v>
      </c>
      <c r="Z935">
        <v>879.3</v>
      </c>
      <c r="AA935">
        <v>20</v>
      </c>
      <c r="AB935" s="6">
        <v>46147.586527777778</v>
      </c>
      <c r="AC935" s="6">
        <v>46147.586481481485</v>
      </c>
    </row>
    <row r="936" spans="1:29" x14ac:dyDescent="0.25">
      <c r="A936" t="s">
        <v>9</v>
      </c>
      <c r="B936" s="5">
        <v>46149</v>
      </c>
      <c r="C936" t="s">
        <v>54</v>
      </c>
      <c r="D936" t="s">
        <v>995</v>
      </c>
      <c r="E936">
        <v>227566597</v>
      </c>
      <c r="F936" t="s">
        <v>763</v>
      </c>
      <c r="G936" t="s">
        <v>764</v>
      </c>
      <c r="H936">
        <v>76400</v>
      </c>
      <c r="I936" t="s">
        <v>60</v>
      </c>
      <c r="J936">
        <v>191.4</v>
      </c>
      <c r="K936">
        <v>-23.117091785499088</v>
      </c>
      <c r="L936">
        <v>20</v>
      </c>
      <c r="M936">
        <v>289.44</v>
      </c>
      <c r="N936">
        <v>5466400</v>
      </c>
      <c r="O936">
        <v>63820</v>
      </c>
      <c r="P936">
        <v>60840</v>
      </c>
      <c r="Q936">
        <v>206860</v>
      </c>
      <c r="R936">
        <v>227020</v>
      </c>
      <c r="S936">
        <v>75520</v>
      </c>
      <c r="T936">
        <v>248.95</v>
      </c>
      <c r="U936">
        <v>421.05</v>
      </c>
      <c r="V936">
        <v>163.80000000000001</v>
      </c>
      <c r="W936">
        <v>248.95</v>
      </c>
      <c r="X936">
        <v>190.85</v>
      </c>
      <c r="Y936">
        <v>20</v>
      </c>
      <c r="Z936">
        <v>191.35</v>
      </c>
      <c r="AA936">
        <v>60</v>
      </c>
      <c r="AB936" s="6">
        <v>46147.586527777778</v>
      </c>
      <c r="AC936" s="6">
        <v>46147.586527777778</v>
      </c>
    </row>
    <row r="937" spans="1:29" x14ac:dyDescent="0.25">
      <c r="A937" t="s">
        <v>9</v>
      </c>
      <c r="B937" s="5">
        <v>46149</v>
      </c>
      <c r="C937" t="s">
        <v>54</v>
      </c>
      <c r="D937" t="s">
        <v>996</v>
      </c>
      <c r="E937">
        <v>227445765</v>
      </c>
      <c r="F937" t="s">
        <v>763</v>
      </c>
      <c r="G937" t="s">
        <v>764</v>
      </c>
      <c r="H937">
        <v>76500</v>
      </c>
      <c r="I937" t="s">
        <v>58</v>
      </c>
      <c r="J937">
        <v>806.85</v>
      </c>
      <c r="K937">
        <v>-33.444691907943572</v>
      </c>
      <c r="L937">
        <v>20</v>
      </c>
      <c r="M937">
        <v>649.41</v>
      </c>
      <c r="N937">
        <v>3356000</v>
      </c>
      <c r="O937">
        <v>73780</v>
      </c>
      <c r="P937">
        <v>44300</v>
      </c>
      <c r="Q937">
        <v>169300</v>
      </c>
      <c r="R937">
        <v>295100</v>
      </c>
      <c r="S937">
        <v>68340</v>
      </c>
      <c r="T937">
        <v>901.1</v>
      </c>
      <c r="U937">
        <v>935.3</v>
      </c>
      <c r="V937">
        <v>485.15</v>
      </c>
      <c r="W937">
        <v>1212.3</v>
      </c>
      <c r="X937">
        <v>803.95</v>
      </c>
      <c r="Y937">
        <v>40</v>
      </c>
      <c r="Z937">
        <v>806.55</v>
      </c>
      <c r="AA937">
        <v>160</v>
      </c>
      <c r="AB937" s="6">
        <v>46147.586516203701</v>
      </c>
      <c r="AC937" s="6">
        <v>46147.586504629631</v>
      </c>
    </row>
    <row r="938" spans="1:29" x14ac:dyDescent="0.25">
      <c r="A938" t="s">
        <v>9</v>
      </c>
      <c r="B938" s="5">
        <v>46149</v>
      </c>
      <c r="C938" t="s">
        <v>54</v>
      </c>
      <c r="D938" t="s">
        <v>997</v>
      </c>
      <c r="E938">
        <v>227500037</v>
      </c>
      <c r="F938" t="s">
        <v>763</v>
      </c>
      <c r="G938" t="s">
        <v>764</v>
      </c>
      <c r="H938">
        <v>76500</v>
      </c>
      <c r="I938" t="s">
        <v>60</v>
      </c>
      <c r="J938">
        <v>218.45</v>
      </c>
      <c r="K938">
        <v>-20.53473990542015</v>
      </c>
      <c r="L938">
        <v>80</v>
      </c>
      <c r="M938">
        <v>322.56</v>
      </c>
      <c r="N938">
        <v>11936200</v>
      </c>
      <c r="O938">
        <v>85020</v>
      </c>
      <c r="P938">
        <v>139360</v>
      </c>
      <c r="Q938">
        <v>564320</v>
      </c>
      <c r="R938">
        <v>636480</v>
      </c>
      <c r="S938">
        <v>304740</v>
      </c>
      <c r="T938">
        <v>300</v>
      </c>
      <c r="U938">
        <v>474.95</v>
      </c>
      <c r="V938">
        <v>186.05</v>
      </c>
      <c r="W938">
        <v>274.89999999999998</v>
      </c>
      <c r="X938">
        <v>217.95</v>
      </c>
      <c r="Y938">
        <v>40</v>
      </c>
      <c r="Z938">
        <v>218.45</v>
      </c>
      <c r="AA938">
        <v>20</v>
      </c>
      <c r="AB938" s="6">
        <v>46147.586516203701</v>
      </c>
      <c r="AC938" s="6">
        <v>46147.586516203701</v>
      </c>
    </row>
    <row r="939" spans="1:29" x14ac:dyDescent="0.25">
      <c r="A939" t="s">
        <v>9</v>
      </c>
      <c r="B939" s="5">
        <v>46149</v>
      </c>
      <c r="C939" t="s">
        <v>54</v>
      </c>
      <c r="D939" t="s">
        <v>998</v>
      </c>
      <c r="E939">
        <v>227527685</v>
      </c>
      <c r="F939" t="s">
        <v>763</v>
      </c>
      <c r="G939" t="s">
        <v>764</v>
      </c>
      <c r="H939">
        <v>76600</v>
      </c>
      <c r="I939" t="s">
        <v>58</v>
      </c>
      <c r="J939">
        <v>734.25</v>
      </c>
      <c r="K939">
        <v>-35.356781265131836</v>
      </c>
      <c r="L939">
        <v>20</v>
      </c>
      <c r="M939">
        <v>578.16</v>
      </c>
      <c r="N939">
        <v>3412160</v>
      </c>
      <c r="O939">
        <v>37060</v>
      </c>
      <c r="P939">
        <v>26480</v>
      </c>
      <c r="Q939">
        <v>116300</v>
      </c>
      <c r="R939">
        <v>267040</v>
      </c>
      <c r="S939">
        <v>22400</v>
      </c>
      <c r="T939">
        <v>747.85</v>
      </c>
      <c r="U939">
        <v>861.2</v>
      </c>
      <c r="V939">
        <v>435.75</v>
      </c>
      <c r="W939">
        <v>1135.8499999999999</v>
      </c>
      <c r="X939">
        <v>735</v>
      </c>
      <c r="Y939">
        <v>40</v>
      </c>
      <c r="Z939">
        <v>737.5</v>
      </c>
      <c r="AA939">
        <v>60</v>
      </c>
      <c r="AB939" s="6">
        <v>46147.586527777778</v>
      </c>
      <c r="AC939" s="6">
        <v>46147.586527777778</v>
      </c>
    </row>
    <row r="940" spans="1:29" x14ac:dyDescent="0.25">
      <c r="A940" t="s">
        <v>9</v>
      </c>
      <c r="B940" s="5">
        <v>46149</v>
      </c>
      <c r="C940" t="s">
        <v>54</v>
      </c>
      <c r="D940" t="s">
        <v>999</v>
      </c>
      <c r="E940">
        <v>227584005</v>
      </c>
      <c r="F940" t="s">
        <v>763</v>
      </c>
      <c r="G940" t="s">
        <v>764</v>
      </c>
      <c r="H940">
        <v>76600</v>
      </c>
      <c r="I940" t="s">
        <v>60</v>
      </c>
      <c r="J940">
        <v>246.65</v>
      </c>
      <c r="K940">
        <v>-18.341334216189374</v>
      </c>
      <c r="L940">
        <v>20</v>
      </c>
      <c r="M940">
        <v>370.76</v>
      </c>
      <c r="N940">
        <v>8317320</v>
      </c>
      <c r="O940">
        <v>68540</v>
      </c>
      <c r="P940">
        <v>82620</v>
      </c>
      <c r="Q940">
        <v>310080</v>
      </c>
      <c r="R940">
        <v>314980</v>
      </c>
      <c r="S940">
        <v>47420</v>
      </c>
      <c r="T940">
        <v>377</v>
      </c>
      <c r="U940">
        <v>518.9</v>
      </c>
      <c r="V940">
        <v>211.7</v>
      </c>
      <c r="W940">
        <v>302.05</v>
      </c>
      <c r="X940">
        <v>245.95</v>
      </c>
      <c r="Y940">
        <v>60</v>
      </c>
      <c r="Z940">
        <v>246.5</v>
      </c>
      <c r="AA940">
        <v>20</v>
      </c>
      <c r="AB940" s="6">
        <v>46147.586527777778</v>
      </c>
      <c r="AC940" s="6">
        <v>46147.586527777778</v>
      </c>
    </row>
    <row r="941" spans="1:29" x14ac:dyDescent="0.25">
      <c r="A941" t="s">
        <v>9</v>
      </c>
      <c r="B941" s="5">
        <v>46149</v>
      </c>
      <c r="C941" t="s">
        <v>54</v>
      </c>
      <c r="D941" t="s">
        <v>1000</v>
      </c>
      <c r="E941">
        <v>227463685</v>
      </c>
      <c r="F941" t="s">
        <v>763</v>
      </c>
      <c r="G941" t="s">
        <v>764</v>
      </c>
      <c r="H941">
        <v>76700</v>
      </c>
      <c r="I941" t="s">
        <v>58</v>
      </c>
      <c r="J941">
        <v>667.65</v>
      </c>
      <c r="K941">
        <v>-36.972529028603795</v>
      </c>
      <c r="L941">
        <v>20</v>
      </c>
      <c r="M941">
        <v>535.12</v>
      </c>
      <c r="N941">
        <v>6477600</v>
      </c>
      <c r="O941">
        <v>46940</v>
      </c>
      <c r="P941">
        <v>35100</v>
      </c>
      <c r="Q941">
        <v>243220</v>
      </c>
      <c r="R941">
        <v>503140</v>
      </c>
      <c r="S941">
        <v>25200</v>
      </c>
      <c r="T941">
        <v>750.05</v>
      </c>
      <c r="U941">
        <v>796.2</v>
      </c>
      <c r="V941">
        <v>391.2</v>
      </c>
      <c r="W941">
        <v>1059.3</v>
      </c>
      <c r="X941">
        <v>667.65</v>
      </c>
      <c r="Y941">
        <v>40</v>
      </c>
      <c r="Z941">
        <v>669.7</v>
      </c>
      <c r="AA941">
        <v>100</v>
      </c>
      <c r="AB941" s="6">
        <v>46147.586527777778</v>
      </c>
      <c r="AC941" s="6">
        <v>46147.586527777778</v>
      </c>
    </row>
    <row r="942" spans="1:29" x14ac:dyDescent="0.25">
      <c r="A942" t="s">
        <v>9</v>
      </c>
      <c r="B942" s="5">
        <v>46149</v>
      </c>
      <c r="C942" t="s">
        <v>54</v>
      </c>
      <c r="D942" t="s">
        <v>1001</v>
      </c>
      <c r="E942">
        <v>227517445</v>
      </c>
      <c r="F942" t="s">
        <v>763</v>
      </c>
      <c r="G942" t="s">
        <v>764</v>
      </c>
      <c r="H942">
        <v>76700</v>
      </c>
      <c r="I942" t="s">
        <v>60</v>
      </c>
      <c r="J942">
        <v>280.25</v>
      </c>
      <c r="K942">
        <v>-16.592261904761905</v>
      </c>
      <c r="L942">
        <v>20</v>
      </c>
      <c r="M942">
        <v>408.95</v>
      </c>
      <c r="N942">
        <v>10415340</v>
      </c>
      <c r="O942">
        <v>83280</v>
      </c>
      <c r="P942">
        <v>75720</v>
      </c>
      <c r="Q942">
        <v>408940</v>
      </c>
      <c r="R942">
        <v>414680</v>
      </c>
      <c r="S942">
        <v>64560</v>
      </c>
      <c r="T942">
        <v>400</v>
      </c>
      <c r="U942">
        <v>578.65</v>
      </c>
      <c r="V942">
        <v>238.8</v>
      </c>
      <c r="W942">
        <v>336</v>
      </c>
      <c r="X942">
        <v>280.3</v>
      </c>
      <c r="Y942">
        <v>40</v>
      </c>
      <c r="Z942">
        <v>281.05</v>
      </c>
      <c r="AA942">
        <v>40</v>
      </c>
      <c r="AB942" s="6">
        <v>46147.586527777778</v>
      </c>
      <c r="AC942" s="6">
        <v>46147.586516203701</v>
      </c>
    </row>
    <row r="943" spans="1:29" x14ac:dyDescent="0.25">
      <c r="A943" t="s">
        <v>9</v>
      </c>
      <c r="B943" s="5">
        <v>46149</v>
      </c>
      <c r="C943" t="s">
        <v>54</v>
      </c>
      <c r="D943" t="s">
        <v>1002</v>
      </c>
      <c r="E943">
        <v>227545605</v>
      </c>
      <c r="F943" t="s">
        <v>763</v>
      </c>
      <c r="G943" t="s">
        <v>764</v>
      </c>
      <c r="H943">
        <v>76800</v>
      </c>
      <c r="I943" t="s">
        <v>58</v>
      </c>
      <c r="J943">
        <v>603.1</v>
      </c>
      <c r="K943">
        <v>-39.341211968820716</v>
      </c>
      <c r="L943">
        <v>20</v>
      </c>
      <c r="M943">
        <v>506.05</v>
      </c>
      <c r="N943">
        <v>7388960</v>
      </c>
      <c r="O943">
        <v>51680</v>
      </c>
      <c r="P943">
        <v>46320</v>
      </c>
      <c r="Q943">
        <v>236200</v>
      </c>
      <c r="R943">
        <v>410160</v>
      </c>
      <c r="S943">
        <v>49780</v>
      </c>
      <c r="T943">
        <v>729.9</v>
      </c>
      <c r="U943">
        <v>732.15</v>
      </c>
      <c r="V943">
        <v>349.05</v>
      </c>
      <c r="W943">
        <v>994.25</v>
      </c>
      <c r="X943">
        <v>603.4</v>
      </c>
      <c r="Y943">
        <v>60</v>
      </c>
      <c r="Z943">
        <v>605.04999999999995</v>
      </c>
      <c r="AA943">
        <v>80</v>
      </c>
      <c r="AB943" s="6">
        <v>46147.586527777778</v>
      </c>
      <c r="AC943" s="6">
        <v>46147.586527777778</v>
      </c>
    </row>
    <row r="944" spans="1:29" x14ac:dyDescent="0.25">
      <c r="A944" t="s">
        <v>9</v>
      </c>
      <c r="B944" s="5">
        <v>46149</v>
      </c>
      <c r="C944" t="s">
        <v>54</v>
      </c>
      <c r="D944" t="s">
        <v>1003</v>
      </c>
      <c r="E944">
        <v>227452677</v>
      </c>
      <c r="F944" t="s">
        <v>763</v>
      </c>
      <c r="G944" t="s">
        <v>764</v>
      </c>
      <c r="H944">
        <v>76800</v>
      </c>
      <c r="I944" t="s">
        <v>60</v>
      </c>
      <c r="J944">
        <v>317.25</v>
      </c>
      <c r="K944">
        <v>-13.496932515337424</v>
      </c>
      <c r="L944">
        <v>20</v>
      </c>
      <c r="M944">
        <v>437.45</v>
      </c>
      <c r="N944">
        <v>11555440</v>
      </c>
      <c r="O944">
        <v>92040</v>
      </c>
      <c r="P944">
        <v>77180</v>
      </c>
      <c r="Q944">
        <v>401920</v>
      </c>
      <c r="R944">
        <v>422380</v>
      </c>
      <c r="S944">
        <v>80440</v>
      </c>
      <c r="T944">
        <v>440.15</v>
      </c>
      <c r="U944">
        <v>632</v>
      </c>
      <c r="V944">
        <v>270.10000000000002</v>
      </c>
      <c r="W944">
        <v>366.75</v>
      </c>
      <c r="X944">
        <v>316.7</v>
      </c>
      <c r="Y944">
        <v>40</v>
      </c>
      <c r="Z944">
        <v>317.5</v>
      </c>
      <c r="AA944">
        <v>40</v>
      </c>
      <c r="AB944" s="6">
        <v>46147.586516203701</v>
      </c>
      <c r="AC944" s="6">
        <v>46147.586516203701</v>
      </c>
    </row>
    <row r="945" spans="1:29" x14ac:dyDescent="0.25">
      <c r="A945" t="s">
        <v>9</v>
      </c>
      <c r="B945" s="5">
        <v>46149</v>
      </c>
      <c r="C945" t="s">
        <v>54</v>
      </c>
      <c r="D945" t="s">
        <v>1004</v>
      </c>
      <c r="E945">
        <v>227480837</v>
      </c>
      <c r="F945" t="s">
        <v>763</v>
      </c>
      <c r="G945" t="s">
        <v>764</v>
      </c>
      <c r="H945">
        <v>76900</v>
      </c>
      <c r="I945" t="s">
        <v>58</v>
      </c>
      <c r="J945">
        <v>544.1</v>
      </c>
      <c r="K945">
        <v>-41.742063279618819</v>
      </c>
      <c r="L945">
        <v>20</v>
      </c>
      <c r="M945">
        <v>488.06</v>
      </c>
      <c r="N945">
        <v>7681440</v>
      </c>
      <c r="O945">
        <v>60020</v>
      </c>
      <c r="P945">
        <v>42980</v>
      </c>
      <c r="Q945">
        <v>277920</v>
      </c>
      <c r="R945">
        <v>389720</v>
      </c>
      <c r="S945">
        <v>38040</v>
      </c>
      <c r="T945">
        <v>622.85</v>
      </c>
      <c r="U945">
        <v>670</v>
      </c>
      <c r="V945">
        <v>310.14999999999998</v>
      </c>
      <c r="W945">
        <v>933.95</v>
      </c>
      <c r="X945">
        <v>542.79999999999995</v>
      </c>
      <c r="Y945">
        <v>40</v>
      </c>
      <c r="Z945">
        <v>544.1</v>
      </c>
      <c r="AA945">
        <v>20</v>
      </c>
      <c r="AB945" s="6">
        <v>46147.586516203701</v>
      </c>
      <c r="AC945" s="6">
        <v>46147.586516203701</v>
      </c>
    </row>
    <row r="946" spans="1:29" x14ac:dyDescent="0.25">
      <c r="A946" t="s">
        <v>9</v>
      </c>
      <c r="B946" s="5">
        <v>46149</v>
      </c>
      <c r="C946" t="s">
        <v>54</v>
      </c>
      <c r="D946" t="s">
        <v>1005</v>
      </c>
      <c r="E946">
        <v>227536901</v>
      </c>
      <c r="F946" t="s">
        <v>763</v>
      </c>
      <c r="G946" t="s">
        <v>764</v>
      </c>
      <c r="H946">
        <v>76900</v>
      </c>
      <c r="I946" t="s">
        <v>60</v>
      </c>
      <c r="J946">
        <v>355.7</v>
      </c>
      <c r="K946">
        <v>-11.506406269436498</v>
      </c>
      <c r="L946">
        <v>20</v>
      </c>
      <c r="M946">
        <v>464.14</v>
      </c>
      <c r="N946">
        <v>8506860</v>
      </c>
      <c r="O946">
        <v>76260</v>
      </c>
      <c r="P946">
        <v>66880</v>
      </c>
      <c r="Q946">
        <v>333640</v>
      </c>
      <c r="R946">
        <v>417300</v>
      </c>
      <c r="S946">
        <v>102880</v>
      </c>
      <c r="T946">
        <v>498.95</v>
      </c>
      <c r="U946">
        <v>690.9</v>
      </c>
      <c r="V946">
        <v>302.39999999999998</v>
      </c>
      <c r="W946">
        <v>401.95</v>
      </c>
      <c r="X946">
        <v>355.4</v>
      </c>
      <c r="Y946">
        <v>40</v>
      </c>
      <c r="Z946">
        <v>356.4</v>
      </c>
      <c r="AA946">
        <v>40</v>
      </c>
      <c r="AB946" s="6">
        <v>46147.586527777778</v>
      </c>
      <c r="AC946" s="6">
        <v>46147.586527777778</v>
      </c>
    </row>
    <row r="947" spans="1:29" x14ac:dyDescent="0.25">
      <c r="A947" t="s">
        <v>9</v>
      </c>
      <c r="B947" s="5">
        <v>46149</v>
      </c>
      <c r="C947" t="s">
        <v>54</v>
      </c>
      <c r="D947" t="s">
        <v>1006</v>
      </c>
      <c r="E947">
        <v>227629317</v>
      </c>
      <c r="F947" t="s">
        <v>763</v>
      </c>
      <c r="G947" t="s">
        <v>764</v>
      </c>
      <c r="H947">
        <v>77000</v>
      </c>
      <c r="I947" t="s">
        <v>58</v>
      </c>
      <c r="J947">
        <v>487.85</v>
      </c>
      <c r="K947">
        <v>-43.437681159420293</v>
      </c>
      <c r="L947">
        <v>20</v>
      </c>
      <c r="M947">
        <v>446.02</v>
      </c>
      <c r="N947">
        <v>17760960</v>
      </c>
      <c r="O947">
        <v>145440</v>
      </c>
      <c r="P947">
        <v>120780</v>
      </c>
      <c r="Q947">
        <v>1000580</v>
      </c>
      <c r="R947">
        <v>1225240</v>
      </c>
      <c r="S947">
        <v>521380</v>
      </c>
      <c r="T947">
        <v>702.5</v>
      </c>
      <c r="U947">
        <v>702.5</v>
      </c>
      <c r="V947">
        <v>275.05</v>
      </c>
      <c r="W947">
        <v>862.5</v>
      </c>
      <c r="X947">
        <v>486.95</v>
      </c>
      <c r="Y947">
        <v>40</v>
      </c>
      <c r="Z947">
        <v>488.7</v>
      </c>
      <c r="AA947">
        <v>40</v>
      </c>
      <c r="AB947" s="6">
        <v>46147.586527777778</v>
      </c>
      <c r="AC947" s="6">
        <v>46147.586527777778</v>
      </c>
    </row>
    <row r="948" spans="1:29" x14ac:dyDescent="0.25">
      <c r="A948" t="s">
        <v>9</v>
      </c>
      <c r="B948" s="5">
        <v>46149</v>
      </c>
      <c r="C948" t="s">
        <v>54</v>
      </c>
      <c r="D948" t="s">
        <v>1007</v>
      </c>
      <c r="E948">
        <v>227424261</v>
      </c>
      <c r="F948" t="s">
        <v>763</v>
      </c>
      <c r="G948" t="s">
        <v>764</v>
      </c>
      <c r="H948">
        <v>77000</v>
      </c>
      <c r="I948" t="s">
        <v>60</v>
      </c>
      <c r="J948">
        <v>402.9</v>
      </c>
      <c r="K948">
        <v>-8.431818181818187</v>
      </c>
      <c r="L948">
        <v>20</v>
      </c>
      <c r="M948">
        <v>501.04</v>
      </c>
      <c r="N948">
        <v>17444000</v>
      </c>
      <c r="O948">
        <v>126560</v>
      </c>
      <c r="P948">
        <v>146580</v>
      </c>
      <c r="Q948">
        <v>1019560</v>
      </c>
      <c r="R948">
        <v>1055720</v>
      </c>
      <c r="S948">
        <v>620040</v>
      </c>
      <c r="T948">
        <v>523.85</v>
      </c>
      <c r="U948">
        <v>755.9</v>
      </c>
      <c r="V948">
        <v>342.9</v>
      </c>
      <c r="W948">
        <v>440</v>
      </c>
      <c r="X948">
        <v>401.45</v>
      </c>
      <c r="Y948">
        <v>100</v>
      </c>
      <c r="Z948">
        <v>402.5</v>
      </c>
      <c r="AA948">
        <v>40</v>
      </c>
      <c r="AB948" s="6">
        <v>46147.586527777778</v>
      </c>
      <c r="AC948" s="6">
        <v>46147.586527777778</v>
      </c>
    </row>
    <row r="949" spans="1:29" x14ac:dyDescent="0.25">
      <c r="A949" t="s">
        <v>9</v>
      </c>
      <c r="B949" s="5">
        <v>46149</v>
      </c>
      <c r="C949" t="s">
        <v>54</v>
      </c>
      <c r="D949" t="s">
        <v>1008</v>
      </c>
      <c r="E949">
        <v>227568389</v>
      </c>
      <c r="F949" t="s">
        <v>763</v>
      </c>
      <c r="G949" t="s">
        <v>764</v>
      </c>
      <c r="H949">
        <v>77100</v>
      </c>
      <c r="I949" t="s">
        <v>58</v>
      </c>
      <c r="J949">
        <v>435.55</v>
      </c>
      <c r="K949">
        <v>-45.837219424236771</v>
      </c>
      <c r="L949">
        <v>20</v>
      </c>
      <c r="M949">
        <v>419</v>
      </c>
      <c r="N949">
        <v>8759840</v>
      </c>
      <c r="O949">
        <v>66880</v>
      </c>
      <c r="P949">
        <v>76420</v>
      </c>
      <c r="Q949">
        <v>488360</v>
      </c>
      <c r="R949">
        <v>488360</v>
      </c>
      <c r="S949">
        <v>83560</v>
      </c>
      <c r="T949">
        <v>718.75</v>
      </c>
      <c r="U949">
        <v>718.75</v>
      </c>
      <c r="V949">
        <v>243</v>
      </c>
      <c r="W949">
        <v>804.15</v>
      </c>
      <c r="X949">
        <v>434.45</v>
      </c>
      <c r="Y949">
        <v>140</v>
      </c>
      <c r="Z949">
        <v>435.55</v>
      </c>
      <c r="AA949">
        <v>60</v>
      </c>
      <c r="AB949" s="6">
        <v>46147.586516203701</v>
      </c>
      <c r="AC949" s="6">
        <v>46147.586516203701</v>
      </c>
    </row>
    <row r="950" spans="1:29" x14ac:dyDescent="0.25">
      <c r="A950" t="s">
        <v>9</v>
      </c>
      <c r="B950" s="5">
        <v>46149</v>
      </c>
      <c r="C950" t="s">
        <v>54</v>
      </c>
      <c r="D950" t="s">
        <v>1009</v>
      </c>
      <c r="E950">
        <v>227621381</v>
      </c>
      <c r="F950" t="s">
        <v>763</v>
      </c>
      <c r="G950" t="s">
        <v>764</v>
      </c>
      <c r="H950">
        <v>77100</v>
      </c>
      <c r="I950" t="s">
        <v>60</v>
      </c>
      <c r="J950">
        <v>448.85</v>
      </c>
      <c r="K950">
        <v>-6.7808930425752809</v>
      </c>
      <c r="L950">
        <v>20</v>
      </c>
      <c r="M950">
        <v>535.57000000000005</v>
      </c>
      <c r="N950">
        <v>6801160</v>
      </c>
      <c r="O950">
        <v>102820</v>
      </c>
      <c r="P950">
        <v>49900</v>
      </c>
      <c r="Q950">
        <v>367200</v>
      </c>
      <c r="R950">
        <v>367200</v>
      </c>
      <c r="S950">
        <v>123300</v>
      </c>
      <c r="T950">
        <v>579.70000000000005</v>
      </c>
      <c r="U950">
        <v>824.8</v>
      </c>
      <c r="V950">
        <v>383</v>
      </c>
      <c r="W950">
        <v>481.5</v>
      </c>
      <c r="X950">
        <v>448.65</v>
      </c>
      <c r="Y950">
        <v>60</v>
      </c>
      <c r="Z950">
        <v>449.85</v>
      </c>
      <c r="AA950">
        <v>40</v>
      </c>
      <c r="AB950" s="6">
        <v>46147.586516203701</v>
      </c>
      <c r="AC950" s="6">
        <v>46147.586504629631</v>
      </c>
    </row>
    <row r="951" spans="1:29" x14ac:dyDescent="0.25">
      <c r="A951" t="s">
        <v>9</v>
      </c>
      <c r="B951" s="5">
        <v>46149</v>
      </c>
      <c r="C951" t="s">
        <v>54</v>
      </c>
      <c r="D951" t="s">
        <v>1010</v>
      </c>
      <c r="E951">
        <v>227383557</v>
      </c>
      <c r="F951" t="s">
        <v>763</v>
      </c>
      <c r="G951" t="s">
        <v>764</v>
      </c>
      <c r="H951">
        <v>77200</v>
      </c>
      <c r="I951" t="s">
        <v>58</v>
      </c>
      <c r="J951">
        <v>388.8</v>
      </c>
      <c r="K951">
        <v>-47.983142685129437</v>
      </c>
      <c r="L951">
        <v>20</v>
      </c>
      <c r="M951">
        <v>371.26</v>
      </c>
      <c r="N951">
        <v>7901560</v>
      </c>
      <c r="O951">
        <v>115820</v>
      </c>
      <c r="P951">
        <v>71900</v>
      </c>
      <c r="Q951">
        <v>430240</v>
      </c>
      <c r="R951">
        <v>440860</v>
      </c>
      <c r="S951">
        <v>173440</v>
      </c>
      <c r="T951">
        <v>745</v>
      </c>
      <c r="U951">
        <v>745</v>
      </c>
      <c r="V951">
        <v>214.05</v>
      </c>
      <c r="W951">
        <v>747.45</v>
      </c>
      <c r="X951">
        <v>388.2</v>
      </c>
      <c r="Y951">
        <v>40</v>
      </c>
      <c r="Z951">
        <v>389.05</v>
      </c>
      <c r="AA951">
        <v>100</v>
      </c>
      <c r="AB951" s="6">
        <v>46147.586527777778</v>
      </c>
      <c r="AC951" s="6">
        <v>46147.586527777778</v>
      </c>
    </row>
    <row r="952" spans="1:29" x14ac:dyDescent="0.25">
      <c r="A952" t="s">
        <v>9</v>
      </c>
      <c r="B952" s="5">
        <v>46149</v>
      </c>
      <c r="C952" t="s">
        <v>54</v>
      </c>
      <c r="D952" t="s">
        <v>1011</v>
      </c>
      <c r="E952">
        <v>227440901</v>
      </c>
      <c r="F952" t="s">
        <v>763</v>
      </c>
      <c r="G952" t="s">
        <v>764</v>
      </c>
      <c r="H952">
        <v>77200</v>
      </c>
      <c r="I952" t="s">
        <v>60</v>
      </c>
      <c r="J952">
        <v>500.85</v>
      </c>
      <c r="K952">
        <v>-4.6090848490619818</v>
      </c>
      <c r="L952">
        <v>40</v>
      </c>
      <c r="M952">
        <v>593.94000000000005</v>
      </c>
      <c r="N952">
        <v>4033640</v>
      </c>
      <c r="O952">
        <v>78220</v>
      </c>
      <c r="P952">
        <v>36660</v>
      </c>
      <c r="Q952">
        <v>215900</v>
      </c>
      <c r="R952">
        <v>215900</v>
      </c>
      <c r="S952">
        <v>110960</v>
      </c>
      <c r="T952">
        <v>508</v>
      </c>
      <c r="U952">
        <v>896.95</v>
      </c>
      <c r="V952">
        <v>429.35</v>
      </c>
      <c r="W952">
        <v>525.04999999999995</v>
      </c>
      <c r="X952">
        <v>499.05</v>
      </c>
      <c r="Y952">
        <v>100</v>
      </c>
      <c r="Z952">
        <v>500</v>
      </c>
      <c r="AA952">
        <v>400</v>
      </c>
      <c r="AB952" s="6">
        <v>46147.586527777778</v>
      </c>
      <c r="AC952" s="6">
        <v>46147.586527777778</v>
      </c>
    </row>
    <row r="953" spans="1:29" x14ac:dyDescent="0.25">
      <c r="A953" t="s">
        <v>9</v>
      </c>
      <c r="B953" s="5">
        <v>46149</v>
      </c>
      <c r="C953" t="s">
        <v>54</v>
      </c>
      <c r="D953" t="s">
        <v>1012</v>
      </c>
      <c r="E953">
        <v>227585797</v>
      </c>
      <c r="F953" t="s">
        <v>763</v>
      </c>
      <c r="G953" t="s">
        <v>764</v>
      </c>
      <c r="H953">
        <v>77300</v>
      </c>
      <c r="I953" t="s">
        <v>58</v>
      </c>
      <c r="J953">
        <v>344.6</v>
      </c>
      <c r="K953">
        <v>-50.690419975674324</v>
      </c>
      <c r="L953">
        <v>20</v>
      </c>
      <c r="M953">
        <v>327.13</v>
      </c>
      <c r="N953">
        <v>6751880</v>
      </c>
      <c r="O953">
        <v>54200</v>
      </c>
      <c r="P953">
        <v>68640</v>
      </c>
      <c r="Q953">
        <v>368060</v>
      </c>
      <c r="R953">
        <v>475400</v>
      </c>
      <c r="S953">
        <v>258740</v>
      </c>
      <c r="T953">
        <v>587.95000000000005</v>
      </c>
      <c r="U953">
        <v>587.95000000000005</v>
      </c>
      <c r="V953">
        <v>189.45</v>
      </c>
      <c r="W953">
        <v>698.85</v>
      </c>
      <c r="X953">
        <v>344.15</v>
      </c>
      <c r="Y953">
        <v>40</v>
      </c>
      <c r="Z953">
        <v>345</v>
      </c>
      <c r="AA953">
        <v>40</v>
      </c>
      <c r="AB953" s="6">
        <v>46147.586527777778</v>
      </c>
      <c r="AC953" s="6">
        <v>46147.586527777778</v>
      </c>
    </row>
    <row r="954" spans="1:29" x14ac:dyDescent="0.25">
      <c r="A954" t="s">
        <v>9</v>
      </c>
      <c r="B954" s="5">
        <v>46149</v>
      </c>
      <c r="C954" t="s">
        <v>54</v>
      </c>
      <c r="D954" t="s">
        <v>1013</v>
      </c>
      <c r="E954">
        <v>227375621</v>
      </c>
      <c r="F954" t="s">
        <v>763</v>
      </c>
      <c r="G954" t="s">
        <v>764</v>
      </c>
      <c r="H954">
        <v>77300</v>
      </c>
      <c r="I954" t="s">
        <v>60</v>
      </c>
      <c r="J954">
        <v>556.15</v>
      </c>
      <c r="K954">
        <v>-1.10251622654931</v>
      </c>
      <c r="L954">
        <v>20</v>
      </c>
      <c r="M954">
        <v>664.44</v>
      </c>
      <c r="N954">
        <v>2593660</v>
      </c>
      <c r="O954">
        <v>94460</v>
      </c>
      <c r="P954">
        <v>30860</v>
      </c>
      <c r="Q954">
        <v>127440</v>
      </c>
      <c r="R954">
        <v>178420</v>
      </c>
      <c r="S954">
        <v>104320</v>
      </c>
      <c r="T954">
        <v>624.9</v>
      </c>
      <c r="U954">
        <v>976.75</v>
      </c>
      <c r="V954">
        <v>478.75</v>
      </c>
      <c r="W954">
        <v>562.35</v>
      </c>
      <c r="X954">
        <v>556.6</v>
      </c>
      <c r="Y954">
        <v>40</v>
      </c>
      <c r="Z954">
        <v>558.20000000000005</v>
      </c>
      <c r="AA954">
        <v>40</v>
      </c>
      <c r="AB954" s="6">
        <v>46147.586527777778</v>
      </c>
      <c r="AC954" s="6">
        <v>46147.586493055554</v>
      </c>
    </row>
    <row r="955" spans="1:29" x14ac:dyDescent="0.25">
      <c r="A955" t="s">
        <v>9</v>
      </c>
      <c r="B955" s="5">
        <v>46149</v>
      </c>
      <c r="C955" t="s">
        <v>54</v>
      </c>
      <c r="D955" t="s">
        <v>1014</v>
      </c>
      <c r="E955">
        <v>227400197</v>
      </c>
      <c r="F955" t="s">
        <v>763</v>
      </c>
      <c r="G955" t="s">
        <v>764</v>
      </c>
      <c r="H955">
        <v>77400</v>
      </c>
      <c r="I955" t="s">
        <v>58</v>
      </c>
      <c r="J955">
        <v>303.3</v>
      </c>
      <c r="K955">
        <v>-53.338461538461537</v>
      </c>
      <c r="L955">
        <v>20</v>
      </c>
      <c r="M955">
        <v>292.38</v>
      </c>
      <c r="N955">
        <v>4663100</v>
      </c>
      <c r="O955">
        <v>74440</v>
      </c>
      <c r="P955">
        <v>61200</v>
      </c>
      <c r="Q955">
        <v>231340</v>
      </c>
      <c r="R955">
        <v>309380</v>
      </c>
      <c r="S955">
        <v>178080</v>
      </c>
      <c r="T955">
        <v>517.75</v>
      </c>
      <c r="U955">
        <v>517.79999999999995</v>
      </c>
      <c r="V955">
        <v>167.5</v>
      </c>
      <c r="W955">
        <v>650</v>
      </c>
      <c r="X955">
        <v>302.55</v>
      </c>
      <c r="Y955">
        <v>20</v>
      </c>
      <c r="Z955">
        <v>303.55</v>
      </c>
      <c r="AA955">
        <v>20</v>
      </c>
      <c r="AB955" s="6">
        <v>46147.586527777778</v>
      </c>
      <c r="AC955" s="6">
        <v>46147.586527777778</v>
      </c>
    </row>
    <row r="956" spans="1:29" x14ac:dyDescent="0.25">
      <c r="A956" t="s">
        <v>9</v>
      </c>
      <c r="B956" s="5">
        <v>46149</v>
      </c>
      <c r="C956" t="s">
        <v>54</v>
      </c>
      <c r="D956" t="s">
        <v>1015</v>
      </c>
      <c r="E956">
        <v>227458053</v>
      </c>
      <c r="F956" t="s">
        <v>763</v>
      </c>
      <c r="G956" t="s">
        <v>764</v>
      </c>
      <c r="H956">
        <v>77400</v>
      </c>
      <c r="I956" t="s">
        <v>60</v>
      </c>
      <c r="J956">
        <v>616.54999999999995</v>
      </c>
      <c r="K956">
        <v>1.7745130406074614</v>
      </c>
      <c r="L956">
        <v>40</v>
      </c>
      <c r="M956">
        <v>718.84</v>
      </c>
      <c r="N956">
        <v>1285320</v>
      </c>
      <c r="O956">
        <v>72600</v>
      </c>
      <c r="P956">
        <v>25040</v>
      </c>
      <c r="Q956">
        <v>78180</v>
      </c>
      <c r="R956">
        <v>122800</v>
      </c>
      <c r="S956">
        <v>65420</v>
      </c>
      <c r="T956">
        <v>727</v>
      </c>
      <c r="U956">
        <v>1046</v>
      </c>
      <c r="V956">
        <v>531.04999999999995</v>
      </c>
      <c r="W956">
        <v>605.79999999999995</v>
      </c>
      <c r="X956">
        <v>616.35</v>
      </c>
      <c r="Y956">
        <v>80</v>
      </c>
      <c r="Z956">
        <v>618.15</v>
      </c>
      <c r="AA956">
        <v>80</v>
      </c>
      <c r="AB956" s="6">
        <v>46147.586516203701</v>
      </c>
      <c r="AC956" s="6">
        <v>46147.586504629631</v>
      </c>
    </row>
    <row r="957" spans="1:29" x14ac:dyDescent="0.25">
      <c r="A957" t="s">
        <v>9</v>
      </c>
      <c r="B957" s="5">
        <v>46149</v>
      </c>
      <c r="C957" t="s">
        <v>54</v>
      </c>
      <c r="D957" t="s">
        <v>1016</v>
      </c>
      <c r="E957">
        <v>227602949</v>
      </c>
      <c r="F957" t="s">
        <v>763</v>
      </c>
      <c r="G957" t="s">
        <v>764</v>
      </c>
      <c r="H957">
        <v>77500</v>
      </c>
      <c r="I957" t="s">
        <v>58</v>
      </c>
      <c r="J957">
        <v>267.45</v>
      </c>
      <c r="K957">
        <v>-55.48805858367313</v>
      </c>
      <c r="L957">
        <v>40</v>
      </c>
      <c r="M957">
        <v>254.89</v>
      </c>
      <c r="N957">
        <v>9933820</v>
      </c>
      <c r="O957">
        <v>109800</v>
      </c>
      <c r="P957">
        <v>131100</v>
      </c>
      <c r="Q957">
        <v>706440</v>
      </c>
      <c r="R957">
        <v>772140</v>
      </c>
      <c r="S957">
        <v>419000</v>
      </c>
      <c r="T957">
        <v>439.85</v>
      </c>
      <c r="U957">
        <v>440</v>
      </c>
      <c r="V957">
        <v>147</v>
      </c>
      <c r="W957">
        <v>600.85</v>
      </c>
      <c r="X957">
        <v>267.35000000000002</v>
      </c>
      <c r="Y957">
        <v>80</v>
      </c>
      <c r="Z957">
        <v>267.95</v>
      </c>
      <c r="AA957">
        <v>40</v>
      </c>
      <c r="AB957" s="6">
        <v>46147.586516203701</v>
      </c>
      <c r="AC957" s="6">
        <v>46147.586516203701</v>
      </c>
    </row>
    <row r="958" spans="1:29" x14ac:dyDescent="0.25">
      <c r="A958" t="s">
        <v>9</v>
      </c>
      <c r="B958" s="5">
        <v>46149</v>
      </c>
      <c r="C958" t="s">
        <v>54</v>
      </c>
      <c r="D958" t="s">
        <v>1017</v>
      </c>
      <c r="E958">
        <v>227391749</v>
      </c>
      <c r="F958" t="s">
        <v>763</v>
      </c>
      <c r="G958" t="s">
        <v>764</v>
      </c>
      <c r="H958">
        <v>77500</v>
      </c>
      <c r="I958" t="s">
        <v>60</v>
      </c>
      <c r="J958">
        <v>678.9</v>
      </c>
      <c r="K958">
        <v>4.0938362465501275</v>
      </c>
      <c r="L958">
        <v>20</v>
      </c>
      <c r="M958">
        <v>797.73</v>
      </c>
      <c r="N958">
        <v>2230020</v>
      </c>
      <c r="O958">
        <v>70860</v>
      </c>
      <c r="P958">
        <v>44560</v>
      </c>
      <c r="Q958">
        <v>232600</v>
      </c>
      <c r="R958">
        <v>296880</v>
      </c>
      <c r="S958">
        <v>216140</v>
      </c>
      <c r="T958">
        <v>738</v>
      </c>
      <c r="U958">
        <v>1127.95</v>
      </c>
      <c r="V958">
        <v>589.1</v>
      </c>
      <c r="W958">
        <v>652.20000000000005</v>
      </c>
      <c r="X958">
        <v>677.45</v>
      </c>
      <c r="Y958">
        <v>40</v>
      </c>
      <c r="Z958">
        <v>679.5</v>
      </c>
      <c r="AA958">
        <v>160</v>
      </c>
      <c r="AB958" s="6">
        <v>46147.586527777778</v>
      </c>
      <c r="AC958" s="6">
        <v>46147.586527777778</v>
      </c>
    </row>
    <row r="959" spans="1:29" x14ac:dyDescent="0.25">
      <c r="A959" t="s">
        <v>9</v>
      </c>
      <c r="B959" s="5">
        <v>46149</v>
      </c>
      <c r="C959" t="s">
        <v>54</v>
      </c>
      <c r="D959" t="s">
        <v>1018</v>
      </c>
      <c r="E959">
        <v>227418629</v>
      </c>
      <c r="F959" t="s">
        <v>763</v>
      </c>
      <c r="G959" t="s">
        <v>764</v>
      </c>
      <c r="H959">
        <v>77600</v>
      </c>
      <c r="I959" t="s">
        <v>58</v>
      </c>
      <c r="J959">
        <v>234.8</v>
      </c>
      <c r="K959">
        <v>-57.624977440895144</v>
      </c>
      <c r="L959">
        <v>20</v>
      </c>
      <c r="M959">
        <v>230.54</v>
      </c>
      <c r="N959">
        <v>4138560</v>
      </c>
      <c r="O959">
        <v>65680</v>
      </c>
      <c r="P959">
        <v>43600</v>
      </c>
      <c r="Q959">
        <v>278960</v>
      </c>
      <c r="R959">
        <v>336540</v>
      </c>
      <c r="S959">
        <v>220580</v>
      </c>
      <c r="T959">
        <v>406</v>
      </c>
      <c r="U959">
        <v>406</v>
      </c>
      <c r="V959">
        <v>129</v>
      </c>
      <c r="W959">
        <v>554.1</v>
      </c>
      <c r="X959">
        <v>234.4</v>
      </c>
      <c r="Y959">
        <v>260</v>
      </c>
      <c r="Z959">
        <v>235.25</v>
      </c>
      <c r="AA959">
        <v>20</v>
      </c>
      <c r="AB959" s="6">
        <v>46147.586527777778</v>
      </c>
      <c r="AC959" s="6">
        <v>46147.586527777778</v>
      </c>
    </row>
    <row r="960" spans="1:29" x14ac:dyDescent="0.25">
      <c r="A960" t="s">
        <v>9</v>
      </c>
      <c r="B960" s="5">
        <v>46149</v>
      </c>
      <c r="C960" t="s">
        <v>54</v>
      </c>
      <c r="D960" t="s">
        <v>1019</v>
      </c>
      <c r="E960">
        <v>227593733</v>
      </c>
      <c r="F960" t="s">
        <v>763</v>
      </c>
      <c r="G960" t="s">
        <v>764</v>
      </c>
      <c r="H960">
        <v>77600</v>
      </c>
      <c r="I960" t="s">
        <v>60</v>
      </c>
      <c r="J960">
        <v>748.45</v>
      </c>
      <c r="K960">
        <v>6.0503010981225707</v>
      </c>
      <c r="L960">
        <v>20</v>
      </c>
      <c r="M960">
        <v>868.96</v>
      </c>
      <c r="N960">
        <v>631140</v>
      </c>
      <c r="O960">
        <v>42020</v>
      </c>
      <c r="P960">
        <v>21860</v>
      </c>
      <c r="Q960">
        <v>124240</v>
      </c>
      <c r="R960">
        <v>144700</v>
      </c>
      <c r="S960">
        <v>105940</v>
      </c>
      <c r="T960">
        <v>860</v>
      </c>
      <c r="U960">
        <v>1210.0999999999999</v>
      </c>
      <c r="V960">
        <v>650.95000000000005</v>
      </c>
      <c r="W960">
        <v>705.75</v>
      </c>
      <c r="X960">
        <v>745.25</v>
      </c>
      <c r="Y960">
        <v>100</v>
      </c>
      <c r="Z960">
        <v>749</v>
      </c>
      <c r="AA960">
        <v>120</v>
      </c>
      <c r="AB960" s="6">
        <v>46147.586527777778</v>
      </c>
      <c r="AC960" s="6">
        <v>46147.586504629631</v>
      </c>
    </row>
    <row r="961" spans="1:29" x14ac:dyDescent="0.25">
      <c r="A961" t="s">
        <v>9</v>
      </c>
      <c r="B961" s="5">
        <v>46149</v>
      </c>
      <c r="C961" t="s">
        <v>54</v>
      </c>
      <c r="D961" t="s">
        <v>1020</v>
      </c>
      <c r="E961">
        <v>227617285</v>
      </c>
      <c r="F961" t="s">
        <v>763</v>
      </c>
      <c r="G961" t="s">
        <v>764</v>
      </c>
      <c r="H961">
        <v>77700</v>
      </c>
      <c r="I961" t="s">
        <v>58</v>
      </c>
      <c r="J961">
        <v>206.9</v>
      </c>
      <c r="K961">
        <v>-59.731413001167766</v>
      </c>
      <c r="L961">
        <v>20</v>
      </c>
      <c r="M961">
        <v>199.87</v>
      </c>
      <c r="N961">
        <v>4099900</v>
      </c>
      <c r="O961">
        <v>55980</v>
      </c>
      <c r="P961">
        <v>61160</v>
      </c>
      <c r="Q961">
        <v>301380</v>
      </c>
      <c r="R961">
        <v>338280</v>
      </c>
      <c r="S961">
        <v>257200</v>
      </c>
      <c r="T961">
        <v>435</v>
      </c>
      <c r="U961">
        <v>435</v>
      </c>
      <c r="V961">
        <v>113.35</v>
      </c>
      <c r="W961">
        <v>513.79999999999995</v>
      </c>
      <c r="X961">
        <v>205.65</v>
      </c>
      <c r="Y961">
        <v>60</v>
      </c>
      <c r="Z961">
        <v>206.25</v>
      </c>
      <c r="AA961">
        <v>40</v>
      </c>
      <c r="AB961" s="6">
        <v>46147.586516203701</v>
      </c>
      <c r="AC961" s="6">
        <v>46147.586504629631</v>
      </c>
    </row>
    <row r="962" spans="1:29" x14ac:dyDescent="0.25">
      <c r="A962" t="s">
        <v>9</v>
      </c>
      <c r="B962" s="5">
        <v>46149</v>
      </c>
      <c r="C962" t="s">
        <v>54</v>
      </c>
      <c r="D962" t="s">
        <v>1021</v>
      </c>
      <c r="E962">
        <v>227409669</v>
      </c>
      <c r="F962" t="s">
        <v>763</v>
      </c>
      <c r="G962" t="s">
        <v>764</v>
      </c>
      <c r="H962">
        <v>77700</v>
      </c>
      <c r="I962" t="s">
        <v>60</v>
      </c>
      <c r="J962">
        <v>820.15</v>
      </c>
      <c r="K962">
        <v>7.7868313838875016</v>
      </c>
      <c r="L962">
        <v>20</v>
      </c>
      <c r="M962">
        <v>927.67</v>
      </c>
      <c r="N962">
        <v>558520</v>
      </c>
      <c r="O962">
        <v>66340</v>
      </c>
      <c r="P962">
        <v>20720</v>
      </c>
      <c r="Q962">
        <v>81560</v>
      </c>
      <c r="R962">
        <v>81560</v>
      </c>
      <c r="S962">
        <v>67000</v>
      </c>
      <c r="T962">
        <v>913.1</v>
      </c>
      <c r="U962">
        <v>1276.8499999999999</v>
      </c>
      <c r="V962">
        <v>716.95</v>
      </c>
      <c r="W962">
        <v>760.9</v>
      </c>
      <c r="X962">
        <v>816.5</v>
      </c>
      <c r="Y962">
        <v>40</v>
      </c>
      <c r="Z962">
        <v>819.65</v>
      </c>
      <c r="AA962">
        <v>40</v>
      </c>
      <c r="AB962" s="6">
        <v>46147.586516203701</v>
      </c>
      <c r="AC962" s="6">
        <v>46147.586516203701</v>
      </c>
    </row>
    <row r="963" spans="1:29" x14ac:dyDescent="0.25">
      <c r="A963" t="s">
        <v>9</v>
      </c>
      <c r="B963" s="5">
        <v>46149</v>
      </c>
      <c r="C963" t="s">
        <v>54</v>
      </c>
      <c r="D963" t="s">
        <v>1022</v>
      </c>
      <c r="E963">
        <v>227554309</v>
      </c>
      <c r="F963" t="s">
        <v>763</v>
      </c>
      <c r="G963" t="s">
        <v>764</v>
      </c>
      <c r="H963">
        <v>77800</v>
      </c>
      <c r="I963" t="s">
        <v>58</v>
      </c>
      <c r="J963">
        <v>180.2</v>
      </c>
      <c r="K963">
        <v>-61.934938741022393</v>
      </c>
      <c r="L963">
        <v>20</v>
      </c>
      <c r="M963">
        <v>178.35</v>
      </c>
      <c r="N963">
        <v>3539420</v>
      </c>
      <c r="O963">
        <v>60280</v>
      </c>
      <c r="P963">
        <v>63620</v>
      </c>
      <c r="Q963">
        <v>291540</v>
      </c>
      <c r="R963">
        <v>323440</v>
      </c>
      <c r="S963">
        <v>234020</v>
      </c>
      <c r="T963">
        <v>400</v>
      </c>
      <c r="U963">
        <v>400</v>
      </c>
      <c r="V963">
        <v>99.75</v>
      </c>
      <c r="W963">
        <v>473.4</v>
      </c>
      <c r="X963">
        <v>179.2</v>
      </c>
      <c r="Y963">
        <v>80</v>
      </c>
      <c r="Z963">
        <v>179.75</v>
      </c>
      <c r="AA963">
        <v>160</v>
      </c>
      <c r="AB963" s="6">
        <v>46147.586527777778</v>
      </c>
      <c r="AC963" s="6">
        <v>46147.586527777778</v>
      </c>
    </row>
    <row r="964" spans="1:29" x14ac:dyDescent="0.25">
      <c r="A964" t="s">
        <v>9</v>
      </c>
      <c r="B964" s="5">
        <v>46149</v>
      </c>
      <c r="C964" t="s">
        <v>54</v>
      </c>
      <c r="D964" t="s">
        <v>1023</v>
      </c>
      <c r="E964">
        <v>227610117</v>
      </c>
      <c r="F964" t="s">
        <v>763</v>
      </c>
      <c r="G964" t="s">
        <v>764</v>
      </c>
      <c r="H964">
        <v>77800</v>
      </c>
      <c r="I964" t="s">
        <v>60</v>
      </c>
      <c r="J964">
        <v>895.05</v>
      </c>
      <c r="K964">
        <v>9.7749432758937793</v>
      </c>
      <c r="L964">
        <v>20</v>
      </c>
      <c r="M964">
        <v>1009.11</v>
      </c>
      <c r="N964">
        <v>285500</v>
      </c>
      <c r="O964">
        <v>66780</v>
      </c>
      <c r="P964">
        <v>18020</v>
      </c>
      <c r="Q964">
        <v>66120</v>
      </c>
      <c r="R964">
        <v>82400</v>
      </c>
      <c r="S964">
        <v>65820</v>
      </c>
      <c r="T964">
        <v>978.4</v>
      </c>
      <c r="U964">
        <v>1365</v>
      </c>
      <c r="V964">
        <v>783.15</v>
      </c>
      <c r="W964">
        <v>815.35</v>
      </c>
      <c r="X964">
        <v>887.85</v>
      </c>
      <c r="Y964">
        <v>100</v>
      </c>
      <c r="Z964">
        <v>891.75</v>
      </c>
      <c r="AA964">
        <v>20</v>
      </c>
      <c r="AB964" s="6">
        <v>46147.586527777778</v>
      </c>
      <c r="AC964" s="6">
        <v>46147.586435185185</v>
      </c>
    </row>
    <row r="965" spans="1:29" x14ac:dyDescent="0.25">
      <c r="A965" t="s">
        <v>9</v>
      </c>
      <c r="B965" s="5">
        <v>46149</v>
      </c>
      <c r="C965" t="s">
        <v>54</v>
      </c>
      <c r="D965" t="s">
        <v>1024</v>
      </c>
      <c r="E965">
        <v>227632133</v>
      </c>
      <c r="F965" t="s">
        <v>763</v>
      </c>
      <c r="G965" t="s">
        <v>764</v>
      </c>
      <c r="H965">
        <v>77900</v>
      </c>
      <c r="I965" t="s">
        <v>58</v>
      </c>
      <c r="J965">
        <v>155.9</v>
      </c>
      <c r="K965">
        <v>-64.11967779056387</v>
      </c>
      <c r="L965">
        <v>100</v>
      </c>
      <c r="M965">
        <v>155.02000000000001</v>
      </c>
      <c r="N965">
        <v>3202660</v>
      </c>
      <c r="O965">
        <v>54960</v>
      </c>
      <c r="P965">
        <v>47400</v>
      </c>
      <c r="Q965">
        <v>229960</v>
      </c>
      <c r="R965">
        <v>277040</v>
      </c>
      <c r="S965">
        <v>175160</v>
      </c>
      <c r="T965">
        <v>349.95</v>
      </c>
      <c r="U965">
        <v>349.95</v>
      </c>
      <c r="V965">
        <v>87.2</v>
      </c>
      <c r="W965">
        <v>434.5</v>
      </c>
      <c r="X965">
        <v>155.65</v>
      </c>
      <c r="Y965">
        <v>80</v>
      </c>
      <c r="Z965">
        <v>156.15</v>
      </c>
      <c r="AA965">
        <v>80</v>
      </c>
      <c r="AB965" s="6">
        <v>46147.586527777778</v>
      </c>
      <c r="AC965" s="6">
        <v>46147.586527777778</v>
      </c>
    </row>
    <row r="966" spans="1:29" x14ac:dyDescent="0.25">
      <c r="A966" t="s">
        <v>9</v>
      </c>
      <c r="B966" s="5">
        <v>46149</v>
      </c>
      <c r="C966" t="s">
        <v>54</v>
      </c>
      <c r="D966" t="s">
        <v>1025</v>
      </c>
      <c r="E966">
        <v>227427077</v>
      </c>
      <c r="F966" t="s">
        <v>763</v>
      </c>
      <c r="G966" t="s">
        <v>764</v>
      </c>
      <c r="H966">
        <v>77900</v>
      </c>
      <c r="I966" t="s">
        <v>60</v>
      </c>
      <c r="J966">
        <v>996</v>
      </c>
      <c r="K966">
        <v>14.344756328568973</v>
      </c>
      <c r="L966">
        <v>100</v>
      </c>
      <c r="M966">
        <v>1070.82</v>
      </c>
      <c r="N966">
        <v>140320</v>
      </c>
      <c r="O966">
        <v>46500</v>
      </c>
      <c r="P966">
        <v>17980</v>
      </c>
      <c r="Q966">
        <v>31140</v>
      </c>
      <c r="R966">
        <v>43240</v>
      </c>
      <c r="S966">
        <v>29700</v>
      </c>
      <c r="T966">
        <v>1055.95</v>
      </c>
      <c r="U966">
        <v>1449.35</v>
      </c>
      <c r="V966">
        <v>858.9</v>
      </c>
      <c r="W966">
        <v>871.05</v>
      </c>
      <c r="X966">
        <v>965.7</v>
      </c>
      <c r="Y966">
        <v>60</v>
      </c>
      <c r="Z966">
        <v>970.95</v>
      </c>
      <c r="AA966">
        <v>40</v>
      </c>
      <c r="AB966" s="6">
        <v>46147.586527777778</v>
      </c>
      <c r="AC966" s="6">
        <v>46147.586261574077</v>
      </c>
    </row>
    <row r="967" spans="1:29" x14ac:dyDescent="0.25">
      <c r="A967" t="s">
        <v>9</v>
      </c>
      <c r="B967" s="5">
        <v>46149</v>
      </c>
      <c r="C967" t="s">
        <v>54</v>
      </c>
      <c r="D967" t="s">
        <v>1026</v>
      </c>
      <c r="E967">
        <v>227525381</v>
      </c>
      <c r="F967" t="s">
        <v>763</v>
      </c>
      <c r="G967" t="s">
        <v>764</v>
      </c>
      <c r="H967">
        <v>78000</v>
      </c>
      <c r="I967" t="s">
        <v>58</v>
      </c>
      <c r="J967">
        <v>134.15</v>
      </c>
      <c r="K967">
        <v>-66.336260978670026</v>
      </c>
      <c r="L967">
        <v>20</v>
      </c>
      <c r="M967">
        <v>135.02000000000001</v>
      </c>
      <c r="N967">
        <v>9381780</v>
      </c>
      <c r="O967">
        <v>108680</v>
      </c>
      <c r="P967">
        <v>163360</v>
      </c>
      <c r="Q967">
        <v>982880</v>
      </c>
      <c r="R967">
        <v>1059140</v>
      </c>
      <c r="S967">
        <v>782060</v>
      </c>
      <c r="T967">
        <v>390</v>
      </c>
      <c r="U967">
        <v>398.5</v>
      </c>
      <c r="V967">
        <v>77.2</v>
      </c>
      <c r="W967">
        <v>398.5</v>
      </c>
      <c r="X967">
        <v>134.69999999999999</v>
      </c>
      <c r="Y967">
        <v>80</v>
      </c>
      <c r="Z967">
        <v>135.19999999999999</v>
      </c>
      <c r="AA967">
        <v>60</v>
      </c>
      <c r="AB967" s="6">
        <v>46147.586527777778</v>
      </c>
      <c r="AC967" s="6">
        <v>46147.586527777778</v>
      </c>
    </row>
    <row r="968" spans="1:29" x14ac:dyDescent="0.25">
      <c r="A968" t="s">
        <v>9</v>
      </c>
      <c r="B968" s="5">
        <v>46149</v>
      </c>
      <c r="C968" t="s">
        <v>54</v>
      </c>
      <c r="D968" t="s">
        <v>1027</v>
      </c>
      <c r="E968">
        <v>227581445</v>
      </c>
      <c r="F968" t="s">
        <v>763</v>
      </c>
      <c r="G968" t="s">
        <v>764</v>
      </c>
      <c r="H968">
        <v>78000</v>
      </c>
      <c r="I968" t="s">
        <v>60</v>
      </c>
      <c r="J968">
        <v>1047.4000000000001</v>
      </c>
      <c r="K968">
        <v>10.759794850103116</v>
      </c>
      <c r="L968">
        <v>20</v>
      </c>
      <c r="M968">
        <v>1154.26</v>
      </c>
      <c r="N968">
        <v>359760</v>
      </c>
      <c r="O968">
        <v>92300</v>
      </c>
      <c r="P968">
        <v>19880</v>
      </c>
      <c r="Q968">
        <v>210400</v>
      </c>
      <c r="R968">
        <v>222380</v>
      </c>
      <c r="S968">
        <v>197680</v>
      </c>
      <c r="T968">
        <v>1247.7</v>
      </c>
      <c r="U968">
        <v>1550</v>
      </c>
      <c r="V968">
        <v>931</v>
      </c>
      <c r="W968">
        <v>945.65</v>
      </c>
      <c r="X968">
        <v>1041.5999999999999</v>
      </c>
      <c r="Y968">
        <v>40</v>
      </c>
      <c r="Z968">
        <v>1047.7</v>
      </c>
      <c r="AA968">
        <v>160</v>
      </c>
      <c r="AB968" s="6">
        <v>46147.586516203701</v>
      </c>
      <c r="AC968" s="6">
        <v>46147.586435185185</v>
      </c>
    </row>
    <row r="969" spans="1:29" x14ac:dyDescent="0.25">
      <c r="A969" t="s">
        <v>9</v>
      </c>
      <c r="B969" s="5">
        <v>46149</v>
      </c>
      <c r="C969" t="s">
        <v>54</v>
      </c>
      <c r="D969" t="s">
        <v>1028</v>
      </c>
      <c r="E969">
        <v>227460357</v>
      </c>
      <c r="F969" t="s">
        <v>763</v>
      </c>
      <c r="G969" t="s">
        <v>764</v>
      </c>
      <c r="H969">
        <v>78100</v>
      </c>
      <c r="I969" t="s">
        <v>58</v>
      </c>
      <c r="J969">
        <v>117.1</v>
      </c>
      <c r="K969">
        <v>-67.869392234874468</v>
      </c>
      <c r="L969">
        <v>20</v>
      </c>
      <c r="M969">
        <v>119.4</v>
      </c>
      <c r="N969">
        <v>2559080</v>
      </c>
      <c r="O969">
        <v>61000</v>
      </c>
      <c r="P969">
        <v>39940</v>
      </c>
      <c r="Q969">
        <v>203320</v>
      </c>
      <c r="R969">
        <v>233060</v>
      </c>
      <c r="S969">
        <v>113000</v>
      </c>
      <c r="T969">
        <v>274</v>
      </c>
      <c r="U969">
        <v>275</v>
      </c>
      <c r="V969">
        <v>67.099999999999994</v>
      </c>
      <c r="W969">
        <v>364.45</v>
      </c>
      <c r="X969">
        <v>115.75</v>
      </c>
      <c r="Y969">
        <v>100</v>
      </c>
      <c r="Z969">
        <v>116.3</v>
      </c>
      <c r="AA969">
        <v>40</v>
      </c>
      <c r="AB969" s="6">
        <v>46147.586516203701</v>
      </c>
      <c r="AC969" s="6">
        <v>46147.586481481485</v>
      </c>
    </row>
    <row r="970" spans="1:29" x14ac:dyDescent="0.25">
      <c r="A970" t="s">
        <v>9</v>
      </c>
      <c r="B970" s="5">
        <v>46149</v>
      </c>
      <c r="C970" t="s">
        <v>54</v>
      </c>
      <c r="D970" t="s">
        <v>1029</v>
      </c>
      <c r="E970">
        <v>227514885</v>
      </c>
      <c r="F970" t="s">
        <v>763</v>
      </c>
      <c r="G970" t="s">
        <v>764</v>
      </c>
      <c r="H970">
        <v>78100</v>
      </c>
      <c r="I970" t="s">
        <v>60</v>
      </c>
      <c r="J970">
        <v>1107.95</v>
      </c>
      <c r="K970">
        <v>10.728562862282631</v>
      </c>
      <c r="L970">
        <v>40</v>
      </c>
      <c r="M970">
        <v>1255.24</v>
      </c>
      <c r="N970">
        <v>51440</v>
      </c>
      <c r="O970">
        <v>28040</v>
      </c>
      <c r="P970">
        <v>9960</v>
      </c>
      <c r="Q970">
        <v>32560</v>
      </c>
      <c r="R970">
        <v>37360</v>
      </c>
      <c r="S970">
        <v>32560</v>
      </c>
      <c r="T970">
        <v>1375</v>
      </c>
      <c r="U970">
        <v>1625.3</v>
      </c>
      <c r="V970">
        <v>1005.8</v>
      </c>
      <c r="W970">
        <v>1000.6</v>
      </c>
      <c r="X970">
        <v>1122.6500000000001</v>
      </c>
      <c r="Y970">
        <v>80</v>
      </c>
      <c r="Z970">
        <v>1132.75</v>
      </c>
      <c r="AA970">
        <v>40</v>
      </c>
      <c r="AB970" s="6">
        <v>46147.586527777778</v>
      </c>
      <c r="AC970" s="6">
        <v>46147.580694444441</v>
      </c>
    </row>
    <row r="971" spans="1:29" x14ac:dyDescent="0.25">
      <c r="A971" t="s">
        <v>9</v>
      </c>
      <c r="B971" s="5">
        <v>46149</v>
      </c>
      <c r="C971" t="s">
        <v>54</v>
      </c>
      <c r="D971" t="s">
        <v>1030</v>
      </c>
      <c r="E971">
        <v>227543557</v>
      </c>
      <c r="F971" t="s">
        <v>763</v>
      </c>
      <c r="G971" t="s">
        <v>764</v>
      </c>
      <c r="H971">
        <v>78200</v>
      </c>
      <c r="I971" t="s">
        <v>58</v>
      </c>
      <c r="J971">
        <v>99.9</v>
      </c>
      <c r="K971">
        <v>-69.923227457474027</v>
      </c>
      <c r="L971">
        <v>160</v>
      </c>
      <c r="M971">
        <v>103.71</v>
      </c>
      <c r="N971">
        <v>2577340</v>
      </c>
      <c r="O971">
        <v>66060</v>
      </c>
      <c r="P971">
        <v>39920</v>
      </c>
      <c r="Q971">
        <v>224960</v>
      </c>
      <c r="R971">
        <v>250880</v>
      </c>
      <c r="S971">
        <v>136460</v>
      </c>
      <c r="T971">
        <v>282.14999999999998</v>
      </c>
      <c r="U971">
        <v>282.14999999999998</v>
      </c>
      <c r="V971">
        <v>58.8</v>
      </c>
      <c r="W971">
        <v>332.15</v>
      </c>
      <c r="X971">
        <v>99.75</v>
      </c>
      <c r="Y971">
        <v>320</v>
      </c>
      <c r="Z971">
        <v>100.25</v>
      </c>
      <c r="AA971">
        <v>20</v>
      </c>
      <c r="AB971" s="6">
        <v>46147.586527777778</v>
      </c>
      <c r="AC971" s="6">
        <v>46147.586527777778</v>
      </c>
    </row>
    <row r="972" spans="1:29" x14ac:dyDescent="0.25">
      <c r="A972" t="s">
        <v>9</v>
      </c>
      <c r="B972" s="5">
        <v>46149</v>
      </c>
      <c r="C972" t="s">
        <v>54</v>
      </c>
      <c r="D972" t="s">
        <v>1031</v>
      </c>
      <c r="E972">
        <v>227598085</v>
      </c>
      <c r="F972" t="s">
        <v>763</v>
      </c>
      <c r="G972" t="s">
        <v>764</v>
      </c>
      <c r="H972">
        <v>78200</v>
      </c>
      <c r="I972" t="s">
        <v>60</v>
      </c>
      <c r="J972">
        <v>1230</v>
      </c>
      <c r="K972">
        <v>14.557138865604914</v>
      </c>
      <c r="L972">
        <v>20</v>
      </c>
      <c r="M972">
        <v>1358.29</v>
      </c>
      <c r="N972">
        <v>28820</v>
      </c>
      <c r="O972">
        <v>36160</v>
      </c>
      <c r="P972">
        <v>6960</v>
      </c>
      <c r="Q972">
        <v>25840</v>
      </c>
      <c r="R972">
        <v>31080</v>
      </c>
      <c r="S972">
        <v>25840</v>
      </c>
      <c r="T972">
        <v>1349.95</v>
      </c>
      <c r="U972">
        <v>1732.3</v>
      </c>
      <c r="V972">
        <v>1098.05</v>
      </c>
      <c r="W972">
        <v>1073.7</v>
      </c>
      <c r="X972">
        <v>1206.3499999999999</v>
      </c>
      <c r="Y972">
        <v>80</v>
      </c>
      <c r="Z972">
        <v>1216.6500000000001</v>
      </c>
      <c r="AA972">
        <v>80</v>
      </c>
      <c r="AB972" s="6">
        <v>46147.586527777778</v>
      </c>
      <c r="AC972" s="6">
        <v>46147.585810185185</v>
      </c>
    </row>
    <row r="973" spans="1:29" x14ac:dyDescent="0.25">
      <c r="A973" t="s">
        <v>9</v>
      </c>
      <c r="B973" s="5">
        <v>46149</v>
      </c>
      <c r="C973" t="s">
        <v>54</v>
      </c>
      <c r="D973" t="s">
        <v>1032</v>
      </c>
      <c r="E973">
        <v>227478533</v>
      </c>
      <c r="F973" t="s">
        <v>763</v>
      </c>
      <c r="G973" t="s">
        <v>764</v>
      </c>
      <c r="H973">
        <v>78300</v>
      </c>
      <c r="I973" t="s">
        <v>58</v>
      </c>
      <c r="J973">
        <v>85.6</v>
      </c>
      <c r="K973">
        <v>-71.763153554346033</v>
      </c>
      <c r="L973">
        <v>40</v>
      </c>
      <c r="M973">
        <v>91.44</v>
      </c>
      <c r="N973">
        <v>2453560</v>
      </c>
      <c r="O973">
        <v>48860</v>
      </c>
      <c r="P973">
        <v>42240</v>
      </c>
      <c r="Q973">
        <v>227180</v>
      </c>
      <c r="R973">
        <v>253580</v>
      </c>
      <c r="S973">
        <v>161200</v>
      </c>
      <c r="T973">
        <v>201</v>
      </c>
      <c r="U973">
        <v>201</v>
      </c>
      <c r="V973">
        <v>51.95</v>
      </c>
      <c r="W973">
        <v>303.14999999999998</v>
      </c>
      <c r="X973">
        <v>85.7</v>
      </c>
      <c r="Y973">
        <v>60</v>
      </c>
      <c r="Z973">
        <v>86</v>
      </c>
      <c r="AA973">
        <v>20</v>
      </c>
      <c r="AB973" s="6">
        <v>46147.586516203701</v>
      </c>
      <c r="AC973" s="6">
        <v>46147.586504629631</v>
      </c>
    </row>
    <row r="974" spans="1:29" x14ac:dyDescent="0.25">
      <c r="A974" t="s">
        <v>9</v>
      </c>
      <c r="B974" s="5">
        <v>46149</v>
      </c>
      <c r="C974" t="s">
        <v>54</v>
      </c>
      <c r="D974" t="s">
        <v>1033</v>
      </c>
      <c r="E974">
        <v>227533573</v>
      </c>
      <c r="F974" t="s">
        <v>763</v>
      </c>
      <c r="G974" t="s">
        <v>764</v>
      </c>
      <c r="H974">
        <v>78300</v>
      </c>
      <c r="I974" t="s">
        <v>60</v>
      </c>
      <c r="J974">
        <v>1330</v>
      </c>
      <c r="K974">
        <v>16.605295458530605</v>
      </c>
      <c r="L974">
        <v>20</v>
      </c>
      <c r="M974">
        <v>1513.45</v>
      </c>
      <c r="N974">
        <v>25460</v>
      </c>
      <c r="O974">
        <v>38200</v>
      </c>
      <c r="P974">
        <v>6280</v>
      </c>
      <c r="Q974">
        <v>21220</v>
      </c>
      <c r="R974">
        <v>30240</v>
      </c>
      <c r="S974">
        <v>21160</v>
      </c>
      <c r="T974">
        <v>1630.15</v>
      </c>
      <c r="U974">
        <v>1826.35</v>
      </c>
      <c r="V974">
        <v>1175.8499999999999</v>
      </c>
      <c r="W974">
        <v>1140.5999999999999</v>
      </c>
      <c r="X974">
        <v>1290.3</v>
      </c>
      <c r="Y974">
        <v>20</v>
      </c>
      <c r="Z974">
        <v>1302.1500000000001</v>
      </c>
      <c r="AA974">
        <v>20</v>
      </c>
      <c r="AB974" s="6">
        <v>46147.586516203701</v>
      </c>
      <c r="AC974" s="6">
        <v>46147.586076388892</v>
      </c>
    </row>
    <row r="975" spans="1:29" x14ac:dyDescent="0.25">
      <c r="A975" t="s">
        <v>9</v>
      </c>
      <c r="B975" s="5">
        <v>46149</v>
      </c>
      <c r="C975" t="s">
        <v>54</v>
      </c>
      <c r="D975" t="s">
        <v>1034</v>
      </c>
      <c r="E975">
        <v>227559429</v>
      </c>
      <c r="F975" t="s">
        <v>763</v>
      </c>
      <c r="G975" t="s">
        <v>764</v>
      </c>
      <c r="H975">
        <v>78400</v>
      </c>
      <c r="I975" t="s">
        <v>58</v>
      </c>
      <c r="J975">
        <v>73.45</v>
      </c>
      <c r="K975">
        <v>-73.411764705882348</v>
      </c>
      <c r="L975">
        <v>80</v>
      </c>
      <c r="M975">
        <v>79.790000000000006</v>
      </c>
      <c r="N975">
        <v>2321220</v>
      </c>
      <c r="O975">
        <v>48380</v>
      </c>
      <c r="P975">
        <v>40160</v>
      </c>
      <c r="Q975">
        <v>205840</v>
      </c>
      <c r="R975">
        <v>225060</v>
      </c>
      <c r="S975">
        <v>97180</v>
      </c>
      <c r="T975">
        <v>200</v>
      </c>
      <c r="U975">
        <v>200</v>
      </c>
      <c r="V975">
        <v>46</v>
      </c>
      <c r="W975">
        <v>276.25</v>
      </c>
      <c r="X975">
        <v>73.599999999999994</v>
      </c>
      <c r="Y975">
        <v>60</v>
      </c>
      <c r="Z975">
        <v>73.849999999999994</v>
      </c>
      <c r="AA975">
        <v>60</v>
      </c>
      <c r="AB975" s="6">
        <v>46147.586527777778</v>
      </c>
      <c r="AC975" s="6">
        <v>46147.586504629631</v>
      </c>
    </row>
    <row r="976" spans="1:29" x14ac:dyDescent="0.25">
      <c r="A976" t="s">
        <v>9</v>
      </c>
      <c r="B976" s="5">
        <v>46149</v>
      </c>
      <c r="C976" t="s">
        <v>54</v>
      </c>
      <c r="D976" t="s">
        <v>1035</v>
      </c>
      <c r="E976">
        <v>227469829</v>
      </c>
      <c r="F976" t="s">
        <v>763</v>
      </c>
      <c r="G976" t="s">
        <v>764</v>
      </c>
      <c r="H976">
        <v>78400</v>
      </c>
      <c r="I976" t="s">
        <v>60</v>
      </c>
      <c r="J976">
        <v>1430.9</v>
      </c>
      <c r="K976">
        <v>18.354011579818039</v>
      </c>
      <c r="L976">
        <v>40</v>
      </c>
      <c r="M976">
        <v>1568.83</v>
      </c>
      <c r="N976">
        <v>18480</v>
      </c>
      <c r="O976">
        <v>30980</v>
      </c>
      <c r="P976">
        <v>3920</v>
      </c>
      <c r="Q976">
        <v>24000</v>
      </c>
      <c r="R976">
        <v>29180</v>
      </c>
      <c r="S976">
        <v>24000</v>
      </c>
      <c r="T976">
        <v>1550</v>
      </c>
      <c r="U976">
        <v>1901.7</v>
      </c>
      <c r="V976">
        <v>1270.3</v>
      </c>
      <c r="W976">
        <v>1209</v>
      </c>
      <c r="X976">
        <v>1374.6</v>
      </c>
      <c r="Y976">
        <v>40</v>
      </c>
      <c r="Z976">
        <v>1392.2</v>
      </c>
      <c r="AA976">
        <v>140</v>
      </c>
      <c r="AB976" s="6">
        <v>46147.586527777778</v>
      </c>
      <c r="AC976" s="6">
        <v>46147.579270833332</v>
      </c>
    </row>
    <row r="977" spans="1:29" x14ac:dyDescent="0.25">
      <c r="A977" t="s">
        <v>9</v>
      </c>
      <c r="B977" s="5">
        <v>46149</v>
      </c>
      <c r="C977" t="s">
        <v>54</v>
      </c>
      <c r="D977" t="s">
        <v>1036</v>
      </c>
      <c r="E977">
        <v>227493893</v>
      </c>
      <c r="F977" t="s">
        <v>763</v>
      </c>
      <c r="G977" t="s">
        <v>764</v>
      </c>
      <c r="H977">
        <v>78500</v>
      </c>
      <c r="I977" t="s">
        <v>58</v>
      </c>
      <c r="J977">
        <v>63.3</v>
      </c>
      <c r="K977">
        <v>-74.975291559596741</v>
      </c>
      <c r="L977">
        <v>20</v>
      </c>
      <c r="M977">
        <v>70.22</v>
      </c>
      <c r="N977">
        <v>5907240</v>
      </c>
      <c r="O977">
        <v>66620</v>
      </c>
      <c r="P977">
        <v>102120</v>
      </c>
      <c r="Q977">
        <v>624880</v>
      </c>
      <c r="R977">
        <v>631400</v>
      </c>
      <c r="S977">
        <v>416740</v>
      </c>
      <c r="T977">
        <v>200</v>
      </c>
      <c r="U977">
        <v>200</v>
      </c>
      <c r="V977">
        <v>40.6</v>
      </c>
      <c r="W977">
        <v>252.95</v>
      </c>
      <c r="X977">
        <v>63.4</v>
      </c>
      <c r="Y977">
        <v>20</v>
      </c>
      <c r="Z977">
        <v>63.6</v>
      </c>
      <c r="AA977">
        <v>60</v>
      </c>
      <c r="AB977" s="6">
        <v>46147.586527777778</v>
      </c>
      <c r="AC977" s="6">
        <v>46147.586504629631</v>
      </c>
    </row>
    <row r="978" spans="1:29" x14ac:dyDescent="0.25">
      <c r="A978" t="s">
        <v>9</v>
      </c>
      <c r="B978" s="5">
        <v>46149</v>
      </c>
      <c r="C978" t="s">
        <v>54</v>
      </c>
      <c r="D978" t="s">
        <v>1037</v>
      </c>
      <c r="E978">
        <v>227550213</v>
      </c>
      <c r="F978" t="s">
        <v>763</v>
      </c>
      <c r="G978" t="s">
        <v>764</v>
      </c>
      <c r="H978">
        <v>78500</v>
      </c>
      <c r="I978" t="s">
        <v>60</v>
      </c>
      <c r="J978">
        <v>1480</v>
      </c>
      <c r="K978">
        <v>13.854911916301248</v>
      </c>
      <c r="L978">
        <v>20</v>
      </c>
      <c r="M978">
        <v>1682.53</v>
      </c>
      <c r="N978">
        <v>64800</v>
      </c>
      <c r="O978">
        <v>21560</v>
      </c>
      <c r="P978">
        <v>3760</v>
      </c>
      <c r="Q978">
        <v>54960</v>
      </c>
      <c r="R978">
        <v>72140</v>
      </c>
      <c r="S978">
        <v>53540</v>
      </c>
      <c r="T978">
        <v>1559.9</v>
      </c>
      <c r="U978">
        <v>2001</v>
      </c>
      <c r="V978">
        <v>1362.35</v>
      </c>
      <c r="W978">
        <v>1299.9000000000001</v>
      </c>
      <c r="X978">
        <v>1471.55</v>
      </c>
      <c r="Y978">
        <v>80</v>
      </c>
      <c r="Z978">
        <v>1480.25</v>
      </c>
      <c r="AA978">
        <v>80</v>
      </c>
      <c r="AB978" s="6">
        <v>46147.586527777778</v>
      </c>
      <c r="AC978" s="6">
        <v>46147.583321759259</v>
      </c>
    </row>
    <row r="979" spans="1:29" x14ac:dyDescent="0.25">
      <c r="A979" t="s">
        <v>9</v>
      </c>
      <c r="B979" s="5">
        <v>46149</v>
      </c>
      <c r="C979" t="s">
        <v>54</v>
      </c>
      <c r="D979" t="s">
        <v>1038</v>
      </c>
      <c r="E979">
        <v>227428869</v>
      </c>
      <c r="F979" t="s">
        <v>763</v>
      </c>
      <c r="G979" t="s">
        <v>764</v>
      </c>
      <c r="H979">
        <v>78600</v>
      </c>
      <c r="I979" t="s">
        <v>58</v>
      </c>
      <c r="J979">
        <v>54.45</v>
      </c>
      <c r="K979">
        <v>-76.433672365288913</v>
      </c>
      <c r="L979">
        <v>60</v>
      </c>
      <c r="M979">
        <v>59.6</v>
      </c>
      <c r="N979">
        <v>2323580</v>
      </c>
      <c r="O979">
        <v>70180</v>
      </c>
      <c r="P979">
        <v>33880</v>
      </c>
      <c r="Q979">
        <v>172800</v>
      </c>
      <c r="R979">
        <v>276760</v>
      </c>
      <c r="S979">
        <v>109200</v>
      </c>
      <c r="T979">
        <v>145</v>
      </c>
      <c r="U979">
        <v>145</v>
      </c>
      <c r="V979">
        <v>36.35</v>
      </c>
      <c r="W979">
        <v>231.05</v>
      </c>
      <c r="X979">
        <v>54.3</v>
      </c>
      <c r="Y979">
        <v>20</v>
      </c>
      <c r="Z979">
        <v>54.5</v>
      </c>
      <c r="AA979">
        <v>120</v>
      </c>
      <c r="AB979" s="6">
        <v>46147.586527777778</v>
      </c>
      <c r="AC979" s="6">
        <v>46147.586504629631</v>
      </c>
    </row>
    <row r="980" spans="1:29" x14ac:dyDescent="0.25">
      <c r="A980" t="s">
        <v>9</v>
      </c>
      <c r="B980" s="5">
        <v>46149</v>
      </c>
      <c r="C980" t="s">
        <v>54</v>
      </c>
      <c r="D980" t="s">
        <v>1039</v>
      </c>
      <c r="E980">
        <v>227486213</v>
      </c>
      <c r="F980" t="s">
        <v>763</v>
      </c>
      <c r="G980" t="s">
        <v>764</v>
      </c>
      <c r="H980">
        <v>78600</v>
      </c>
      <c r="I980" t="s">
        <v>60</v>
      </c>
      <c r="J980">
        <v>1588.55</v>
      </c>
      <c r="K980">
        <v>16.522408860852345</v>
      </c>
      <c r="L980">
        <v>20</v>
      </c>
      <c r="M980">
        <v>1762.36</v>
      </c>
      <c r="N980">
        <v>9340</v>
      </c>
      <c r="O980">
        <v>34960</v>
      </c>
      <c r="P980">
        <v>6600</v>
      </c>
      <c r="Q980">
        <v>14500</v>
      </c>
      <c r="R980">
        <v>20200</v>
      </c>
      <c r="S980">
        <v>14500</v>
      </c>
      <c r="T980">
        <v>1549</v>
      </c>
      <c r="U980">
        <v>2080</v>
      </c>
      <c r="V980">
        <v>1445.45</v>
      </c>
      <c r="W980">
        <v>1363.3</v>
      </c>
      <c r="X980">
        <v>1557.3</v>
      </c>
      <c r="Y980">
        <v>20</v>
      </c>
      <c r="Z980">
        <v>1570.85</v>
      </c>
      <c r="AA980">
        <v>80</v>
      </c>
      <c r="AB980" s="6">
        <v>46147.586516203701</v>
      </c>
      <c r="AC980" s="6">
        <v>46147.585914351854</v>
      </c>
    </row>
    <row r="981" spans="1:29" x14ac:dyDescent="0.25">
      <c r="A981" t="s">
        <v>9</v>
      </c>
      <c r="B981" s="5">
        <v>46149</v>
      </c>
      <c r="C981" t="s">
        <v>54</v>
      </c>
      <c r="D981" t="s">
        <v>1040</v>
      </c>
      <c r="E981">
        <v>227507973</v>
      </c>
      <c r="F981" t="s">
        <v>763</v>
      </c>
      <c r="G981" t="s">
        <v>764</v>
      </c>
      <c r="H981">
        <v>78700</v>
      </c>
      <c r="I981" t="s">
        <v>58</v>
      </c>
      <c r="J981">
        <v>46.9</v>
      </c>
      <c r="K981">
        <v>-77.661347939985703</v>
      </c>
      <c r="L981">
        <v>20</v>
      </c>
      <c r="M981">
        <v>54.71</v>
      </c>
      <c r="N981">
        <v>2672560</v>
      </c>
      <c r="O981">
        <v>83820</v>
      </c>
      <c r="P981">
        <v>48280</v>
      </c>
      <c r="Q981">
        <v>429760</v>
      </c>
      <c r="R981">
        <v>429760</v>
      </c>
      <c r="S981">
        <v>237540</v>
      </c>
      <c r="T981">
        <v>155</v>
      </c>
      <c r="U981">
        <v>155</v>
      </c>
      <c r="V981">
        <v>32.049999999999997</v>
      </c>
      <c r="W981">
        <v>209.95</v>
      </c>
      <c r="X981">
        <v>46.45</v>
      </c>
      <c r="Y981">
        <v>60</v>
      </c>
      <c r="Z981">
        <v>46.65</v>
      </c>
      <c r="AA981">
        <v>40</v>
      </c>
      <c r="AB981" s="6">
        <v>46147.586516203701</v>
      </c>
      <c r="AC981" s="6">
        <v>46147.586481481485</v>
      </c>
    </row>
    <row r="982" spans="1:29" x14ac:dyDescent="0.25">
      <c r="A982" t="s">
        <v>9</v>
      </c>
      <c r="B982" s="5">
        <v>46149</v>
      </c>
      <c r="C982" t="s">
        <v>54</v>
      </c>
      <c r="D982" t="s">
        <v>1041</v>
      </c>
      <c r="E982">
        <v>227567109</v>
      </c>
      <c r="F982" t="s">
        <v>763</v>
      </c>
      <c r="G982" t="s">
        <v>764</v>
      </c>
      <c r="H982">
        <v>78700</v>
      </c>
      <c r="I982" t="s">
        <v>60</v>
      </c>
      <c r="J982">
        <v>1630</v>
      </c>
      <c r="K982">
        <v>11.540698669038909</v>
      </c>
      <c r="L982">
        <v>80</v>
      </c>
      <c r="M982">
        <v>1774.38</v>
      </c>
      <c r="N982">
        <v>5860</v>
      </c>
      <c r="O982">
        <v>12200</v>
      </c>
      <c r="P982">
        <v>1400</v>
      </c>
      <c r="Q982">
        <v>18740</v>
      </c>
      <c r="R982">
        <v>21560</v>
      </c>
      <c r="S982">
        <v>18700</v>
      </c>
      <c r="T982">
        <v>1677</v>
      </c>
      <c r="U982">
        <v>2180</v>
      </c>
      <c r="V982">
        <v>1532.35</v>
      </c>
      <c r="W982">
        <v>1461.35</v>
      </c>
      <c r="X982">
        <v>1645.3</v>
      </c>
      <c r="Y982">
        <v>20</v>
      </c>
      <c r="Z982">
        <v>1667.25</v>
      </c>
      <c r="AA982">
        <v>20</v>
      </c>
      <c r="AB982" s="6">
        <v>46147.586527777778</v>
      </c>
      <c r="AC982" s="6">
        <v>46147.580567129633</v>
      </c>
    </row>
    <row r="983" spans="1:29" x14ac:dyDescent="0.25">
      <c r="A983" t="s">
        <v>9</v>
      </c>
      <c r="B983" s="5">
        <v>46149</v>
      </c>
      <c r="C983" t="s">
        <v>54</v>
      </c>
      <c r="D983" t="s">
        <v>1042</v>
      </c>
      <c r="E983">
        <v>227446021</v>
      </c>
      <c r="F983" t="s">
        <v>763</v>
      </c>
      <c r="G983" t="s">
        <v>764</v>
      </c>
      <c r="H983">
        <v>78800</v>
      </c>
      <c r="I983" t="s">
        <v>58</v>
      </c>
      <c r="J983">
        <v>39.85</v>
      </c>
      <c r="K983">
        <v>-78.982067510548532</v>
      </c>
      <c r="L983">
        <v>20</v>
      </c>
      <c r="M983">
        <v>47.3</v>
      </c>
      <c r="N983">
        <v>2181400</v>
      </c>
      <c r="O983">
        <v>72660</v>
      </c>
      <c r="P983">
        <v>45480</v>
      </c>
      <c r="Q983">
        <v>207040</v>
      </c>
      <c r="R983">
        <v>217940</v>
      </c>
      <c r="S983">
        <v>108520</v>
      </c>
      <c r="T983">
        <v>142.94999999999999</v>
      </c>
      <c r="U983">
        <v>142.94999999999999</v>
      </c>
      <c r="V983">
        <v>28.2</v>
      </c>
      <c r="W983">
        <v>189.6</v>
      </c>
      <c r="X983">
        <v>39.549999999999997</v>
      </c>
      <c r="Y983">
        <v>80</v>
      </c>
      <c r="Z983">
        <v>39.799999999999997</v>
      </c>
      <c r="AA983">
        <v>20</v>
      </c>
      <c r="AB983" s="6">
        <v>46147.586527777778</v>
      </c>
      <c r="AC983" s="6">
        <v>46147.586481481485</v>
      </c>
    </row>
    <row r="984" spans="1:29" x14ac:dyDescent="0.25">
      <c r="A984" t="s">
        <v>9</v>
      </c>
      <c r="B984" s="5">
        <v>46149</v>
      </c>
      <c r="C984" t="s">
        <v>54</v>
      </c>
      <c r="D984" t="s">
        <v>1043</v>
      </c>
      <c r="E984">
        <v>227500549</v>
      </c>
      <c r="F984" t="s">
        <v>763</v>
      </c>
      <c r="G984" t="s">
        <v>764</v>
      </c>
      <c r="H984">
        <v>78800</v>
      </c>
      <c r="I984" t="s">
        <v>60</v>
      </c>
      <c r="J984">
        <v>1720.35</v>
      </c>
      <c r="K984">
        <v>11.94000715749748</v>
      </c>
      <c r="L984">
        <v>20</v>
      </c>
      <c r="M984">
        <v>1844.41</v>
      </c>
      <c r="N984">
        <v>2120</v>
      </c>
      <c r="O984">
        <v>1340</v>
      </c>
      <c r="P984">
        <v>3060</v>
      </c>
      <c r="Q984">
        <v>7940</v>
      </c>
      <c r="R984">
        <v>8700</v>
      </c>
      <c r="S984">
        <v>7820</v>
      </c>
      <c r="T984">
        <v>1600.9</v>
      </c>
      <c r="U984">
        <v>2250.25</v>
      </c>
      <c r="V984">
        <v>1600.9</v>
      </c>
      <c r="W984">
        <v>1536.85</v>
      </c>
      <c r="X984">
        <v>1741.25</v>
      </c>
      <c r="Y984">
        <v>20</v>
      </c>
      <c r="Z984">
        <v>1763.6</v>
      </c>
      <c r="AA984">
        <v>20</v>
      </c>
      <c r="AB984" s="6">
        <v>46147.586527777778</v>
      </c>
      <c r="AC984" s="6">
        <v>46147.573692129627</v>
      </c>
    </row>
    <row r="985" spans="1:29" x14ac:dyDescent="0.25">
      <c r="A985" t="s">
        <v>9</v>
      </c>
      <c r="B985" s="5">
        <v>46149</v>
      </c>
      <c r="C985" t="s">
        <v>54</v>
      </c>
      <c r="D985" t="s">
        <v>1044</v>
      </c>
      <c r="E985">
        <v>227527941</v>
      </c>
      <c r="F985" t="s">
        <v>763</v>
      </c>
      <c r="G985" t="s">
        <v>764</v>
      </c>
      <c r="H985">
        <v>78900</v>
      </c>
      <c r="I985" t="s">
        <v>58</v>
      </c>
      <c r="J985">
        <v>34.1</v>
      </c>
      <c r="K985">
        <v>-80.254777070063696</v>
      </c>
      <c r="L985">
        <v>60</v>
      </c>
      <c r="M985">
        <v>40.33</v>
      </c>
      <c r="N985">
        <v>2000320</v>
      </c>
      <c r="O985">
        <v>82860</v>
      </c>
      <c r="P985">
        <v>32720</v>
      </c>
      <c r="Q985">
        <v>178520</v>
      </c>
      <c r="R985">
        <v>188740</v>
      </c>
      <c r="S985">
        <v>101120</v>
      </c>
      <c r="T985">
        <v>120</v>
      </c>
      <c r="U985">
        <v>120</v>
      </c>
      <c r="V985">
        <v>25.05</v>
      </c>
      <c r="W985">
        <v>172.7</v>
      </c>
      <c r="X985">
        <v>33.9</v>
      </c>
      <c r="Y985">
        <v>20</v>
      </c>
      <c r="Z985">
        <v>34</v>
      </c>
      <c r="AA985">
        <v>480</v>
      </c>
      <c r="AB985" s="6">
        <v>46147.586516203701</v>
      </c>
      <c r="AC985" s="6">
        <v>46147.586481481485</v>
      </c>
    </row>
    <row r="986" spans="1:29" x14ac:dyDescent="0.25">
      <c r="A986" t="s">
        <v>9</v>
      </c>
      <c r="B986" s="5">
        <v>46149</v>
      </c>
      <c r="C986" t="s">
        <v>54</v>
      </c>
      <c r="D986" t="s">
        <v>1045</v>
      </c>
      <c r="E986">
        <v>227436549</v>
      </c>
      <c r="F986" t="s">
        <v>763</v>
      </c>
      <c r="G986" t="s">
        <v>764</v>
      </c>
      <c r="H986">
        <v>78900</v>
      </c>
      <c r="I986" t="s">
        <v>60</v>
      </c>
      <c r="J986">
        <v>1826.1</v>
      </c>
      <c r="K986">
        <v>11.225484224631501</v>
      </c>
      <c r="L986">
        <v>20</v>
      </c>
      <c r="M986">
        <v>2016.55</v>
      </c>
      <c r="N986">
        <v>760</v>
      </c>
      <c r="O986">
        <v>4000</v>
      </c>
      <c r="P986">
        <v>2540</v>
      </c>
      <c r="Q986">
        <v>2660</v>
      </c>
      <c r="R986">
        <v>2740</v>
      </c>
      <c r="S986">
        <v>2600</v>
      </c>
      <c r="T986">
        <v>2200</v>
      </c>
      <c r="U986">
        <v>2271.15</v>
      </c>
      <c r="V986">
        <v>1804.6</v>
      </c>
      <c r="W986">
        <v>1641.8</v>
      </c>
      <c r="X986">
        <v>1829.1</v>
      </c>
      <c r="Y986">
        <v>40</v>
      </c>
      <c r="Z986">
        <v>1857.3</v>
      </c>
      <c r="AA986">
        <v>20</v>
      </c>
      <c r="AB986" s="6">
        <v>46147.586516203701</v>
      </c>
      <c r="AC986" s="6">
        <v>46147.58221064815</v>
      </c>
    </row>
    <row r="987" spans="1:29" x14ac:dyDescent="0.25">
      <c r="A987" t="s">
        <v>9</v>
      </c>
      <c r="B987" s="5">
        <v>46149</v>
      </c>
      <c r="C987" t="s">
        <v>54</v>
      </c>
      <c r="D987" t="s">
        <v>1046</v>
      </c>
      <c r="E987">
        <v>227417093</v>
      </c>
      <c r="F987" t="s">
        <v>763</v>
      </c>
      <c r="G987" t="s">
        <v>764</v>
      </c>
      <c r="H987">
        <v>79000</v>
      </c>
      <c r="I987" t="s">
        <v>58</v>
      </c>
      <c r="J987">
        <v>29.2</v>
      </c>
      <c r="K987">
        <v>-81.306017925736228</v>
      </c>
      <c r="L987">
        <v>300</v>
      </c>
      <c r="M987">
        <v>36.1</v>
      </c>
      <c r="N987">
        <v>6888920</v>
      </c>
      <c r="O987">
        <v>145900</v>
      </c>
      <c r="P987">
        <v>104420</v>
      </c>
      <c r="Q987">
        <v>830900</v>
      </c>
      <c r="R987">
        <v>830900</v>
      </c>
      <c r="S987">
        <v>463240</v>
      </c>
      <c r="T987">
        <v>99</v>
      </c>
      <c r="U987">
        <v>99</v>
      </c>
      <c r="V987">
        <v>21.9</v>
      </c>
      <c r="W987">
        <v>156.19999999999999</v>
      </c>
      <c r="X987">
        <v>29.05</v>
      </c>
      <c r="Y987">
        <v>100</v>
      </c>
      <c r="Z987">
        <v>29.2</v>
      </c>
      <c r="AA987">
        <v>660</v>
      </c>
      <c r="AB987" s="6">
        <v>46147.586527777778</v>
      </c>
      <c r="AC987" s="6">
        <v>46147.586527777778</v>
      </c>
    </row>
    <row r="988" spans="1:29" x14ac:dyDescent="0.25">
      <c r="A988" t="s">
        <v>9</v>
      </c>
      <c r="B988" s="5">
        <v>46149</v>
      </c>
      <c r="C988" t="s">
        <v>54</v>
      </c>
      <c r="D988" t="s">
        <v>1047</v>
      </c>
      <c r="E988">
        <v>227591941</v>
      </c>
      <c r="F988" t="s">
        <v>763</v>
      </c>
      <c r="G988" t="s">
        <v>764</v>
      </c>
      <c r="H988">
        <v>79000</v>
      </c>
      <c r="I988" t="s">
        <v>60</v>
      </c>
      <c r="J988">
        <v>1941.45</v>
      </c>
      <c r="K988">
        <v>14.391350459580485</v>
      </c>
      <c r="L988">
        <v>20</v>
      </c>
      <c r="M988">
        <v>2096.98</v>
      </c>
      <c r="N988">
        <v>15840</v>
      </c>
      <c r="O988">
        <v>14360</v>
      </c>
      <c r="P988">
        <v>2900</v>
      </c>
      <c r="Q988">
        <v>21640</v>
      </c>
      <c r="R988">
        <v>25280</v>
      </c>
      <c r="S988">
        <v>21400</v>
      </c>
      <c r="T988">
        <v>2050</v>
      </c>
      <c r="U988">
        <v>2480</v>
      </c>
      <c r="V988">
        <v>1800</v>
      </c>
      <c r="W988">
        <v>1697.2</v>
      </c>
      <c r="X988">
        <v>1929.4</v>
      </c>
      <c r="Y988">
        <v>60</v>
      </c>
      <c r="Z988">
        <v>1943.15</v>
      </c>
      <c r="AA988">
        <v>40</v>
      </c>
      <c r="AB988" s="6">
        <v>46147.586527777778</v>
      </c>
      <c r="AC988" s="6">
        <v>46147.585590277777</v>
      </c>
    </row>
    <row r="989" spans="1:29" x14ac:dyDescent="0.25">
      <c r="A989" t="s">
        <v>9</v>
      </c>
      <c r="B989" s="5">
        <v>46149</v>
      </c>
      <c r="C989" t="s">
        <v>54</v>
      </c>
      <c r="D989" t="s">
        <v>1048</v>
      </c>
      <c r="E989">
        <v>227615749</v>
      </c>
      <c r="F989" t="s">
        <v>763</v>
      </c>
      <c r="G989" t="s">
        <v>764</v>
      </c>
      <c r="H989">
        <v>79100</v>
      </c>
      <c r="I989" t="s">
        <v>58</v>
      </c>
      <c r="J989">
        <v>25.2</v>
      </c>
      <c r="K989">
        <v>-82.057671769312918</v>
      </c>
      <c r="L989">
        <v>40</v>
      </c>
      <c r="M989">
        <v>30.79</v>
      </c>
      <c r="N989">
        <v>1738220</v>
      </c>
      <c r="O989">
        <v>90240</v>
      </c>
      <c r="P989">
        <v>25200</v>
      </c>
      <c r="Q989">
        <v>181700</v>
      </c>
      <c r="R989">
        <v>181940</v>
      </c>
      <c r="S989">
        <v>78420</v>
      </c>
      <c r="T989">
        <v>80.05</v>
      </c>
      <c r="U989">
        <v>80.05</v>
      </c>
      <c r="V989">
        <v>19.55</v>
      </c>
      <c r="W989">
        <v>140.44999999999999</v>
      </c>
      <c r="X989">
        <v>25.2</v>
      </c>
      <c r="Y989">
        <v>120</v>
      </c>
      <c r="Z989">
        <v>25.4</v>
      </c>
      <c r="AA989">
        <v>500</v>
      </c>
      <c r="AB989" s="6">
        <v>46147.586527777778</v>
      </c>
      <c r="AC989" s="6">
        <v>46147.586504629631</v>
      </c>
    </row>
    <row r="990" spans="1:29" x14ac:dyDescent="0.25">
      <c r="A990" t="s">
        <v>9</v>
      </c>
      <c r="B990" s="5">
        <v>46149</v>
      </c>
      <c r="C990" t="s">
        <v>54</v>
      </c>
      <c r="D990" t="s">
        <v>1049</v>
      </c>
      <c r="E990">
        <v>227407365</v>
      </c>
      <c r="F990" t="s">
        <v>763</v>
      </c>
      <c r="G990" t="s">
        <v>764</v>
      </c>
      <c r="H990">
        <v>79100</v>
      </c>
      <c r="I990" t="s">
        <v>60</v>
      </c>
      <c r="J990">
        <v>2007.55</v>
      </c>
      <c r="K990">
        <v>12.929628171232487</v>
      </c>
      <c r="L990">
        <v>20</v>
      </c>
      <c r="M990">
        <v>2122.54</v>
      </c>
      <c r="N990">
        <v>180</v>
      </c>
      <c r="O990">
        <v>3880</v>
      </c>
      <c r="P990">
        <v>2620</v>
      </c>
      <c r="Q990">
        <v>960</v>
      </c>
      <c r="R990">
        <v>1100</v>
      </c>
      <c r="S990">
        <v>960</v>
      </c>
      <c r="T990">
        <v>2098</v>
      </c>
      <c r="U990">
        <v>2227.9</v>
      </c>
      <c r="V990">
        <v>2007.55</v>
      </c>
      <c r="W990">
        <v>1777.7</v>
      </c>
      <c r="X990">
        <v>2019.15</v>
      </c>
      <c r="Y990">
        <v>100</v>
      </c>
      <c r="Z990">
        <v>2055.6</v>
      </c>
      <c r="AA990">
        <v>320</v>
      </c>
      <c r="AB990" s="6">
        <v>46147.586527777778</v>
      </c>
      <c r="AC990" s="6">
        <v>46147.573703703703</v>
      </c>
    </row>
    <row r="991" spans="1:29" x14ac:dyDescent="0.25">
      <c r="A991" t="s">
        <v>9</v>
      </c>
      <c r="B991" s="5">
        <v>46149</v>
      </c>
      <c r="C991" t="s">
        <v>54</v>
      </c>
      <c r="D991" t="s">
        <v>1050</v>
      </c>
      <c r="E991">
        <v>227435525</v>
      </c>
      <c r="F991" t="s">
        <v>763</v>
      </c>
      <c r="G991" t="s">
        <v>764</v>
      </c>
      <c r="H991">
        <v>79200</v>
      </c>
      <c r="I991" t="s">
        <v>58</v>
      </c>
      <c r="J991">
        <v>21.6</v>
      </c>
      <c r="K991">
        <v>-83.131589222959789</v>
      </c>
      <c r="L991">
        <v>20</v>
      </c>
      <c r="M991">
        <v>27.01</v>
      </c>
      <c r="N991">
        <v>1541140</v>
      </c>
      <c r="O991">
        <v>86560</v>
      </c>
      <c r="P991">
        <v>24200</v>
      </c>
      <c r="Q991">
        <v>170880</v>
      </c>
      <c r="R991">
        <v>186620</v>
      </c>
      <c r="S991">
        <v>95020</v>
      </c>
      <c r="T991">
        <v>91.95</v>
      </c>
      <c r="U991">
        <v>91.95</v>
      </c>
      <c r="V991">
        <v>17.350000000000001</v>
      </c>
      <c r="W991">
        <v>128.05000000000001</v>
      </c>
      <c r="X991">
        <v>21.4</v>
      </c>
      <c r="Y991">
        <v>800</v>
      </c>
      <c r="Z991">
        <v>21.6</v>
      </c>
      <c r="AA991">
        <v>40</v>
      </c>
      <c r="AB991" s="6">
        <v>46147.586527777778</v>
      </c>
      <c r="AC991" s="6">
        <v>46147.586469907408</v>
      </c>
    </row>
    <row r="992" spans="1:29" x14ac:dyDescent="0.25">
      <c r="A992" t="s">
        <v>9</v>
      </c>
      <c r="B992" s="5">
        <v>46149</v>
      </c>
      <c r="C992" t="s">
        <v>54</v>
      </c>
      <c r="D992" t="s">
        <v>1051</v>
      </c>
      <c r="E992">
        <v>227608837</v>
      </c>
      <c r="F992" t="s">
        <v>763</v>
      </c>
      <c r="G992" t="s">
        <v>764</v>
      </c>
      <c r="H992">
        <v>79200</v>
      </c>
      <c r="I992" t="s">
        <v>60</v>
      </c>
      <c r="J992">
        <v>2110.8000000000002</v>
      </c>
      <c r="K992">
        <v>3.6229749631811576</v>
      </c>
      <c r="L992">
        <v>20</v>
      </c>
      <c r="M992">
        <v>2116.85</v>
      </c>
      <c r="N992">
        <v>120</v>
      </c>
      <c r="O992">
        <v>900</v>
      </c>
      <c r="P992">
        <v>680</v>
      </c>
      <c r="Q992">
        <v>860</v>
      </c>
      <c r="R992">
        <v>940</v>
      </c>
      <c r="S992">
        <v>860</v>
      </c>
      <c r="T992">
        <v>2219.1</v>
      </c>
      <c r="U992">
        <v>2219.1</v>
      </c>
      <c r="V992">
        <v>2082.3000000000002</v>
      </c>
      <c r="W992">
        <v>2037</v>
      </c>
      <c r="X992">
        <v>2113.5</v>
      </c>
      <c r="Y992">
        <v>60</v>
      </c>
      <c r="Z992">
        <v>2169.9499999999998</v>
      </c>
      <c r="AA992">
        <v>60</v>
      </c>
      <c r="AB992" s="6">
        <v>46147.586516203701</v>
      </c>
      <c r="AC992" s="6">
        <v>46147.585196759261</v>
      </c>
    </row>
    <row r="993" spans="1:29" x14ac:dyDescent="0.25">
      <c r="A993" t="s">
        <v>9</v>
      </c>
      <c r="B993" s="5">
        <v>46149</v>
      </c>
      <c r="C993" t="s">
        <v>54</v>
      </c>
      <c r="D993" t="s">
        <v>1052</v>
      </c>
      <c r="E993">
        <v>227629829</v>
      </c>
      <c r="F993" t="s">
        <v>763</v>
      </c>
      <c r="G993" t="s">
        <v>764</v>
      </c>
      <c r="H993">
        <v>79300</v>
      </c>
      <c r="I993" t="s">
        <v>58</v>
      </c>
      <c r="J993">
        <v>18.600000000000001</v>
      </c>
      <c r="K993">
        <v>-83.979328165374682</v>
      </c>
      <c r="L993">
        <v>20</v>
      </c>
      <c r="M993">
        <v>24.42</v>
      </c>
      <c r="N993">
        <v>1503480</v>
      </c>
      <c r="O993">
        <v>83760</v>
      </c>
      <c r="P993">
        <v>16080</v>
      </c>
      <c r="Q993">
        <v>144260</v>
      </c>
      <c r="R993">
        <v>147580</v>
      </c>
      <c r="S993">
        <v>66540</v>
      </c>
      <c r="T993">
        <v>63.6</v>
      </c>
      <c r="U993">
        <v>63.6</v>
      </c>
      <c r="V993">
        <v>15.8</v>
      </c>
      <c r="W993">
        <v>116.1</v>
      </c>
      <c r="X993">
        <v>18.649999999999999</v>
      </c>
      <c r="Y993">
        <v>40</v>
      </c>
      <c r="Z993">
        <v>18.75</v>
      </c>
      <c r="AA993">
        <v>360</v>
      </c>
      <c r="AB993" s="6">
        <v>46147.586516203701</v>
      </c>
      <c r="AC993" s="6">
        <v>46147.586423611108</v>
      </c>
    </row>
    <row r="994" spans="1:29" x14ac:dyDescent="0.25">
      <c r="A994" t="s">
        <v>9</v>
      </c>
      <c r="B994" s="5">
        <v>46149</v>
      </c>
      <c r="C994" t="s">
        <v>54</v>
      </c>
      <c r="D994" t="s">
        <v>1053</v>
      </c>
      <c r="E994">
        <v>227424773</v>
      </c>
      <c r="F994" t="s">
        <v>763</v>
      </c>
      <c r="G994" t="s">
        <v>764</v>
      </c>
      <c r="H994">
        <v>79300</v>
      </c>
      <c r="I994" t="s">
        <v>60</v>
      </c>
      <c r="J994">
        <v>1921.85</v>
      </c>
      <c r="K994">
        <v>0</v>
      </c>
      <c r="L994">
        <v>0</v>
      </c>
      <c r="M994">
        <v>0</v>
      </c>
      <c r="N994">
        <v>0</v>
      </c>
      <c r="O994">
        <v>2940</v>
      </c>
      <c r="P994">
        <v>2380</v>
      </c>
      <c r="Q994">
        <v>620</v>
      </c>
      <c r="R994">
        <v>620</v>
      </c>
      <c r="S994">
        <v>620</v>
      </c>
      <c r="T994">
        <v>0</v>
      </c>
      <c r="U994">
        <v>2069.9499999999998</v>
      </c>
      <c r="V994">
        <v>1456.05</v>
      </c>
      <c r="W994">
        <v>1921.85</v>
      </c>
      <c r="X994">
        <v>2142.9</v>
      </c>
      <c r="Y994">
        <v>1000</v>
      </c>
      <c r="Z994">
        <v>3089</v>
      </c>
      <c r="AA994">
        <v>60</v>
      </c>
      <c r="AB994" s="6">
        <v>46147.586527777778</v>
      </c>
      <c r="AC994" s="6">
        <v>46146.644259259258</v>
      </c>
    </row>
    <row r="995" spans="1:29" x14ac:dyDescent="0.25">
      <c r="A995" t="s">
        <v>9</v>
      </c>
      <c r="B995" s="5">
        <v>46149</v>
      </c>
      <c r="C995" t="s">
        <v>54</v>
      </c>
      <c r="D995" t="s">
        <v>1054</v>
      </c>
      <c r="E995">
        <v>227568901</v>
      </c>
      <c r="F995" t="s">
        <v>763</v>
      </c>
      <c r="G995" t="s">
        <v>764</v>
      </c>
      <c r="H995">
        <v>79400</v>
      </c>
      <c r="I995" t="s">
        <v>58</v>
      </c>
      <c r="J995">
        <v>16.149999999999999</v>
      </c>
      <c r="K995">
        <v>-84.508393285371696</v>
      </c>
      <c r="L995">
        <v>60</v>
      </c>
      <c r="M995">
        <v>21.56</v>
      </c>
      <c r="N995">
        <v>1274600</v>
      </c>
      <c r="O995">
        <v>94180</v>
      </c>
      <c r="P995">
        <v>26540</v>
      </c>
      <c r="Q995">
        <v>113740</v>
      </c>
      <c r="R995">
        <v>116840</v>
      </c>
      <c r="S995">
        <v>72580</v>
      </c>
      <c r="T995">
        <v>81</v>
      </c>
      <c r="U995">
        <v>81</v>
      </c>
      <c r="V995">
        <v>14.05</v>
      </c>
      <c r="W995">
        <v>104.25</v>
      </c>
      <c r="X995">
        <v>16.2</v>
      </c>
      <c r="Y995">
        <v>20</v>
      </c>
      <c r="Z995">
        <v>16.3</v>
      </c>
      <c r="AA995">
        <v>200</v>
      </c>
      <c r="AB995" s="6">
        <v>46147.586527777778</v>
      </c>
      <c r="AC995" s="6">
        <v>46147.586435185185</v>
      </c>
    </row>
    <row r="996" spans="1:29" x14ac:dyDescent="0.25">
      <c r="A996" t="s">
        <v>9</v>
      </c>
      <c r="B996" s="5">
        <v>46149</v>
      </c>
      <c r="C996" t="s">
        <v>54</v>
      </c>
      <c r="D996" t="s">
        <v>1055</v>
      </c>
      <c r="E996">
        <v>227621893</v>
      </c>
      <c r="F996" t="s">
        <v>763</v>
      </c>
      <c r="G996" t="s">
        <v>764</v>
      </c>
      <c r="H996">
        <v>79400</v>
      </c>
      <c r="I996" t="s">
        <v>60</v>
      </c>
      <c r="J996">
        <v>2013.25</v>
      </c>
      <c r="K996">
        <v>0</v>
      </c>
      <c r="L996">
        <v>0</v>
      </c>
      <c r="M996">
        <v>0</v>
      </c>
      <c r="N996">
        <v>0</v>
      </c>
      <c r="O996">
        <v>620</v>
      </c>
      <c r="P996">
        <v>2280</v>
      </c>
      <c r="Q996">
        <v>1120</v>
      </c>
      <c r="R996">
        <v>1120</v>
      </c>
      <c r="S996">
        <v>1120</v>
      </c>
      <c r="T996">
        <v>0</v>
      </c>
      <c r="U996">
        <v>2151.9</v>
      </c>
      <c r="V996">
        <v>1754.4</v>
      </c>
      <c r="W996">
        <v>2013.25</v>
      </c>
      <c r="X996">
        <v>2239.1999999999998</v>
      </c>
      <c r="Y996">
        <v>20</v>
      </c>
      <c r="Z996">
        <v>3143.35</v>
      </c>
      <c r="AA996">
        <v>1880</v>
      </c>
      <c r="AB996" s="6">
        <v>46147.586527777778</v>
      </c>
      <c r="AC996" s="6">
        <v>46146.638032407405</v>
      </c>
    </row>
    <row r="997" spans="1:29" x14ac:dyDescent="0.25">
      <c r="A997" t="s">
        <v>9</v>
      </c>
      <c r="B997" s="5">
        <v>46149</v>
      </c>
      <c r="C997" t="s">
        <v>54</v>
      </c>
      <c r="D997" t="s">
        <v>1056</v>
      </c>
      <c r="E997">
        <v>227383813</v>
      </c>
      <c r="F997" t="s">
        <v>763</v>
      </c>
      <c r="G997" t="s">
        <v>764</v>
      </c>
      <c r="H997">
        <v>79500</v>
      </c>
      <c r="I997" t="s">
        <v>58</v>
      </c>
      <c r="J997">
        <v>13.9</v>
      </c>
      <c r="K997">
        <v>-85.181236673773981</v>
      </c>
      <c r="L997">
        <v>140</v>
      </c>
      <c r="M997">
        <v>18.3</v>
      </c>
      <c r="N997">
        <v>7307600</v>
      </c>
      <c r="O997">
        <v>94740</v>
      </c>
      <c r="P997">
        <v>45360</v>
      </c>
      <c r="Q997">
        <v>703520</v>
      </c>
      <c r="R997">
        <v>781120</v>
      </c>
      <c r="S997">
        <v>351280</v>
      </c>
      <c r="T997">
        <v>79.95</v>
      </c>
      <c r="U997">
        <v>88</v>
      </c>
      <c r="V997">
        <v>12.4</v>
      </c>
      <c r="W997">
        <v>93.8</v>
      </c>
      <c r="X997">
        <v>13.85</v>
      </c>
      <c r="Y997">
        <v>1000</v>
      </c>
      <c r="Z997">
        <v>13.9</v>
      </c>
      <c r="AA997">
        <v>80</v>
      </c>
      <c r="AB997" s="6">
        <v>46147.586516203701</v>
      </c>
      <c r="AC997" s="6">
        <v>46147.586493055554</v>
      </c>
    </row>
    <row r="998" spans="1:29" x14ac:dyDescent="0.25">
      <c r="A998" t="s">
        <v>9</v>
      </c>
      <c r="B998" s="5">
        <v>46149</v>
      </c>
      <c r="C998" t="s">
        <v>54</v>
      </c>
      <c r="D998" t="s">
        <v>1057</v>
      </c>
      <c r="E998">
        <v>227441157</v>
      </c>
      <c r="F998" t="s">
        <v>763</v>
      </c>
      <c r="G998" t="s">
        <v>764</v>
      </c>
      <c r="H998">
        <v>79500</v>
      </c>
      <c r="I998" t="s">
        <v>60</v>
      </c>
      <c r="J998">
        <v>2370.3000000000002</v>
      </c>
      <c r="K998">
        <v>11.593418234034038</v>
      </c>
      <c r="L998">
        <v>20</v>
      </c>
      <c r="M998">
        <v>2648.64</v>
      </c>
      <c r="N998">
        <v>1220</v>
      </c>
      <c r="O998">
        <v>5000</v>
      </c>
      <c r="P998">
        <v>680</v>
      </c>
      <c r="Q998">
        <v>3160</v>
      </c>
      <c r="R998">
        <v>3540</v>
      </c>
      <c r="S998">
        <v>3160</v>
      </c>
      <c r="T998">
        <v>2600</v>
      </c>
      <c r="U998">
        <v>2950</v>
      </c>
      <c r="V998">
        <v>2280</v>
      </c>
      <c r="W998">
        <v>2124.0500000000002</v>
      </c>
      <c r="X998">
        <v>2408</v>
      </c>
      <c r="Y998">
        <v>60</v>
      </c>
      <c r="Z998">
        <v>2437.1</v>
      </c>
      <c r="AA998">
        <v>20</v>
      </c>
      <c r="AB998" s="6">
        <v>46147.586516203701</v>
      </c>
      <c r="AC998" s="6">
        <v>46147.581805555557</v>
      </c>
    </row>
    <row r="999" spans="1:29" x14ac:dyDescent="0.25">
      <c r="A999" t="s">
        <v>9</v>
      </c>
      <c r="B999" s="5">
        <v>46149</v>
      </c>
      <c r="C999" t="s">
        <v>54</v>
      </c>
      <c r="D999" t="s">
        <v>1058</v>
      </c>
      <c r="E999">
        <v>227586053</v>
      </c>
      <c r="F999" t="s">
        <v>763</v>
      </c>
      <c r="G999" t="s">
        <v>764</v>
      </c>
      <c r="H999">
        <v>79600</v>
      </c>
      <c r="I999" t="s">
        <v>58</v>
      </c>
      <c r="J999">
        <v>12.45</v>
      </c>
      <c r="K999">
        <v>-85.464098073555164</v>
      </c>
      <c r="L999">
        <v>20</v>
      </c>
      <c r="M999">
        <v>17.149999999999999</v>
      </c>
      <c r="N999">
        <v>1264800</v>
      </c>
      <c r="O999">
        <v>81400</v>
      </c>
      <c r="P999">
        <v>20160</v>
      </c>
      <c r="Q999">
        <v>137480</v>
      </c>
      <c r="R999">
        <v>159800</v>
      </c>
      <c r="S999">
        <v>83980</v>
      </c>
      <c r="T999">
        <v>50</v>
      </c>
      <c r="U999">
        <v>69.650000000000006</v>
      </c>
      <c r="V999">
        <v>11.75</v>
      </c>
      <c r="W999">
        <v>85.65</v>
      </c>
      <c r="X999">
        <v>12.45</v>
      </c>
      <c r="Y999">
        <v>240</v>
      </c>
      <c r="Z999">
        <v>12.55</v>
      </c>
      <c r="AA999">
        <v>160</v>
      </c>
      <c r="AB999" s="6">
        <v>46147.586527777778</v>
      </c>
      <c r="AC999" s="6">
        <v>46147.586481481485</v>
      </c>
    </row>
    <row r="1000" spans="1:29" x14ac:dyDescent="0.25">
      <c r="A1000" t="s">
        <v>9</v>
      </c>
      <c r="B1000" s="5">
        <v>46149</v>
      </c>
      <c r="C1000" t="s">
        <v>54</v>
      </c>
      <c r="D1000" t="s">
        <v>1059</v>
      </c>
      <c r="E1000">
        <v>227375877</v>
      </c>
      <c r="F1000" t="s">
        <v>763</v>
      </c>
      <c r="G1000" t="s">
        <v>764</v>
      </c>
      <c r="H1000">
        <v>79600</v>
      </c>
      <c r="I1000" t="s">
        <v>60</v>
      </c>
      <c r="J1000">
        <v>2192.5500000000002</v>
      </c>
      <c r="K1000">
        <v>0</v>
      </c>
      <c r="L1000">
        <v>0</v>
      </c>
      <c r="M1000">
        <v>0</v>
      </c>
      <c r="N1000">
        <v>0</v>
      </c>
      <c r="O1000">
        <v>9760</v>
      </c>
      <c r="P1000">
        <v>460</v>
      </c>
      <c r="Q1000">
        <v>1180</v>
      </c>
      <c r="R1000">
        <v>1180</v>
      </c>
      <c r="S1000">
        <v>1180</v>
      </c>
      <c r="T1000">
        <v>0</v>
      </c>
      <c r="U1000">
        <v>2393.5</v>
      </c>
      <c r="V1000">
        <v>1854</v>
      </c>
      <c r="W1000">
        <v>2192.5500000000002</v>
      </c>
      <c r="X1000">
        <v>1620.4</v>
      </c>
      <c r="Y1000">
        <v>60</v>
      </c>
      <c r="Z1000">
        <v>3338.35</v>
      </c>
      <c r="AA1000">
        <v>60</v>
      </c>
      <c r="AB1000" s="6">
        <v>46147.586481481485</v>
      </c>
      <c r="AC1000" s="6">
        <v>46146.638194444444</v>
      </c>
    </row>
    <row r="1001" spans="1:29" x14ac:dyDescent="0.25">
      <c r="A1001" t="s">
        <v>9</v>
      </c>
      <c r="B1001" s="5">
        <v>46149</v>
      </c>
      <c r="C1001" t="s">
        <v>54</v>
      </c>
      <c r="D1001" t="s">
        <v>1060</v>
      </c>
      <c r="E1001">
        <v>227400453</v>
      </c>
      <c r="F1001" t="s">
        <v>763</v>
      </c>
      <c r="G1001" t="s">
        <v>764</v>
      </c>
      <c r="H1001">
        <v>79700</v>
      </c>
      <c r="I1001" t="s">
        <v>58</v>
      </c>
      <c r="J1001">
        <v>11.1</v>
      </c>
      <c r="K1001">
        <v>-85.480706344015701</v>
      </c>
      <c r="L1001">
        <v>400</v>
      </c>
      <c r="M1001">
        <v>14.53</v>
      </c>
      <c r="N1001">
        <v>1877320</v>
      </c>
      <c r="O1001">
        <v>83940</v>
      </c>
      <c r="P1001">
        <v>25760</v>
      </c>
      <c r="Q1001">
        <v>181540</v>
      </c>
      <c r="R1001">
        <v>208400</v>
      </c>
      <c r="S1001">
        <v>109660</v>
      </c>
      <c r="T1001">
        <v>59.95</v>
      </c>
      <c r="U1001">
        <v>59.95</v>
      </c>
      <c r="V1001">
        <v>10.7</v>
      </c>
      <c r="W1001">
        <v>76.45</v>
      </c>
      <c r="X1001">
        <v>11.1</v>
      </c>
      <c r="Y1001">
        <v>200</v>
      </c>
      <c r="Z1001">
        <v>11.2</v>
      </c>
      <c r="AA1001">
        <v>340</v>
      </c>
      <c r="AB1001" s="6">
        <v>46147.586527777778</v>
      </c>
      <c r="AC1001" s="6">
        <v>46147.586493055554</v>
      </c>
    </row>
    <row r="1002" spans="1:29" x14ac:dyDescent="0.25">
      <c r="A1002" t="s">
        <v>9</v>
      </c>
      <c r="B1002" s="5">
        <v>46149</v>
      </c>
      <c r="C1002" t="s">
        <v>54</v>
      </c>
      <c r="D1002" t="s">
        <v>1061</v>
      </c>
      <c r="E1002">
        <v>227577349</v>
      </c>
      <c r="F1002" t="s">
        <v>763</v>
      </c>
      <c r="G1002" t="s">
        <v>764</v>
      </c>
      <c r="H1002">
        <v>79700</v>
      </c>
      <c r="I1002" t="s">
        <v>60</v>
      </c>
      <c r="J1002">
        <v>2437.35</v>
      </c>
      <c r="K1002">
        <v>0</v>
      </c>
      <c r="L1002">
        <v>0</v>
      </c>
      <c r="M1002">
        <v>0</v>
      </c>
      <c r="N1002">
        <v>0</v>
      </c>
      <c r="O1002">
        <v>460</v>
      </c>
      <c r="P1002">
        <v>160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2437.35</v>
      </c>
      <c r="X1002">
        <v>1658.05</v>
      </c>
      <c r="Y1002">
        <v>60</v>
      </c>
      <c r="Z1002">
        <v>3511.15</v>
      </c>
      <c r="AA1002">
        <v>60</v>
      </c>
      <c r="AB1002" s="6">
        <v>46147.586493055554</v>
      </c>
      <c r="AC1002" s="6">
        <v>25569.229166666668</v>
      </c>
    </row>
    <row r="1003" spans="1:29" x14ac:dyDescent="0.25">
      <c r="A1003" t="s">
        <v>9</v>
      </c>
      <c r="B1003" s="5">
        <v>46149</v>
      </c>
      <c r="C1003" t="s">
        <v>54</v>
      </c>
      <c r="D1003" t="s">
        <v>1062</v>
      </c>
      <c r="E1003">
        <v>227603205</v>
      </c>
      <c r="F1003" t="s">
        <v>763</v>
      </c>
      <c r="G1003" t="s">
        <v>764</v>
      </c>
      <c r="H1003">
        <v>79800</v>
      </c>
      <c r="I1003" t="s">
        <v>58</v>
      </c>
      <c r="J1003">
        <v>9.8000000000000007</v>
      </c>
      <c r="K1003">
        <v>-85.776487663280122</v>
      </c>
      <c r="L1003">
        <v>20</v>
      </c>
      <c r="M1003">
        <v>13.36</v>
      </c>
      <c r="N1003">
        <v>1525600</v>
      </c>
      <c r="O1003">
        <v>86260</v>
      </c>
      <c r="P1003">
        <v>14060</v>
      </c>
      <c r="Q1003">
        <v>159460</v>
      </c>
      <c r="R1003">
        <v>159460</v>
      </c>
      <c r="S1003">
        <v>91780</v>
      </c>
      <c r="T1003">
        <v>59.95</v>
      </c>
      <c r="U1003">
        <v>59.95</v>
      </c>
      <c r="V1003">
        <v>9.5500000000000007</v>
      </c>
      <c r="W1003">
        <v>68.900000000000006</v>
      </c>
      <c r="X1003">
        <v>9.6999999999999993</v>
      </c>
      <c r="Y1003">
        <v>360</v>
      </c>
      <c r="Z1003">
        <v>9.8000000000000007</v>
      </c>
      <c r="AA1003">
        <v>120</v>
      </c>
      <c r="AB1003" s="6">
        <v>46147.586527777778</v>
      </c>
      <c r="AC1003" s="6">
        <v>46147.586504629631</v>
      </c>
    </row>
    <row r="1004" spans="1:29" x14ac:dyDescent="0.25">
      <c r="A1004" t="s">
        <v>9</v>
      </c>
      <c r="B1004" s="5">
        <v>46149</v>
      </c>
      <c r="C1004" t="s">
        <v>54</v>
      </c>
      <c r="D1004" t="s">
        <v>1063</v>
      </c>
      <c r="E1004">
        <v>227392005</v>
      </c>
      <c r="F1004" t="s">
        <v>763</v>
      </c>
      <c r="G1004" t="s">
        <v>764</v>
      </c>
      <c r="H1004">
        <v>79800</v>
      </c>
      <c r="I1004" t="s">
        <v>60</v>
      </c>
      <c r="J1004">
        <v>2531.5500000000002</v>
      </c>
      <c r="K1004">
        <v>0</v>
      </c>
      <c r="L1004">
        <v>0</v>
      </c>
      <c r="M1004">
        <v>0</v>
      </c>
      <c r="N1004">
        <v>0</v>
      </c>
      <c r="O1004">
        <v>460</v>
      </c>
      <c r="P1004">
        <v>160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2531.5500000000002</v>
      </c>
      <c r="X1004">
        <v>1758.5</v>
      </c>
      <c r="Y1004">
        <v>60</v>
      </c>
      <c r="Z1004">
        <v>3611.4</v>
      </c>
      <c r="AA1004">
        <v>60</v>
      </c>
      <c r="AB1004" s="6">
        <v>46147.586493055554</v>
      </c>
      <c r="AC1004" s="6">
        <v>25569.229166666668</v>
      </c>
    </row>
    <row r="1005" spans="1:29" x14ac:dyDescent="0.25">
      <c r="A1005" t="s">
        <v>9</v>
      </c>
      <c r="B1005" s="5">
        <v>46149</v>
      </c>
      <c r="C1005" t="s">
        <v>54</v>
      </c>
      <c r="D1005" t="s">
        <v>1064</v>
      </c>
      <c r="E1005">
        <v>227537925</v>
      </c>
      <c r="F1005" t="s">
        <v>763</v>
      </c>
      <c r="G1005" t="s">
        <v>764</v>
      </c>
      <c r="H1005">
        <v>79900</v>
      </c>
      <c r="I1005" t="s">
        <v>58</v>
      </c>
      <c r="J1005">
        <v>8.9499999999999993</v>
      </c>
      <c r="K1005">
        <v>-85.48256285482563</v>
      </c>
      <c r="L1005">
        <v>60</v>
      </c>
      <c r="M1005">
        <v>12.29</v>
      </c>
      <c r="N1005">
        <v>1416480</v>
      </c>
      <c r="O1005">
        <v>79660</v>
      </c>
      <c r="P1005">
        <v>25000</v>
      </c>
      <c r="Q1005">
        <v>184340</v>
      </c>
      <c r="R1005">
        <v>208480</v>
      </c>
      <c r="S1005">
        <v>101300</v>
      </c>
      <c r="T1005">
        <v>40</v>
      </c>
      <c r="U1005">
        <v>40</v>
      </c>
      <c r="V1005">
        <v>8.6</v>
      </c>
      <c r="W1005">
        <v>61.65</v>
      </c>
      <c r="X1005">
        <v>8.8000000000000007</v>
      </c>
      <c r="Y1005">
        <v>100</v>
      </c>
      <c r="Z1005">
        <v>8.9499999999999993</v>
      </c>
      <c r="AA1005">
        <v>60</v>
      </c>
      <c r="AB1005" s="6">
        <v>46147.586516203701</v>
      </c>
      <c r="AC1005" s="6">
        <v>46147.586516203701</v>
      </c>
    </row>
    <row r="1006" spans="1:29" x14ac:dyDescent="0.25">
      <c r="A1006" t="s">
        <v>9</v>
      </c>
      <c r="B1006" s="5">
        <v>46149</v>
      </c>
      <c r="C1006" t="s">
        <v>54</v>
      </c>
      <c r="D1006" t="s">
        <v>1065</v>
      </c>
      <c r="E1006">
        <v>227594245</v>
      </c>
      <c r="F1006" t="s">
        <v>763</v>
      </c>
      <c r="G1006" t="s">
        <v>764</v>
      </c>
      <c r="H1006">
        <v>79900</v>
      </c>
      <c r="I1006" t="s">
        <v>60</v>
      </c>
      <c r="J1006">
        <v>2626.35</v>
      </c>
      <c r="K1006">
        <v>0</v>
      </c>
      <c r="L1006">
        <v>0</v>
      </c>
      <c r="M1006">
        <v>0</v>
      </c>
      <c r="N1006">
        <v>0</v>
      </c>
      <c r="O1006">
        <v>460</v>
      </c>
      <c r="P1006">
        <v>100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2626.35</v>
      </c>
      <c r="X1006">
        <v>1857.8</v>
      </c>
      <c r="Y1006">
        <v>60</v>
      </c>
      <c r="Z1006">
        <v>4600</v>
      </c>
      <c r="AA1006">
        <v>100</v>
      </c>
      <c r="AB1006" s="6">
        <v>46147.586481481485</v>
      </c>
      <c r="AC1006" s="6">
        <v>25569.229166666668</v>
      </c>
    </row>
    <row r="1007" spans="1:29" x14ac:dyDescent="0.25">
      <c r="A1007" t="s">
        <v>9</v>
      </c>
      <c r="B1007" s="5">
        <v>46149</v>
      </c>
      <c r="C1007" t="s">
        <v>54</v>
      </c>
      <c r="D1007" t="s">
        <v>1066</v>
      </c>
      <c r="E1007">
        <v>227624965</v>
      </c>
      <c r="F1007" t="s">
        <v>763</v>
      </c>
      <c r="G1007" t="s">
        <v>764</v>
      </c>
      <c r="H1007">
        <v>80000</v>
      </c>
      <c r="I1007" t="s">
        <v>58</v>
      </c>
      <c r="J1007">
        <v>7.85</v>
      </c>
      <c r="K1007">
        <v>-85.740236148955503</v>
      </c>
      <c r="L1007">
        <v>20</v>
      </c>
      <c r="M1007">
        <v>11.48</v>
      </c>
      <c r="N1007">
        <v>8969840</v>
      </c>
      <c r="O1007">
        <v>128360</v>
      </c>
      <c r="P1007">
        <v>154840</v>
      </c>
      <c r="Q1007">
        <v>1374820</v>
      </c>
      <c r="R1007">
        <v>1406200</v>
      </c>
      <c r="S1007">
        <v>820940</v>
      </c>
      <c r="T1007">
        <v>39.85</v>
      </c>
      <c r="U1007">
        <v>39.85</v>
      </c>
      <c r="V1007">
        <v>7.6</v>
      </c>
      <c r="W1007">
        <v>55.05</v>
      </c>
      <c r="X1007">
        <v>7.75</v>
      </c>
      <c r="Y1007">
        <v>660</v>
      </c>
      <c r="Z1007">
        <v>7.85</v>
      </c>
      <c r="AA1007">
        <v>780</v>
      </c>
      <c r="AB1007" s="6">
        <v>46147.586527777778</v>
      </c>
      <c r="AC1007" s="6">
        <v>46147.586504629631</v>
      </c>
    </row>
    <row r="1008" spans="1:29" x14ac:dyDescent="0.25">
      <c r="A1008" t="s">
        <v>9</v>
      </c>
      <c r="B1008" s="5">
        <v>46149</v>
      </c>
      <c r="C1008" t="s">
        <v>54</v>
      </c>
      <c r="D1008" t="s">
        <v>1067</v>
      </c>
      <c r="E1008">
        <v>227538437</v>
      </c>
      <c r="F1008" t="s">
        <v>763</v>
      </c>
      <c r="G1008" t="s">
        <v>764</v>
      </c>
      <c r="H1008">
        <v>80000</v>
      </c>
      <c r="I1008" t="s">
        <v>60</v>
      </c>
      <c r="J1008">
        <v>2964</v>
      </c>
      <c r="K1008">
        <v>15.093387178192826</v>
      </c>
      <c r="L1008">
        <v>100</v>
      </c>
      <c r="M1008">
        <v>3211.18</v>
      </c>
      <c r="N1008">
        <v>7960</v>
      </c>
      <c r="O1008">
        <v>43540</v>
      </c>
      <c r="P1008">
        <v>1120</v>
      </c>
      <c r="Q1008">
        <v>21900</v>
      </c>
      <c r="R1008">
        <v>26040</v>
      </c>
      <c r="S1008">
        <v>21900</v>
      </c>
      <c r="T1008">
        <v>3005</v>
      </c>
      <c r="U1008">
        <v>3420.75</v>
      </c>
      <c r="V1008">
        <v>2800</v>
      </c>
      <c r="W1008">
        <v>2575.3000000000002</v>
      </c>
      <c r="X1008">
        <v>2907.5</v>
      </c>
      <c r="Y1008">
        <v>80</v>
      </c>
      <c r="Z1008">
        <v>2924.85</v>
      </c>
      <c r="AA1008">
        <v>20</v>
      </c>
      <c r="AB1008" s="6">
        <v>46147.586527777778</v>
      </c>
      <c r="AC1008" s="6">
        <v>46147.579270833332</v>
      </c>
    </row>
    <row r="1009" spans="1:29" x14ac:dyDescent="0.25">
      <c r="A1009" t="s">
        <v>9</v>
      </c>
      <c r="B1009" s="5">
        <v>46149</v>
      </c>
      <c r="C1009" t="s">
        <v>54</v>
      </c>
      <c r="D1009" t="s">
        <v>1068</v>
      </c>
      <c r="E1009">
        <v>227562245</v>
      </c>
      <c r="F1009" t="s">
        <v>763</v>
      </c>
      <c r="G1009" t="s">
        <v>764</v>
      </c>
      <c r="H1009">
        <v>80100</v>
      </c>
      <c r="I1009" t="s">
        <v>58</v>
      </c>
      <c r="J1009">
        <v>7.2</v>
      </c>
      <c r="K1009">
        <v>-85.469223007063562</v>
      </c>
      <c r="L1009">
        <v>20</v>
      </c>
      <c r="M1009">
        <v>10.7</v>
      </c>
      <c r="N1009">
        <v>864400</v>
      </c>
      <c r="O1009">
        <v>85600</v>
      </c>
      <c r="P1009">
        <v>15000</v>
      </c>
      <c r="Q1009">
        <v>104740</v>
      </c>
      <c r="R1009">
        <v>140640</v>
      </c>
      <c r="S1009">
        <v>77480</v>
      </c>
      <c r="T1009">
        <v>30</v>
      </c>
      <c r="U1009">
        <v>30</v>
      </c>
      <c r="V1009">
        <v>6.9</v>
      </c>
      <c r="W1009">
        <v>49.55</v>
      </c>
      <c r="X1009">
        <v>7.05</v>
      </c>
      <c r="Y1009">
        <v>40</v>
      </c>
      <c r="Z1009">
        <v>7.15</v>
      </c>
      <c r="AA1009">
        <v>220</v>
      </c>
      <c r="AB1009" s="6">
        <v>46147.586516203701</v>
      </c>
      <c r="AC1009" s="6">
        <v>46147.586423611108</v>
      </c>
    </row>
    <row r="1010" spans="1:29" x14ac:dyDescent="0.25">
      <c r="A1010" t="s">
        <v>9</v>
      </c>
      <c r="B1010" s="5">
        <v>46149</v>
      </c>
      <c r="C1010" t="s">
        <v>54</v>
      </c>
      <c r="D1010" t="s">
        <v>1069</v>
      </c>
      <c r="E1010">
        <v>227617797</v>
      </c>
      <c r="F1010" t="s">
        <v>763</v>
      </c>
      <c r="G1010" t="s">
        <v>764</v>
      </c>
      <c r="H1010">
        <v>80100</v>
      </c>
      <c r="I1010" t="s">
        <v>60</v>
      </c>
      <c r="J1010">
        <v>2817.9</v>
      </c>
      <c r="K1010">
        <v>0</v>
      </c>
      <c r="L1010">
        <v>0</v>
      </c>
      <c r="M1010">
        <v>0</v>
      </c>
      <c r="N1010">
        <v>0</v>
      </c>
      <c r="O1010">
        <v>160</v>
      </c>
      <c r="P1010">
        <v>160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2817.9</v>
      </c>
      <c r="X1010">
        <v>2058.5500000000002</v>
      </c>
      <c r="Y1010">
        <v>60</v>
      </c>
      <c r="Z1010">
        <v>3911.15</v>
      </c>
      <c r="AA1010">
        <v>60</v>
      </c>
      <c r="AB1010" s="6">
        <v>46147.586493055554</v>
      </c>
      <c r="AC1010" s="6">
        <v>25569.229166666668</v>
      </c>
    </row>
    <row r="1011" spans="1:29" x14ac:dyDescent="0.25">
      <c r="A1011" t="s">
        <v>9</v>
      </c>
      <c r="B1011" s="5">
        <v>46149</v>
      </c>
      <c r="C1011" t="s">
        <v>54</v>
      </c>
      <c r="D1011" t="s">
        <v>1070</v>
      </c>
      <c r="E1011">
        <v>227496965</v>
      </c>
      <c r="F1011" t="s">
        <v>763</v>
      </c>
      <c r="G1011" t="s">
        <v>764</v>
      </c>
      <c r="H1011">
        <v>80200</v>
      </c>
      <c r="I1011" t="s">
        <v>58</v>
      </c>
      <c r="J1011">
        <v>6.35</v>
      </c>
      <c r="K1011">
        <v>-85.665914221218955</v>
      </c>
      <c r="L1011">
        <v>40</v>
      </c>
      <c r="M1011">
        <v>9.9600000000000009</v>
      </c>
      <c r="N1011">
        <v>715680</v>
      </c>
      <c r="O1011">
        <v>83560</v>
      </c>
      <c r="P1011">
        <v>15840</v>
      </c>
      <c r="Q1011">
        <v>82660</v>
      </c>
      <c r="R1011">
        <v>89720</v>
      </c>
      <c r="S1011">
        <v>66800</v>
      </c>
      <c r="T1011">
        <v>34</v>
      </c>
      <c r="U1011">
        <v>34</v>
      </c>
      <c r="V1011">
        <v>6.15</v>
      </c>
      <c r="W1011">
        <v>44.3</v>
      </c>
      <c r="X1011">
        <v>6.35</v>
      </c>
      <c r="Y1011">
        <v>200</v>
      </c>
      <c r="Z1011">
        <v>6.45</v>
      </c>
      <c r="AA1011">
        <v>400</v>
      </c>
      <c r="AB1011" s="6">
        <v>46147.586527777778</v>
      </c>
      <c r="AC1011" s="6">
        <v>46147.586423611108</v>
      </c>
    </row>
    <row r="1012" spans="1:29" x14ac:dyDescent="0.25">
      <c r="A1012" t="s">
        <v>9</v>
      </c>
      <c r="B1012" s="5">
        <v>46149</v>
      </c>
      <c r="C1012" t="s">
        <v>54</v>
      </c>
      <c r="D1012" t="s">
        <v>1071</v>
      </c>
      <c r="E1012">
        <v>227555077</v>
      </c>
      <c r="F1012" t="s">
        <v>763</v>
      </c>
      <c r="G1012" t="s">
        <v>764</v>
      </c>
      <c r="H1012">
        <v>80200</v>
      </c>
      <c r="I1012" t="s">
        <v>60</v>
      </c>
      <c r="J1012">
        <v>2914.4</v>
      </c>
      <c r="K1012">
        <v>0</v>
      </c>
      <c r="L1012">
        <v>0</v>
      </c>
      <c r="M1012">
        <v>0</v>
      </c>
      <c r="N1012">
        <v>0</v>
      </c>
      <c r="O1012">
        <v>160</v>
      </c>
      <c r="P1012">
        <v>160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2914.4</v>
      </c>
      <c r="X1012">
        <v>2158.3000000000002</v>
      </c>
      <c r="Y1012">
        <v>60</v>
      </c>
      <c r="Z1012">
        <v>4009.95</v>
      </c>
      <c r="AA1012">
        <v>60</v>
      </c>
      <c r="AB1012" s="6">
        <v>46147.586481481485</v>
      </c>
      <c r="AC1012" s="6">
        <v>25569.229166666668</v>
      </c>
    </row>
    <row r="1013" spans="1:29" x14ac:dyDescent="0.25">
      <c r="A1013" t="s">
        <v>9</v>
      </c>
      <c r="B1013" s="5">
        <v>46149</v>
      </c>
      <c r="C1013" t="s">
        <v>54</v>
      </c>
      <c r="D1013" t="s">
        <v>1072</v>
      </c>
      <c r="E1013">
        <v>227579909</v>
      </c>
      <c r="F1013" t="s">
        <v>763</v>
      </c>
      <c r="G1013" t="s">
        <v>764</v>
      </c>
      <c r="H1013">
        <v>80300</v>
      </c>
      <c r="I1013" t="s">
        <v>58</v>
      </c>
      <c r="J1013">
        <v>5.7</v>
      </c>
      <c r="K1013">
        <v>-85.569620253164544</v>
      </c>
      <c r="L1013">
        <v>40</v>
      </c>
      <c r="M1013">
        <v>9.01</v>
      </c>
      <c r="N1013">
        <v>949880</v>
      </c>
      <c r="O1013">
        <v>76520</v>
      </c>
      <c r="P1013">
        <v>12060</v>
      </c>
      <c r="Q1013">
        <v>121560</v>
      </c>
      <c r="R1013">
        <v>155240</v>
      </c>
      <c r="S1013">
        <v>65580</v>
      </c>
      <c r="T1013">
        <v>19.350000000000001</v>
      </c>
      <c r="U1013">
        <v>19.45</v>
      </c>
      <c r="V1013">
        <v>5.35</v>
      </c>
      <c r="W1013">
        <v>39.5</v>
      </c>
      <c r="X1013">
        <v>5.7</v>
      </c>
      <c r="Y1013">
        <v>220</v>
      </c>
      <c r="Z1013">
        <v>5.75</v>
      </c>
      <c r="AA1013">
        <v>120</v>
      </c>
      <c r="AB1013" s="6">
        <v>46147.586527777778</v>
      </c>
      <c r="AC1013" s="6">
        <v>46147.586458333331</v>
      </c>
    </row>
    <row r="1014" spans="1:29" x14ac:dyDescent="0.25">
      <c r="A1014" t="s">
        <v>9</v>
      </c>
      <c r="B1014" s="5">
        <v>46149</v>
      </c>
      <c r="C1014" t="s">
        <v>54</v>
      </c>
      <c r="D1014" t="s">
        <v>1073</v>
      </c>
      <c r="E1014">
        <v>227632389</v>
      </c>
      <c r="F1014" t="s">
        <v>763</v>
      </c>
      <c r="G1014" t="s">
        <v>764</v>
      </c>
      <c r="H1014">
        <v>80300</v>
      </c>
      <c r="I1014" t="s">
        <v>60</v>
      </c>
      <c r="J1014">
        <v>3011.4</v>
      </c>
      <c r="K1014">
        <v>0</v>
      </c>
      <c r="L1014">
        <v>0</v>
      </c>
      <c r="M1014">
        <v>0</v>
      </c>
      <c r="N1014">
        <v>0</v>
      </c>
      <c r="O1014">
        <v>600</v>
      </c>
      <c r="P1014">
        <v>600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3011.4</v>
      </c>
      <c r="X1014">
        <v>2257.9</v>
      </c>
      <c r="Y1014">
        <v>500</v>
      </c>
      <c r="Z1014">
        <v>4115.8500000000004</v>
      </c>
      <c r="AA1014">
        <v>500</v>
      </c>
      <c r="AB1014" s="6">
        <v>46147.586493055554</v>
      </c>
      <c r="AC1014" s="6">
        <v>25569.229166666668</v>
      </c>
    </row>
    <row r="1015" spans="1:29" x14ac:dyDescent="0.25">
      <c r="A1015" t="s">
        <v>9</v>
      </c>
      <c r="B1015" s="5">
        <v>46149</v>
      </c>
      <c r="C1015" t="s">
        <v>54</v>
      </c>
      <c r="D1015" t="s">
        <v>1074</v>
      </c>
      <c r="E1015">
        <v>227513093</v>
      </c>
      <c r="F1015" t="s">
        <v>763</v>
      </c>
      <c r="G1015" t="s">
        <v>764</v>
      </c>
      <c r="H1015">
        <v>80400</v>
      </c>
      <c r="I1015" t="s">
        <v>58</v>
      </c>
      <c r="J1015">
        <v>4.9000000000000004</v>
      </c>
      <c r="K1015">
        <v>-86.293706293706293</v>
      </c>
      <c r="L1015">
        <v>320</v>
      </c>
      <c r="M1015">
        <v>7.81</v>
      </c>
      <c r="N1015">
        <v>937820</v>
      </c>
      <c r="O1015">
        <v>76520</v>
      </c>
      <c r="P1015">
        <v>11300</v>
      </c>
      <c r="Q1015">
        <v>127500</v>
      </c>
      <c r="R1015">
        <v>127500</v>
      </c>
      <c r="S1015">
        <v>57840</v>
      </c>
      <c r="T1015">
        <v>30.45</v>
      </c>
      <c r="U1015">
        <v>30.45</v>
      </c>
      <c r="V1015">
        <v>4.8499999999999996</v>
      </c>
      <c r="W1015">
        <v>35.75</v>
      </c>
      <c r="X1015">
        <v>4.9000000000000004</v>
      </c>
      <c r="Y1015">
        <v>360</v>
      </c>
      <c r="Z1015">
        <v>5</v>
      </c>
      <c r="AA1015">
        <v>540</v>
      </c>
      <c r="AB1015" s="6">
        <v>46147.586527777778</v>
      </c>
      <c r="AC1015" s="6">
        <v>46147.586493055554</v>
      </c>
    </row>
    <row r="1016" spans="1:29" x14ac:dyDescent="0.25">
      <c r="A1016" t="s">
        <v>9</v>
      </c>
      <c r="B1016" s="5">
        <v>46149</v>
      </c>
      <c r="C1016" t="s">
        <v>54</v>
      </c>
      <c r="D1016" t="s">
        <v>1075</v>
      </c>
      <c r="E1016">
        <v>227571461</v>
      </c>
      <c r="F1016" t="s">
        <v>763</v>
      </c>
      <c r="G1016" t="s">
        <v>764</v>
      </c>
      <c r="H1016">
        <v>80400</v>
      </c>
      <c r="I1016" t="s">
        <v>60</v>
      </c>
      <c r="J1016">
        <v>3108.75</v>
      </c>
      <c r="K1016">
        <v>0</v>
      </c>
      <c r="L1016">
        <v>0</v>
      </c>
      <c r="M1016">
        <v>0</v>
      </c>
      <c r="N1016">
        <v>0</v>
      </c>
      <c r="O1016">
        <v>600</v>
      </c>
      <c r="P1016">
        <v>600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3108.75</v>
      </c>
      <c r="X1016">
        <v>2363.85</v>
      </c>
      <c r="Y1016">
        <v>500</v>
      </c>
      <c r="Z1016">
        <v>4215.95</v>
      </c>
      <c r="AA1016">
        <v>500</v>
      </c>
      <c r="AB1016" s="6">
        <v>46147.586365740739</v>
      </c>
      <c r="AC1016" s="6">
        <v>25569.229166666668</v>
      </c>
    </row>
    <row r="1017" spans="1:29" x14ac:dyDescent="0.25">
      <c r="A1017" t="s">
        <v>9</v>
      </c>
      <c r="B1017" s="5">
        <v>46149</v>
      </c>
      <c r="C1017" t="s">
        <v>54</v>
      </c>
      <c r="D1017" t="s">
        <v>1076</v>
      </c>
      <c r="E1017">
        <v>227597061</v>
      </c>
      <c r="F1017" t="s">
        <v>763</v>
      </c>
      <c r="G1017" t="s">
        <v>764</v>
      </c>
      <c r="H1017">
        <v>80500</v>
      </c>
      <c r="I1017" t="s">
        <v>58</v>
      </c>
      <c r="J1017">
        <v>4.25</v>
      </c>
      <c r="K1017">
        <v>-86.71875</v>
      </c>
      <c r="L1017">
        <v>200</v>
      </c>
      <c r="M1017">
        <v>7.24</v>
      </c>
      <c r="N1017">
        <v>4982100</v>
      </c>
      <c r="O1017">
        <v>122460</v>
      </c>
      <c r="P1017">
        <v>35740</v>
      </c>
      <c r="Q1017">
        <v>518100</v>
      </c>
      <c r="R1017">
        <v>697500</v>
      </c>
      <c r="S1017">
        <v>492820</v>
      </c>
      <c r="T1017">
        <v>28.7</v>
      </c>
      <c r="U1017">
        <v>28.7</v>
      </c>
      <c r="V1017">
        <v>4.2</v>
      </c>
      <c r="W1017">
        <v>32</v>
      </c>
      <c r="X1017">
        <v>4.25</v>
      </c>
      <c r="Y1017">
        <v>160</v>
      </c>
      <c r="Z1017">
        <v>4.3</v>
      </c>
      <c r="AA1017">
        <v>2540</v>
      </c>
      <c r="AB1017" s="6">
        <v>46147.586516203701</v>
      </c>
      <c r="AC1017" s="6">
        <v>46147.586516203701</v>
      </c>
    </row>
    <row r="1018" spans="1:29" x14ac:dyDescent="0.25">
      <c r="A1018" t="s">
        <v>9</v>
      </c>
      <c r="B1018" s="5">
        <v>46149</v>
      </c>
      <c r="C1018" t="s">
        <v>54</v>
      </c>
      <c r="D1018" t="s">
        <v>1077</v>
      </c>
      <c r="E1018">
        <v>227503621</v>
      </c>
      <c r="F1018" t="s">
        <v>763</v>
      </c>
      <c r="G1018" t="s">
        <v>764</v>
      </c>
      <c r="H1018">
        <v>80500</v>
      </c>
      <c r="I1018" t="s">
        <v>60</v>
      </c>
      <c r="J1018">
        <v>3206.5</v>
      </c>
      <c r="K1018">
        <v>0</v>
      </c>
      <c r="L1018">
        <v>0</v>
      </c>
      <c r="M1018">
        <v>0</v>
      </c>
      <c r="N1018">
        <v>0</v>
      </c>
      <c r="O1018">
        <v>960</v>
      </c>
      <c r="P1018">
        <v>960</v>
      </c>
      <c r="Q1018">
        <v>680</v>
      </c>
      <c r="R1018">
        <v>680</v>
      </c>
      <c r="S1018">
        <v>680</v>
      </c>
      <c r="T1018">
        <v>0</v>
      </c>
      <c r="U1018">
        <v>3600</v>
      </c>
      <c r="V1018">
        <v>3320</v>
      </c>
      <c r="W1018">
        <v>3206.5</v>
      </c>
      <c r="X1018">
        <v>2569.1</v>
      </c>
      <c r="Y1018">
        <v>500</v>
      </c>
      <c r="Z1018">
        <v>4184.3999999999996</v>
      </c>
      <c r="AA1018">
        <v>500</v>
      </c>
      <c r="AB1018" s="6">
        <v>46147.586493055554</v>
      </c>
      <c r="AC1018" s="6">
        <v>46142.633483796293</v>
      </c>
    </row>
    <row r="1019" spans="1:29" x14ac:dyDescent="0.25">
      <c r="A1019" t="s">
        <v>9</v>
      </c>
      <c r="B1019" s="5">
        <v>46149</v>
      </c>
      <c r="C1019" t="s">
        <v>54</v>
      </c>
      <c r="D1019" t="s">
        <v>1078</v>
      </c>
      <c r="E1019">
        <v>227532549</v>
      </c>
      <c r="F1019" t="s">
        <v>763</v>
      </c>
      <c r="G1019" t="s">
        <v>764</v>
      </c>
      <c r="H1019">
        <v>80600</v>
      </c>
      <c r="I1019" t="s">
        <v>58</v>
      </c>
      <c r="J1019">
        <v>4.0999999999999996</v>
      </c>
      <c r="K1019">
        <v>-85.563380281690129</v>
      </c>
      <c r="L1019">
        <v>20</v>
      </c>
      <c r="M1019">
        <v>6.51</v>
      </c>
      <c r="N1019">
        <v>707860</v>
      </c>
      <c r="O1019">
        <v>82240</v>
      </c>
      <c r="P1019">
        <v>13340</v>
      </c>
      <c r="Q1019">
        <v>88040</v>
      </c>
      <c r="R1019">
        <v>137420</v>
      </c>
      <c r="S1019">
        <v>53200</v>
      </c>
      <c r="T1019">
        <v>20</v>
      </c>
      <c r="U1019">
        <v>20</v>
      </c>
      <c r="V1019">
        <v>4</v>
      </c>
      <c r="W1019">
        <v>28.4</v>
      </c>
      <c r="X1019">
        <v>4.05</v>
      </c>
      <c r="Y1019">
        <v>120</v>
      </c>
      <c r="Z1019">
        <v>4.2</v>
      </c>
      <c r="AA1019">
        <v>960</v>
      </c>
      <c r="AB1019" s="6">
        <v>46147.586527777778</v>
      </c>
      <c r="AC1019" s="6">
        <v>46147.586458333331</v>
      </c>
    </row>
    <row r="1020" spans="1:29" x14ac:dyDescent="0.25">
      <c r="A1020" t="s">
        <v>9</v>
      </c>
      <c r="B1020" s="5">
        <v>46149</v>
      </c>
      <c r="C1020" t="s">
        <v>54</v>
      </c>
      <c r="D1020" t="s">
        <v>1079</v>
      </c>
      <c r="E1020">
        <v>227588613</v>
      </c>
      <c r="F1020" t="s">
        <v>763</v>
      </c>
      <c r="G1020" t="s">
        <v>764</v>
      </c>
      <c r="H1020">
        <v>80600</v>
      </c>
      <c r="I1020" t="s">
        <v>60</v>
      </c>
      <c r="J1020">
        <v>3304.55</v>
      </c>
      <c r="K1020">
        <v>0</v>
      </c>
      <c r="L1020">
        <v>0</v>
      </c>
      <c r="M1020">
        <v>0</v>
      </c>
      <c r="N1020">
        <v>0</v>
      </c>
      <c r="O1020">
        <v>600</v>
      </c>
      <c r="P1020">
        <v>600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3304.55</v>
      </c>
      <c r="X1020">
        <v>2563.75</v>
      </c>
      <c r="Y1020">
        <v>500</v>
      </c>
      <c r="Z1020">
        <v>4415.8</v>
      </c>
      <c r="AA1020">
        <v>500</v>
      </c>
      <c r="AB1020" s="6">
        <v>46147.586365740739</v>
      </c>
      <c r="AC1020" s="6">
        <v>25569.229166666668</v>
      </c>
    </row>
    <row r="1021" spans="1:29" x14ac:dyDescent="0.25">
      <c r="A1021" t="s">
        <v>9</v>
      </c>
      <c r="B1021" s="5">
        <v>46149</v>
      </c>
      <c r="C1021" t="s">
        <v>54</v>
      </c>
      <c r="D1021" t="s">
        <v>1080</v>
      </c>
      <c r="E1021">
        <v>227467269</v>
      </c>
      <c r="F1021" t="s">
        <v>763</v>
      </c>
      <c r="G1021" t="s">
        <v>764</v>
      </c>
      <c r="H1021">
        <v>80700</v>
      </c>
      <c r="I1021" t="s">
        <v>58</v>
      </c>
      <c r="J1021">
        <v>3.7</v>
      </c>
      <c r="K1021">
        <v>-85.317460317460316</v>
      </c>
      <c r="L1021">
        <v>20</v>
      </c>
      <c r="M1021">
        <v>6.23</v>
      </c>
      <c r="N1021">
        <v>450680</v>
      </c>
      <c r="O1021">
        <v>79360</v>
      </c>
      <c r="P1021">
        <v>16460</v>
      </c>
      <c r="Q1021">
        <v>52840</v>
      </c>
      <c r="R1021">
        <v>63040</v>
      </c>
      <c r="S1021">
        <v>42640</v>
      </c>
      <c r="T1021">
        <v>16.3</v>
      </c>
      <c r="U1021">
        <v>16.3</v>
      </c>
      <c r="V1021">
        <v>3.65</v>
      </c>
      <c r="W1021">
        <v>25.2</v>
      </c>
      <c r="X1021">
        <v>3.7</v>
      </c>
      <c r="Y1021">
        <v>1060</v>
      </c>
      <c r="Z1021">
        <v>3.85</v>
      </c>
      <c r="AA1021">
        <v>1760</v>
      </c>
      <c r="AB1021" s="6">
        <v>46147.586516203701</v>
      </c>
      <c r="AC1021" s="6">
        <v>46147.586423611108</v>
      </c>
    </row>
    <row r="1022" spans="1:29" x14ac:dyDescent="0.25">
      <c r="A1022" t="s">
        <v>9</v>
      </c>
      <c r="B1022" s="5">
        <v>46149</v>
      </c>
      <c r="C1022" t="s">
        <v>54</v>
      </c>
      <c r="D1022" t="s">
        <v>1081</v>
      </c>
      <c r="E1022">
        <v>227521029</v>
      </c>
      <c r="F1022" t="s">
        <v>763</v>
      </c>
      <c r="G1022" t="s">
        <v>764</v>
      </c>
      <c r="H1022">
        <v>80700</v>
      </c>
      <c r="I1022" t="s">
        <v>60</v>
      </c>
      <c r="J1022">
        <v>3402.85</v>
      </c>
      <c r="K1022">
        <v>0</v>
      </c>
      <c r="L1022">
        <v>0</v>
      </c>
      <c r="M1022">
        <v>0</v>
      </c>
      <c r="N1022">
        <v>0</v>
      </c>
      <c r="O1022">
        <v>600</v>
      </c>
      <c r="P1022">
        <v>600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3402.85</v>
      </c>
      <c r="X1022">
        <v>2663.1</v>
      </c>
      <c r="Y1022">
        <v>500</v>
      </c>
      <c r="Z1022">
        <v>4515.75</v>
      </c>
      <c r="AA1022">
        <v>500</v>
      </c>
      <c r="AB1022" s="6">
        <v>46147.586354166669</v>
      </c>
      <c r="AC1022" s="6">
        <v>25569.229166666668</v>
      </c>
    </row>
    <row r="1023" spans="1:29" x14ac:dyDescent="0.25">
      <c r="A1023" t="s">
        <v>9</v>
      </c>
      <c r="B1023" s="5">
        <v>46149</v>
      </c>
      <c r="C1023" t="s">
        <v>54</v>
      </c>
      <c r="D1023" t="s">
        <v>1082</v>
      </c>
      <c r="E1023">
        <v>227548165</v>
      </c>
      <c r="F1023" t="s">
        <v>763</v>
      </c>
      <c r="G1023" t="s">
        <v>764</v>
      </c>
      <c r="H1023">
        <v>80800</v>
      </c>
      <c r="I1023" t="s">
        <v>58</v>
      </c>
      <c r="J1023">
        <v>3.15</v>
      </c>
      <c r="K1023">
        <v>-86.061946902654867</v>
      </c>
      <c r="L1023">
        <v>60</v>
      </c>
      <c r="M1023">
        <v>5.89</v>
      </c>
      <c r="N1023">
        <v>707760</v>
      </c>
      <c r="O1023">
        <v>76060</v>
      </c>
      <c r="P1023">
        <v>11560</v>
      </c>
      <c r="Q1023">
        <v>116240</v>
      </c>
      <c r="R1023">
        <v>121160</v>
      </c>
      <c r="S1023">
        <v>77880</v>
      </c>
      <c r="T1023">
        <v>18</v>
      </c>
      <c r="U1023">
        <v>18</v>
      </c>
      <c r="V1023">
        <v>3.1</v>
      </c>
      <c r="W1023">
        <v>22.6</v>
      </c>
      <c r="X1023">
        <v>3.15</v>
      </c>
      <c r="Y1023">
        <v>60</v>
      </c>
      <c r="Z1023">
        <v>3.25</v>
      </c>
      <c r="AA1023">
        <v>60</v>
      </c>
      <c r="AB1023" s="6">
        <v>46147.586527777778</v>
      </c>
      <c r="AC1023" s="6">
        <v>46147.586516203701</v>
      </c>
    </row>
    <row r="1024" spans="1:29" x14ac:dyDescent="0.25">
      <c r="A1024" t="s">
        <v>9</v>
      </c>
      <c r="B1024" s="5">
        <v>46149</v>
      </c>
      <c r="C1024" t="s">
        <v>54</v>
      </c>
      <c r="D1024" t="s">
        <v>1083</v>
      </c>
      <c r="E1024">
        <v>227605253</v>
      </c>
      <c r="F1024" t="s">
        <v>763</v>
      </c>
      <c r="G1024" t="s">
        <v>764</v>
      </c>
      <c r="H1024">
        <v>80800</v>
      </c>
      <c r="I1024" t="s">
        <v>60</v>
      </c>
      <c r="J1024">
        <v>3501.4</v>
      </c>
      <c r="K1024">
        <v>0</v>
      </c>
      <c r="L1024">
        <v>0</v>
      </c>
      <c r="M1024">
        <v>0</v>
      </c>
      <c r="N1024">
        <v>0</v>
      </c>
      <c r="O1024">
        <v>600</v>
      </c>
      <c r="P1024">
        <v>600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3501.4</v>
      </c>
      <c r="X1024">
        <v>2763.75</v>
      </c>
      <c r="Y1024">
        <v>500</v>
      </c>
      <c r="Z1024">
        <v>4615.8</v>
      </c>
      <c r="AA1024">
        <v>500</v>
      </c>
      <c r="AB1024" s="6">
        <v>46147.586365740739</v>
      </c>
      <c r="AC1024" s="6">
        <v>25569.229166666668</v>
      </c>
    </row>
    <row r="1025" spans="1:29" x14ac:dyDescent="0.25">
      <c r="A1025" t="s">
        <v>9</v>
      </c>
      <c r="B1025" s="5">
        <v>46149</v>
      </c>
      <c r="C1025" t="s">
        <v>54</v>
      </c>
      <c r="D1025" t="s">
        <v>1084</v>
      </c>
      <c r="E1025">
        <v>227483909</v>
      </c>
      <c r="F1025" t="s">
        <v>763</v>
      </c>
      <c r="G1025" t="s">
        <v>764</v>
      </c>
      <c r="H1025">
        <v>80900</v>
      </c>
      <c r="I1025" t="s">
        <v>58</v>
      </c>
      <c r="J1025">
        <v>3</v>
      </c>
      <c r="K1025">
        <v>-85.257985257985268</v>
      </c>
      <c r="L1025">
        <v>20</v>
      </c>
      <c r="M1025">
        <v>5.59</v>
      </c>
      <c r="N1025">
        <v>438920</v>
      </c>
      <c r="O1025">
        <v>82880</v>
      </c>
      <c r="P1025">
        <v>8520</v>
      </c>
      <c r="Q1025">
        <v>47740</v>
      </c>
      <c r="R1025">
        <v>74320</v>
      </c>
      <c r="S1025">
        <v>40520</v>
      </c>
      <c r="T1025">
        <v>18.2</v>
      </c>
      <c r="U1025">
        <v>18.2</v>
      </c>
      <c r="V1025">
        <v>2.85</v>
      </c>
      <c r="W1025">
        <v>20.350000000000001</v>
      </c>
      <c r="X1025">
        <v>2.9</v>
      </c>
      <c r="Y1025">
        <v>300</v>
      </c>
      <c r="Z1025">
        <v>3</v>
      </c>
      <c r="AA1025">
        <v>440</v>
      </c>
      <c r="AB1025" s="6">
        <v>46147.586527777778</v>
      </c>
      <c r="AC1025" s="6">
        <v>46147.586527777778</v>
      </c>
    </row>
    <row r="1026" spans="1:29" x14ac:dyDescent="0.25">
      <c r="A1026" t="s">
        <v>9</v>
      </c>
      <c r="B1026" s="5">
        <v>46149</v>
      </c>
      <c r="C1026" t="s">
        <v>54</v>
      </c>
      <c r="D1026" t="s">
        <v>1085</v>
      </c>
      <c r="E1026">
        <v>227539973</v>
      </c>
      <c r="F1026" t="s">
        <v>763</v>
      </c>
      <c r="G1026" t="s">
        <v>764</v>
      </c>
      <c r="H1026">
        <v>80900</v>
      </c>
      <c r="I1026" t="s">
        <v>60</v>
      </c>
      <c r="J1026">
        <v>3600.15</v>
      </c>
      <c r="K1026">
        <v>0</v>
      </c>
      <c r="L1026">
        <v>0</v>
      </c>
      <c r="M1026">
        <v>0</v>
      </c>
      <c r="N1026">
        <v>0</v>
      </c>
      <c r="O1026">
        <v>600</v>
      </c>
      <c r="P1026">
        <v>600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3600.15</v>
      </c>
      <c r="X1026">
        <v>2863.85</v>
      </c>
      <c r="Y1026">
        <v>500</v>
      </c>
      <c r="Z1026">
        <v>4716.3999999999996</v>
      </c>
      <c r="AA1026">
        <v>500</v>
      </c>
      <c r="AB1026" s="6">
        <v>46147.586365740739</v>
      </c>
      <c r="AC1026" s="6">
        <v>25569.229166666668</v>
      </c>
    </row>
    <row r="1027" spans="1:29" x14ac:dyDescent="0.25">
      <c r="A1027" t="s">
        <v>9</v>
      </c>
      <c r="B1027" s="5">
        <v>46149</v>
      </c>
      <c r="C1027" t="s">
        <v>54</v>
      </c>
      <c r="D1027" t="s">
        <v>1086</v>
      </c>
      <c r="E1027">
        <v>227634693</v>
      </c>
      <c r="F1027" t="s">
        <v>763</v>
      </c>
      <c r="G1027" t="s">
        <v>764</v>
      </c>
      <c r="H1027">
        <v>81000</v>
      </c>
      <c r="I1027" t="s">
        <v>58</v>
      </c>
      <c r="J1027">
        <v>2.95</v>
      </c>
      <c r="K1027">
        <v>-83.967391304347828</v>
      </c>
      <c r="L1027">
        <v>20</v>
      </c>
      <c r="M1027">
        <v>4.84</v>
      </c>
      <c r="N1027">
        <v>4069760</v>
      </c>
      <c r="O1027">
        <v>217400</v>
      </c>
      <c r="P1027">
        <v>76580</v>
      </c>
      <c r="Q1027">
        <v>580260</v>
      </c>
      <c r="R1027">
        <v>828080</v>
      </c>
      <c r="S1027">
        <v>556780</v>
      </c>
      <c r="T1027">
        <v>10.85</v>
      </c>
      <c r="U1027">
        <v>10.9</v>
      </c>
      <c r="V1027">
        <v>2.85</v>
      </c>
      <c r="W1027">
        <v>18.399999999999999</v>
      </c>
      <c r="X1027">
        <v>2.95</v>
      </c>
      <c r="Y1027">
        <v>1880</v>
      </c>
      <c r="Z1027">
        <v>3</v>
      </c>
      <c r="AA1027">
        <v>2100</v>
      </c>
      <c r="AB1027" s="6">
        <v>46147.586435185185</v>
      </c>
      <c r="AC1027" s="6">
        <v>46147.586423611108</v>
      </c>
    </row>
    <row r="1028" spans="1:29" x14ac:dyDescent="0.25">
      <c r="A1028" t="s">
        <v>9</v>
      </c>
      <c r="B1028" s="5">
        <v>46149</v>
      </c>
      <c r="C1028" t="s">
        <v>54</v>
      </c>
      <c r="D1028" t="s">
        <v>1087</v>
      </c>
      <c r="E1028">
        <v>227429637</v>
      </c>
      <c r="F1028" t="s">
        <v>763</v>
      </c>
      <c r="G1028" t="s">
        <v>764</v>
      </c>
      <c r="H1028">
        <v>81000</v>
      </c>
      <c r="I1028" t="s">
        <v>60</v>
      </c>
      <c r="J1028">
        <v>3900</v>
      </c>
      <c r="K1028">
        <v>7.7348066298342539</v>
      </c>
      <c r="L1028">
        <v>20</v>
      </c>
      <c r="M1028">
        <v>4298.33</v>
      </c>
      <c r="N1028">
        <v>1620</v>
      </c>
      <c r="O1028">
        <v>700</v>
      </c>
      <c r="P1028">
        <v>740</v>
      </c>
      <c r="Q1028">
        <v>7420</v>
      </c>
      <c r="R1028">
        <v>8780</v>
      </c>
      <c r="S1028">
        <v>7420</v>
      </c>
      <c r="T1028">
        <v>4250</v>
      </c>
      <c r="U1028">
        <v>4430</v>
      </c>
      <c r="V1028">
        <v>3875</v>
      </c>
      <c r="W1028">
        <v>3620</v>
      </c>
      <c r="X1028">
        <v>3894.15</v>
      </c>
      <c r="Y1028">
        <v>40</v>
      </c>
      <c r="Z1028">
        <v>3927.9</v>
      </c>
      <c r="AA1028">
        <v>40</v>
      </c>
      <c r="AB1028" s="6">
        <v>46147.586458333331</v>
      </c>
      <c r="AC1028" s="6">
        <v>46147.580185185187</v>
      </c>
    </row>
    <row r="1029" spans="1:29" x14ac:dyDescent="0.25">
      <c r="A1029" t="s">
        <v>9</v>
      </c>
      <c r="B1029" s="5">
        <v>46149</v>
      </c>
      <c r="C1029" t="s">
        <v>54</v>
      </c>
      <c r="D1029" t="s">
        <v>1088</v>
      </c>
      <c r="E1029">
        <v>227453957</v>
      </c>
      <c r="F1029" t="s">
        <v>763</v>
      </c>
      <c r="G1029" t="s">
        <v>764</v>
      </c>
      <c r="H1029">
        <v>81100</v>
      </c>
      <c r="I1029" t="s">
        <v>58</v>
      </c>
      <c r="J1029">
        <v>2.9</v>
      </c>
      <c r="K1029">
        <v>-82.424242424242422</v>
      </c>
      <c r="L1029">
        <v>20</v>
      </c>
      <c r="M1029">
        <v>4.68</v>
      </c>
      <c r="N1029">
        <v>298960</v>
      </c>
      <c r="O1029">
        <v>87020</v>
      </c>
      <c r="P1029">
        <v>28560</v>
      </c>
      <c r="Q1029">
        <v>33980</v>
      </c>
      <c r="R1029">
        <v>52260</v>
      </c>
      <c r="S1029">
        <v>32260</v>
      </c>
      <c r="T1029">
        <v>10.3</v>
      </c>
      <c r="U1029">
        <v>10.3</v>
      </c>
      <c r="V1029">
        <v>2.75</v>
      </c>
      <c r="W1029">
        <v>16.5</v>
      </c>
      <c r="X1029">
        <v>2.9</v>
      </c>
      <c r="Y1029">
        <v>60</v>
      </c>
      <c r="Z1029">
        <v>2.95</v>
      </c>
      <c r="AA1029">
        <v>1540</v>
      </c>
      <c r="AB1029" s="6">
        <v>46147.586446759262</v>
      </c>
      <c r="AC1029" s="6">
        <v>46147.586423611108</v>
      </c>
    </row>
    <row r="1030" spans="1:29" x14ac:dyDescent="0.25">
      <c r="A1030" t="s">
        <v>9</v>
      </c>
      <c r="B1030" s="5">
        <v>46149</v>
      </c>
      <c r="C1030" t="s">
        <v>54</v>
      </c>
      <c r="D1030" t="s">
        <v>1089</v>
      </c>
      <c r="E1030">
        <v>227508997</v>
      </c>
      <c r="F1030" t="s">
        <v>763</v>
      </c>
      <c r="G1030" t="s">
        <v>764</v>
      </c>
      <c r="H1030">
        <v>81100</v>
      </c>
      <c r="I1030" t="s">
        <v>60</v>
      </c>
      <c r="J1030">
        <v>3798.2</v>
      </c>
      <c r="K1030">
        <v>0</v>
      </c>
      <c r="L1030">
        <v>0</v>
      </c>
      <c r="M1030">
        <v>0</v>
      </c>
      <c r="N1030">
        <v>0</v>
      </c>
      <c r="O1030">
        <v>600</v>
      </c>
      <c r="P1030">
        <v>600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3798.2</v>
      </c>
      <c r="X1030">
        <v>3062.25</v>
      </c>
      <c r="Y1030">
        <v>500</v>
      </c>
      <c r="Z1030">
        <v>4915.1499999999996</v>
      </c>
      <c r="AA1030">
        <v>500</v>
      </c>
      <c r="AB1030" s="6">
        <v>46147.586354166669</v>
      </c>
      <c r="AC1030" s="6">
        <v>25569.229166666668</v>
      </c>
    </row>
    <row r="1031" spans="1:29" x14ac:dyDescent="0.25">
      <c r="A1031" t="s">
        <v>9</v>
      </c>
      <c r="B1031" s="5">
        <v>46149</v>
      </c>
      <c r="C1031" t="s">
        <v>54</v>
      </c>
      <c r="D1031" t="s">
        <v>1090</v>
      </c>
      <c r="E1031">
        <v>227388933</v>
      </c>
      <c r="F1031" t="s">
        <v>763</v>
      </c>
      <c r="G1031" t="s">
        <v>764</v>
      </c>
      <c r="H1031">
        <v>81200</v>
      </c>
      <c r="I1031" t="s">
        <v>58</v>
      </c>
      <c r="J1031">
        <v>2.65</v>
      </c>
      <c r="K1031">
        <v>-82.508250825082513</v>
      </c>
      <c r="L1031">
        <v>80</v>
      </c>
      <c r="M1031">
        <v>4.41</v>
      </c>
      <c r="N1031">
        <v>295500</v>
      </c>
      <c r="O1031">
        <v>83120</v>
      </c>
      <c r="P1031">
        <v>20680</v>
      </c>
      <c r="Q1031">
        <v>83360</v>
      </c>
      <c r="R1031">
        <v>89520</v>
      </c>
      <c r="S1031">
        <v>77340</v>
      </c>
      <c r="T1031">
        <v>9.75</v>
      </c>
      <c r="U1031">
        <v>9.8000000000000007</v>
      </c>
      <c r="V1031">
        <v>2.4500000000000002</v>
      </c>
      <c r="W1031">
        <v>15.15</v>
      </c>
      <c r="X1031">
        <v>2.6</v>
      </c>
      <c r="Y1031">
        <v>200</v>
      </c>
      <c r="Z1031">
        <v>2.65</v>
      </c>
      <c r="AA1031">
        <v>160</v>
      </c>
      <c r="AB1031" s="6">
        <v>46147.586458333331</v>
      </c>
      <c r="AC1031" s="6">
        <v>46147.586064814815</v>
      </c>
    </row>
    <row r="1032" spans="1:29" x14ac:dyDescent="0.25">
      <c r="A1032" t="s">
        <v>9</v>
      </c>
      <c r="B1032" s="5">
        <v>46149</v>
      </c>
      <c r="C1032" t="s">
        <v>54</v>
      </c>
      <c r="D1032" t="s">
        <v>1091</v>
      </c>
      <c r="E1032">
        <v>227446277</v>
      </c>
      <c r="F1032" t="s">
        <v>763</v>
      </c>
      <c r="G1032" t="s">
        <v>764</v>
      </c>
      <c r="H1032">
        <v>81200</v>
      </c>
      <c r="I1032" t="s">
        <v>60</v>
      </c>
      <c r="J1032">
        <v>3897.45</v>
      </c>
      <c r="K1032">
        <v>0</v>
      </c>
      <c r="L1032">
        <v>0</v>
      </c>
      <c r="M1032">
        <v>0</v>
      </c>
      <c r="N1032">
        <v>0</v>
      </c>
      <c r="O1032">
        <v>600</v>
      </c>
      <c r="P1032">
        <v>600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3897.45</v>
      </c>
      <c r="X1032">
        <v>3162.45</v>
      </c>
      <c r="Y1032">
        <v>500</v>
      </c>
      <c r="Z1032">
        <v>5015.45</v>
      </c>
      <c r="AA1032">
        <v>500</v>
      </c>
      <c r="AB1032" s="6">
        <v>46147.586365740739</v>
      </c>
      <c r="AC1032" s="6">
        <v>25569.229166666668</v>
      </c>
    </row>
    <row r="1033" spans="1:29" x14ac:dyDescent="0.25">
      <c r="A1033" t="s">
        <v>9</v>
      </c>
      <c r="B1033" s="5">
        <v>46149</v>
      </c>
      <c r="C1033" t="s">
        <v>54</v>
      </c>
      <c r="D1033" t="s">
        <v>1092</v>
      </c>
      <c r="E1033">
        <v>227661829</v>
      </c>
      <c r="F1033" t="s">
        <v>763</v>
      </c>
      <c r="G1033" t="s">
        <v>764</v>
      </c>
      <c r="H1033">
        <v>81300</v>
      </c>
      <c r="I1033" t="s">
        <v>58</v>
      </c>
      <c r="J1033">
        <v>2.4500000000000002</v>
      </c>
      <c r="K1033">
        <v>-82.181818181818187</v>
      </c>
      <c r="L1033">
        <v>60</v>
      </c>
      <c r="M1033">
        <v>4.1900000000000004</v>
      </c>
      <c r="N1033">
        <v>233260</v>
      </c>
      <c r="O1033">
        <v>80160</v>
      </c>
      <c r="P1033">
        <v>7440</v>
      </c>
      <c r="Q1033">
        <v>52380</v>
      </c>
      <c r="R1033">
        <v>63560</v>
      </c>
      <c r="S1033">
        <v>50900</v>
      </c>
      <c r="T1033">
        <v>12</v>
      </c>
      <c r="U1033">
        <v>12</v>
      </c>
      <c r="V1033">
        <v>2.25</v>
      </c>
      <c r="W1033">
        <v>13.75</v>
      </c>
      <c r="X1033">
        <v>2.35</v>
      </c>
      <c r="Y1033">
        <v>100</v>
      </c>
      <c r="Z1033">
        <v>2.4500000000000002</v>
      </c>
      <c r="AA1033">
        <v>300</v>
      </c>
      <c r="AB1033" s="6">
        <v>46147.586458333331</v>
      </c>
      <c r="AC1033" s="6">
        <v>46147.584733796299</v>
      </c>
    </row>
    <row r="1034" spans="1:29" x14ac:dyDescent="0.25">
      <c r="A1034" t="s">
        <v>9</v>
      </c>
      <c r="B1034" s="5">
        <v>46149</v>
      </c>
      <c r="C1034" t="s">
        <v>54</v>
      </c>
      <c r="D1034" t="s">
        <v>1093</v>
      </c>
      <c r="E1034">
        <v>227643909</v>
      </c>
      <c r="F1034" t="s">
        <v>763</v>
      </c>
      <c r="G1034" t="s">
        <v>764</v>
      </c>
      <c r="H1034">
        <v>81300</v>
      </c>
      <c r="I1034" t="s">
        <v>60</v>
      </c>
      <c r="J1034">
        <v>3996.75</v>
      </c>
      <c r="K1034">
        <v>0</v>
      </c>
      <c r="L1034">
        <v>0</v>
      </c>
      <c r="M1034">
        <v>0</v>
      </c>
      <c r="N1034">
        <v>0</v>
      </c>
      <c r="O1034">
        <v>600</v>
      </c>
      <c r="P1034">
        <v>600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3996.75</v>
      </c>
      <c r="X1034">
        <v>3263</v>
      </c>
      <c r="Y1034">
        <v>500</v>
      </c>
      <c r="Z1034">
        <v>5115.8</v>
      </c>
      <c r="AA1034">
        <v>500</v>
      </c>
      <c r="AB1034" s="6">
        <v>46147.586354166669</v>
      </c>
      <c r="AC1034" s="6">
        <v>25569.229166666668</v>
      </c>
    </row>
    <row r="1035" spans="1:29" x14ac:dyDescent="0.25">
      <c r="A1035" t="s">
        <v>9</v>
      </c>
      <c r="B1035" s="5">
        <v>46149</v>
      </c>
      <c r="C1035" t="s">
        <v>54</v>
      </c>
      <c r="D1035" t="s">
        <v>1094</v>
      </c>
      <c r="E1035">
        <v>227649541</v>
      </c>
      <c r="F1035" t="s">
        <v>763</v>
      </c>
      <c r="G1035" t="s">
        <v>764</v>
      </c>
      <c r="H1035">
        <v>81400</v>
      </c>
      <c r="I1035" t="s">
        <v>58</v>
      </c>
      <c r="J1035">
        <v>2.4500000000000002</v>
      </c>
      <c r="K1035">
        <v>-81.007751937984494</v>
      </c>
      <c r="L1035">
        <v>40</v>
      </c>
      <c r="M1035">
        <v>4</v>
      </c>
      <c r="N1035">
        <v>224260</v>
      </c>
      <c r="O1035">
        <v>87040</v>
      </c>
      <c r="P1035">
        <v>26240</v>
      </c>
      <c r="Q1035">
        <v>31640</v>
      </c>
      <c r="R1035">
        <v>56000</v>
      </c>
      <c r="S1035">
        <v>24180</v>
      </c>
      <c r="T1035">
        <v>7.85</v>
      </c>
      <c r="U1035">
        <v>7.9</v>
      </c>
      <c r="V1035">
        <v>2.15</v>
      </c>
      <c r="W1035">
        <v>12.9</v>
      </c>
      <c r="X1035">
        <v>2.2999999999999998</v>
      </c>
      <c r="Y1035">
        <v>280</v>
      </c>
      <c r="Z1035">
        <v>2.4500000000000002</v>
      </c>
      <c r="AA1035">
        <v>740</v>
      </c>
      <c r="AB1035" s="6">
        <v>46147.586458333331</v>
      </c>
      <c r="AC1035" s="6">
        <v>46147.586423611108</v>
      </c>
    </row>
    <row r="1036" spans="1:29" x14ac:dyDescent="0.25">
      <c r="A1036" t="s">
        <v>9</v>
      </c>
      <c r="B1036" s="5">
        <v>46149</v>
      </c>
      <c r="C1036" t="s">
        <v>54</v>
      </c>
      <c r="D1036" t="s">
        <v>1095</v>
      </c>
      <c r="E1036">
        <v>227659269</v>
      </c>
      <c r="F1036" t="s">
        <v>763</v>
      </c>
      <c r="G1036" t="s">
        <v>764</v>
      </c>
      <c r="H1036">
        <v>81400</v>
      </c>
      <c r="I1036" t="s">
        <v>60</v>
      </c>
      <c r="J1036">
        <v>4096.2</v>
      </c>
      <c r="K1036">
        <v>0</v>
      </c>
      <c r="L1036">
        <v>0</v>
      </c>
      <c r="M1036">
        <v>0</v>
      </c>
      <c r="N1036">
        <v>0</v>
      </c>
      <c r="O1036">
        <v>600</v>
      </c>
      <c r="P1036">
        <v>600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4096.2</v>
      </c>
      <c r="X1036">
        <v>3362.85</v>
      </c>
      <c r="Y1036">
        <v>500</v>
      </c>
      <c r="Z1036">
        <v>5214.6000000000004</v>
      </c>
      <c r="AA1036">
        <v>500</v>
      </c>
      <c r="AB1036" s="6">
        <v>46147.586365740739</v>
      </c>
      <c r="AC1036" s="6">
        <v>25569.229166666668</v>
      </c>
    </row>
    <row r="1037" spans="1:29" x14ac:dyDescent="0.25">
      <c r="A1037" t="s">
        <v>9</v>
      </c>
      <c r="B1037" s="5">
        <v>46149</v>
      </c>
      <c r="C1037" t="s">
        <v>54</v>
      </c>
      <c r="D1037" t="s">
        <v>1096</v>
      </c>
      <c r="E1037">
        <v>227689733</v>
      </c>
      <c r="F1037" t="s">
        <v>763</v>
      </c>
      <c r="G1037" t="s">
        <v>764</v>
      </c>
      <c r="H1037">
        <v>81500</v>
      </c>
      <c r="I1037" t="s">
        <v>58</v>
      </c>
      <c r="J1037">
        <v>2.35</v>
      </c>
      <c r="K1037">
        <v>-79.385964912280713</v>
      </c>
      <c r="L1037">
        <v>40</v>
      </c>
      <c r="M1037">
        <v>3.82</v>
      </c>
      <c r="N1037">
        <v>2059280</v>
      </c>
      <c r="O1037">
        <v>204000</v>
      </c>
      <c r="P1037">
        <v>45420</v>
      </c>
      <c r="Q1037">
        <v>250500</v>
      </c>
      <c r="R1037">
        <v>364940</v>
      </c>
      <c r="S1037">
        <v>243440</v>
      </c>
      <c r="T1037">
        <v>6.95</v>
      </c>
      <c r="U1037">
        <v>7.7</v>
      </c>
      <c r="V1037">
        <v>2.15</v>
      </c>
      <c r="W1037">
        <v>11.4</v>
      </c>
      <c r="X1037">
        <v>2.35</v>
      </c>
      <c r="Y1037">
        <v>5260</v>
      </c>
      <c r="Z1037">
        <v>2.4500000000000002</v>
      </c>
      <c r="AA1037">
        <v>5840</v>
      </c>
      <c r="AB1037" s="6">
        <v>46147.586458333331</v>
      </c>
      <c r="AC1037" s="6">
        <v>46147.586446759262</v>
      </c>
    </row>
    <row r="1038" spans="1:29" x14ac:dyDescent="0.25">
      <c r="A1038" t="s">
        <v>9</v>
      </c>
      <c r="B1038" s="5">
        <v>46149</v>
      </c>
      <c r="C1038" t="s">
        <v>54</v>
      </c>
      <c r="D1038" t="s">
        <v>1097</v>
      </c>
      <c r="E1038">
        <v>227646981</v>
      </c>
      <c r="F1038" t="s">
        <v>763</v>
      </c>
      <c r="G1038" t="s">
        <v>764</v>
      </c>
      <c r="H1038">
        <v>81500</v>
      </c>
      <c r="I1038" t="s">
        <v>60</v>
      </c>
      <c r="J1038">
        <v>4195.75</v>
      </c>
      <c r="K1038">
        <v>0</v>
      </c>
      <c r="L1038">
        <v>0</v>
      </c>
      <c r="M1038">
        <v>0</v>
      </c>
      <c r="N1038">
        <v>0</v>
      </c>
      <c r="O1038">
        <v>960</v>
      </c>
      <c r="P1038">
        <v>960</v>
      </c>
      <c r="Q1038">
        <v>60</v>
      </c>
      <c r="R1038">
        <v>60</v>
      </c>
      <c r="S1038">
        <v>60</v>
      </c>
      <c r="T1038">
        <v>0</v>
      </c>
      <c r="U1038">
        <v>4300</v>
      </c>
      <c r="V1038">
        <v>4300</v>
      </c>
      <c r="W1038">
        <v>4195.75</v>
      </c>
      <c r="X1038">
        <v>3569</v>
      </c>
      <c r="Y1038">
        <v>500</v>
      </c>
      <c r="Z1038">
        <v>5191.55</v>
      </c>
      <c r="AA1038">
        <v>500</v>
      </c>
      <c r="AB1038" s="6">
        <v>46147.586365740739</v>
      </c>
      <c r="AC1038" s="6">
        <v>46142.589641203704</v>
      </c>
    </row>
    <row r="1039" spans="1:29" x14ac:dyDescent="0.25">
      <c r="A1039" t="s">
        <v>9</v>
      </c>
      <c r="B1039" s="5">
        <v>46149</v>
      </c>
      <c r="C1039" t="s">
        <v>54</v>
      </c>
      <c r="D1039" t="s">
        <v>1098</v>
      </c>
      <c r="E1039">
        <v>282676485</v>
      </c>
      <c r="F1039" t="s">
        <v>763</v>
      </c>
      <c r="G1039" t="s">
        <v>764</v>
      </c>
      <c r="H1039">
        <v>81600</v>
      </c>
      <c r="I1039" t="s">
        <v>58</v>
      </c>
      <c r="J1039">
        <v>2.4</v>
      </c>
      <c r="K1039">
        <v>-77.570093457943926</v>
      </c>
      <c r="L1039">
        <v>280</v>
      </c>
      <c r="M1039">
        <v>3.79</v>
      </c>
      <c r="N1039">
        <v>202820</v>
      </c>
      <c r="O1039">
        <v>68060</v>
      </c>
      <c r="P1039">
        <v>14640</v>
      </c>
      <c r="Q1039">
        <v>23320</v>
      </c>
      <c r="R1039">
        <v>41240</v>
      </c>
      <c r="S1039">
        <v>15880</v>
      </c>
      <c r="T1039">
        <v>10</v>
      </c>
      <c r="U1039">
        <v>10.1</v>
      </c>
      <c r="V1039">
        <v>2.2000000000000002</v>
      </c>
      <c r="W1039">
        <v>10.7</v>
      </c>
      <c r="X1039">
        <v>2.35</v>
      </c>
      <c r="Y1039">
        <v>1080</v>
      </c>
      <c r="Z1039">
        <v>2.4500000000000002</v>
      </c>
      <c r="AA1039">
        <v>2520</v>
      </c>
      <c r="AB1039" s="6">
        <v>46147.586423611108</v>
      </c>
      <c r="AC1039" s="6">
        <v>46147.586261574077</v>
      </c>
    </row>
    <row r="1040" spans="1:29" x14ac:dyDescent="0.25">
      <c r="A1040" t="s">
        <v>9</v>
      </c>
      <c r="B1040" s="5">
        <v>46149</v>
      </c>
      <c r="C1040" t="s">
        <v>54</v>
      </c>
      <c r="D1040" t="s">
        <v>1099</v>
      </c>
      <c r="E1040">
        <v>283448069</v>
      </c>
      <c r="F1040" t="s">
        <v>763</v>
      </c>
      <c r="G1040" t="s">
        <v>764</v>
      </c>
      <c r="H1040">
        <v>81600</v>
      </c>
      <c r="I1040" t="s">
        <v>60</v>
      </c>
      <c r="J1040">
        <v>4295.3500000000004</v>
      </c>
      <c r="K1040">
        <v>0</v>
      </c>
      <c r="L1040">
        <v>0</v>
      </c>
      <c r="M1040">
        <v>0</v>
      </c>
      <c r="N1040">
        <v>0</v>
      </c>
      <c r="O1040">
        <v>600</v>
      </c>
      <c r="P1040">
        <v>600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4295.3500000000004</v>
      </c>
      <c r="X1040">
        <v>3561.1</v>
      </c>
      <c r="Y1040">
        <v>500</v>
      </c>
      <c r="Z1040">
        <v>5414.3</v>
      </c>
      <c r="AA1040">
        <v>500</v>
      </c>
      <c r="AB1040" s="6">
        <v>46147.586365740739</v>
      </c>
      <c r="AC1040" s="6">
        <v>25569.229166666668</v>
      </c>
    </row>
    <row r="1041" spans="1:29" x14ac:dyDescent="0.25">
      <c r="A1041" t="s">
        <v>9</v>
      </c>
      <c r="B1041" s="5">
        <v>46149</v>
      </c>
      <c r="C1041" t="s">
        <v>54</v>
      </c>
      <c r="D1041" t="s">
        <v>1100</v>
      </c>
      <c r="E1041">
        <v>284758789</v>
      </c>
      <c r="F1041" t="s">
        <v>763</v>
      </c>
      <c r="G1041" t="s">
        <v>764</v>
      </c>
      <c r="H1041">
        <v>81700</v>
      </c>
      <c r="I1041" t="s">
        <v>58</v>
      </c>
      <c r="J1041">
        <v>2.15</v>
      </c>
      <c r="K1041">
        <v>-78.391959798994975</v>
      </c>
      <c r="L1041">
        <v>80</v>
      </c>
      <c r="M1041">
        <v>3.44</v>
      </c>
      <c r="N1041">
        <v>281440</v>
      </c>
      <c r="O1041">
        <v>55280</v>
      </c>
      <c r="P1041">
        <v>12300</v>
      </c>
      <c r="Q1041">
        <v>54300</v>
      </c>
      <c r="R1041">
        <v>63800</v>
      </c>
      <c r="S1041">
        <v>54300</v>
      </c>
      <c r="T1041">
        <v>7.8</v>
      </c>
      <c r="U1041">
        <v>7.8</v>
      </c>
      <c r="V1041">
        <v>1.85</v>
      </c>
      <c r="W1041">
        <v>9.9499999999999993</v>
      </c>
      <c r="X1041">
        <v>2.0499999999999998</v>
      </c>
      <c r="Y1041">
        <v>220</v>
      </c>
      <c r="Z1041">
        <v>2.15</v>
      </c>
      <c r="AA1041">
        <v>280</v>
      </c>
      <c r="AB1041" s="6">
        <v>46147.586446759262</v>
      </c>
      <c r="AC1041" s="6">
        <v>46147.586261574077</v>
      </c>
    </row>
    <row r="1042" spans="1:29" x14ac:dyDescent="0.25">
      <c r="A1042" t="s">
        <v>9</v>
      </c>
      <c r="B1042" s="5">
        <v>46149</v>
      </c>
      <c r="C1042" t="s">
        <v>54</v>
      </c>
      <c r="D1042" t="s">
        <v>1101</v>
      </c>
      <c r="E1042">
        <v>282598661</v>
      </c>
      <c r="F1042" t="s">
        <v>763</v>
      </c>
      <c r="G1042" t="s">
        <v>764</v>
      </c>
      <c r="H1042">
        <v>81700</v>
      </c>
      <c r="I1042" t="s">
        <v>60</v>
      </c>
      <c r="J1042">
        <v>4395</v>
      </c>
      <c r="K1042">
        <v>0</v>
      </c>
      <c r="L1042">
        <v>0</v>
      </c>
      <c r="M1042">
        <v>0</v>
      </c>
      <c r="N1042">
        <v>0</v>
      </c>
      <c r="O1042">
        <v>600</v>
      </c>
      <c r="P1042">
        <v>600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4395</v>
      </c>
      <c r="X1042">
        <v>3662.8</v>
      </c>
      <c r="Y1042">
        <v>500</v>
      </c>
      <c r="Z1042">
        <v>5515.1</v>
      </c>
      <c r="AA1042">
        <v>500</v>
      </c>
      <c r="AB1042" s="6">
        <v>46147.586354166669</v>
      </c>
      <c r="AC1042" s="6">
        <v>25569.229166666668</v>
      </c>
    </row>
    <row r="1043" spans="1:29" x14ac:dyDescent="0.25">
      <c r="A1043" t="s">
        <v>9</v>
      </c>
      <c r="B1043" s="5">
        <v>46149</v>
      </c>
      <c r="C1043" t="s">
        <v>54</v>
      </c>
      <c r="D1043" t="s">
        <v>1102</v>
      </c>
      <c r="E1043">
        <v>282889221</v>
      </c>
      <c r="F1043" t="s">
        <v>763</v>
      </c>
      <c r="G1043" t="s">
        <v>764</v>
      </c>
      <c r="H1043">
        <v>81800</v>
      </c>
      <c r="I1043" t="s">
        <v>58</v>
      </c>
      <c r="J1043">
        <v>2.2999999999999998</v>
      </c>
      <c r="K1043">
        <v>-75.13513513513513</v>
      </c>
      <c r="L1043">
        <v>20</v>
      </c>
      <c r="M1043">
        <v>3.6</v>
      </c>
      <c r="N1043">
        <v>129480</v>
      </c>
      <c r="O1043">
        <v>75640</v>
      </c>
      <c r="P1043">
        <v>8900</v>
      </c>
      <c r="Q1043">
        <v>12240</v>
      </c>
      <c r="R1043">
        <v>21760</v>
      </c>
      <c r="S1043">
        <v>11780</v>
      </c>
      <c r="T1043">
        <v>6.85</v>
      </c>
      <c r="U1043">
        <v>6.85</v>
      </c>
      <c r="V1043">
        <v>1.95</v>
      </c>
      <c r="W1043">
        <v>9.25</v>
      </c>
      <c r="X1043">
        <v>2.0499999999999998</v>
      </c>
      <c r="Y1043">
        <v>280</v>
      </c>
      <c r="Z1043">
        <v>2.25</v>
      </c>
      <c r="AA1043">
        <v>80</v>
      </c>
      <c r="AB1043" s="6">
        <v>46147.586435185185</v>
      </c>
      <c r="AC1043" s="6">
        <v>46147.583622685182</v>
      </c>
    </row>
    <row r="1044" spans="1:29" x14ac:dyDescent="0.25">
      <c r="A1044" t="s">
        <v>9</v>
      </c>
      <c r="B1044" s="5">
        <v>46149</v>
      </c>
      <c r="C1044" t="s">
        <v>54</v>
      </c>
      <c r="D1044" t="s">
        <v>1103</v>
      </c>
      <c r="E1044">
        <v>284639749</v>
      </c>
      <c r="F1044" t="s">
        <v>763</v>
      </c>
      <c r="G1044" t="s">
        <v>764</v>
      </c>
      <c r="H1044">
        <v>81800</v>
      </c>
      <c r="I1044" t="s">
        <v>60</v>
      </c>
      <c r="J1044">
        <v>4494.7</v>
      </c>
      <c r="K1044">
        <v>0</v>
      </c>
      <c r="L1044">
        <v>0</v>
      </c>
      <c r="M1044">
        <v>0</v>
      </c>
      <c r="N1044">
        <v>0</v>
      </c>
      <c r="O1044">
        <v>600</v>
      </c>
      <c r="P1044">
        <v>600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4494.7</v>
      </c>
      <c r="X1044">
        <v>3761.85</v>
      </c>
      <c r="Y1044">
        <v>500</v>
      </c>
      <c r="Z1044">
        <v>5614.55</v>
      </c>
      <c r="AA1044">
        <v>500</v>
      </c>
      <c r="AB1044" s="6">
        <v>46147.586365740739</v>
      </c>
      <c r="AC1044" s="6">
        <v>25569.229166666668</v>
      </c>
    </row>
    <row r="1045" spans="1:29" x14ac:dyDescent="0.25">
      <c r="A1045" t="s">
        <v>9</v>
      </c>
      <c r="B1045" s="5">
        <v>46149</v>
      </c>
      <c r="C1045" t="s">
        <v>54</v>
      </c>
      <c r="D1045" t="s">
        <v>1104</v>
      </c>
      <c r="E1045">
        <v>284975365</v>
      </c>
      <c r="F1045" t="s">
        <v>763</v>
      </c>
      <c r="G1045" t="s">
        <v>764</v>
      </c>
      <c r="H1045">
        <v>81900</v>
      </c>
      <c r="I1045" t="s">
        <v>58</v>
      </c>
      <c r="J1045">
        <v>1.95</v>
      </c>
      <c r="K1045">
        <v>-76.785714285714278</v>
      </c>
      <c r="L1045">
        <v>60</v>
      </c>
      <c r="M1045">
        <v>3.24</v>
      </c>
      <c r="N1045">
        <v>452880</v>
      </c>
      <c r="O1045">
        <v>80980</v>
      </c>
      <c r="P1045">
        <v>7320</v>
      </c>
      <c r="Q1045">
        <v>66840</v>
      </c>
      <c r="R1045">
        <v>93620</v>
      </c>
      <c r="S1045">
        <v>32060</v>
      </c>
      <c r="T1045">
        <v>6.95</v>
      </c>
      <c r="U1045">
        <v>6.95</v>
      </c>
      <c r="V1045">
        <v>1.8</v>
      </c>
      <c r="W1045">
        <v>8.4</v>
      </c>
      <c r="X1045">
        <v>1.85</v>
      </c>
      <c r="Y1045">
        <v>700</v>
      </c>
      <c r="Z1045">
        <v>1.9</v>
      </c>
      <c r="AA1045">
        <v>40</v>
      </c>
      <c r="AB1045" s="6">
        <v>46147.586435185185</v>
      </c>
      <c r="AC1045" s="6">
        <v>46147.586354166669</v>
      </c>
    </row>
    <row r="1046" spans="1:29" x14ac:dyDescent="0.25">
      <c r="A1046" t="s">
        <v>9</v>
      </c>
      <c r="B1046" s="5">
        <v>46149</v>
      </c>
      <c r="C1046" t="s">
        <v>54</v>
      </c>
      <c r="D1046" t="s">
        <v>1105</v>
      </c>
      <c r="E1046">
        <v>282765317</v>
      </c>
      <c r="F1046" t="s">
        <v>763</v>
      </c>
      <c r="G1046" t="s">
        <v>764</v>
      </c>
      <c r="H1046">
        <v>81900</v>
      </c>
      <c r="I1046" t="s">
        <v>60</v>
      </c>
      <c r="J1046">
        <v>4594.45</v>
      </c>
      <c r="K1046">
        <v>0</v>
      </c>
      <c r="L1046">
        <v>0</v>
      </c>
      <c r="M1046">
        <v>0</v>
      </c>
      <c r="N1046">
        <v>0</v>
      </c>
      <c r="O1046">
        <v>100</v>
      </c>
      <c r="P1046">
        <v>100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4594.45</v>
      </c>
      <c r="X1046">
        <v>3300</v>
      </c>
      <c r="Y1046">
        <v>100</v>
      </c>
      <c r="Z1046">
        <v>6900</v>
      </c>
      <c r="AA1046">
        <v>100</v>
      </c>
      <c r="AB1046" s="6">
        <v>46147.586273148147</v>
      </c>
      <c r="AC1046" s="6">
        <v>25569.229166666668</v>
      </c>
    </row>
    <row r="1047" spans="1:29" x14ac:dyDescent="0.25">
      <c r="A1047" t="s">
        <v>9</v>
      </c>
      <c r="B1047" s="5">
        <v>46149</v>
      </c>
      <c r="C1047" t="s">
        <v>54</v>
      </c>
      <c r="D1047" t="s">
        <v>1106</v>
      </c>
      <c r="E1047">
        <v>283874565</v>
      </c>
      <c r="F1047" t="s">
        <v>763</v>
      </c>
      <c r="G1047" t="s">
        <v>764</v>
      </c>
      <c r="H1047">
        <v>82000</v>
      </c>
      <c r="I1047" t="s">
        <v>58</v>
      </c>
      <c r="J1047">
        <v>2.2000000000000002</v>
      </c>
      <c r="K1047">
        <v>-72.327044025157235</v>
      </c>
      <c r="L1047">
        <v>1000</v>
      </c>
      <c r="M1047">
        <v>3.15</v>
      </c>
      <c r="N1047">
        <v>3149180</v>
      </c>
      <c r="O1047">
        <v>188940</v>
      </c>
      <c r="P1047">
        <v>43780</v>
      </c>
      <c r="Q1047">
        <v>785960</v>
      </c>
      <c r="R1047">
        <v>798300</v>
      </c>
      <c r="S1047">
        <v>653320</v>
      </c>
      <c r="T1047">
        <v>6.9</v>
      </c>
      <c r="U1047">
        <v>6.9</v>
      </c>
      <c r="V1047">
        <v>0.05</v>
      </c>
      <c r="W1047">
        <v>7.95</v>
      </c>
      <c r="X1047">
        <v>2.2000000000000002</v>
      </c>
      <c r="Y1047">
        <v>1660</v>
      </c>
      <c r="Z1047">
        <v>2.25</v>
      </c>
      <c r="AA1047">
        <v>2320</v>
      </c>
      <c r="AB1047" s="6">
        <v>46147.586423611108</v>
      </c>
      <c r="AC1047" s="6">
        <v>46147.586273148147</v>
      </c>
    </row>
    <row r="1048" spans="1:29" x14ac:dyDescent="0.25">
      <c r="A1048" t="s">
        <v>9</v>
      </c>
      <c r="B1048" s="5">
        <v>46149</v>
      </c>
      <c r="C1048" t="s">
        <v>54</v>
      </c>
      <c r="D1048" t="s">
        <v>1107</v>
      </c>
      <c r="E1048">
        <v>284246021</v>
      </c>
      <c r="F1048" t="s">
        <v>763</v>
      </c>
      <c r="G1048" t="s">
        <v>764</v>
      </c>
      <c r="H1048">
        <v>82000</v>
      </c>
      <c r="I1048" t="s">
        <v>60</v>
      </c>
      <c r="J1048">
        <v>4694.25</v>
      </c>
      <c r="K1048">
        <v>0</v>
      </c>
      <c r="L1048">
        <v>0</v>
      </c>
      <c r="M1048">
        <v>0</v>
      </c>
      <c r="N1048">
        <v>0</v>
      </c>
      <c r="O1048">
        <v>460</v>
      </c>
      <c r="P1048">
        <v>560</v>
      </c>
      <c r="Q1048">
        <v>8620</v>
      </c>
      <c r="R1048">
        <v>8620</v>
      </c>
      <c r="S1048">
        <v>8620</v>
      </c>
      <c r="T1048">
        <v>0</v>
      </c>
      <c r="U1048">
        <v>5643.65</v>
      </c>
      <c r="V1048">
        <v>4692.6000000000004</v>
      </c>
      <c r="W1048">
        <v>4694.25</v>
      </c>
      <c r="X1048">
        <v>4035.2</v>
      </c>
      <c r="Y1048">
        <v>20</v>
      </c>
      <c r="Z1048">
        <v>4955.8</v>
      </c>
      <c r="AA1048">
        <v>20</v>
      </c>
      <c r="AB1048" s="6">
        <v>46147.586458333331</v>
      </c>
      <c r="AC1048" s="6">
        <v>46142.644444444442</v>
      </c>
    </row>
    <row r="1049" spans="1:29" x14ac:dyDescent="0.25">
      <c r="A1049" t="s">
        <v>9</v>
      </c>
      <c r="B1049" s="5">
        <v>46149</v>
      </c>
      <c r="C1049" t="s">
        <v>54</v>
      </c>
      <c r="D1049" t="s">
        <v>1108</v>
      </c>
      <c r="E1049">
        <v>284593157</v>
      </c>
      <c r="F1049" t="s">
        <v>763</v>
      </c>
      <c r="G1049" t="s">
        <v>764</v>
      </c>
      <c r="H1049">
        <v>82100</v>
      </c>
      <c r="I1049" t="s">
        <v>58</v>
      </c>
      <c r="J1049">
        <v>2</v>
      </c>
      <c r="K1049">
        <v>-72.41379310344827</v>
      </c>
      <c r="L1049">
        <v>40</v>
      </c>
      <c r="M1049">
        <v>3.21</v>
      </c>
      <c r="N1049">
        <v>120380</v>
      </c>
      <c r="O1049">
        <v>68660</v>
      </c>
      <c r="P1049">
        <v>10560</v>
      </c>
      <c r="Q1049">
        <v>15560</v>
      </c>
      <c r="R1049">
        <v>27240</v>
      </c>
      <c r="S1049">
        <v>15280</v>
      </c>
      <c r="T1049">
        <v>6.3</v>
      </c>
      <c r="U1049">
        <v>6.3</v>
      </c>
      <c r="V1049">
        <v>1.75</v>
      </c>
      <c r="W1049">
        <v>7.25</v>
      </c>
      <c r="X1049">
        <v>1.95</v>
      </c>
      <c r="Y1049">
        <v>120</v>
      </c>
      <c r="Z1049">
        <v>2.0499999999999998</v>
      </c>
      <c r="AA1049">
        <v>140</v>
      </c>
      <c r="AB1049" s="6">
        <v>46147.586388888885</v>
      </c>
      <c r="AC1049" s="6">
        <v>46147.58625</v>
      </c>
    </row>
    <row r="1050" spans="1:29" x14ac:dyDescent="0.25">
      <c r="A1050" t="s">
        <v>9</v>
      </c>
      <c r="B1050" s="5">
        <v>46149</v>
      </c>
      <c r="C1050" t="s">
        <v>54</v>
      </c>
      <c r="D1050" t="s">
        <v>1109</v>
      </c>
      <c r="E1050">
        <v>283810309</v>
      </c>
      <c r="F1050" t="s">
        <v>763</v>
      </c>
      <c r="G1050" t="s">
        <v>764</v>
      </c>
      <c r="H1050">
        <v>82100</v>
      </c>
      <c r="I1050" t="s">
        <v>60</v>
      </c>
      <c r="J1050">
        <v>4794.05</v>
      </c>
      <c r="K1050">
        <v>0</v>
      </c>
      <c r="L1050">
        <v>0</v>
      </c>
      <c r="M1050">
        <v>0</v>
      </c>
      <c r="N1050">
        <v>0</v>
      </c>
      <c r="O1050">
        <v>600</v>
      </c>
      <c r="P1050">
        <v>600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4794.05</v>
      </c>
      <c r="X1050">
        <v>4061.7</v>
      </c>
      <c r="Y1050">
        <v>500</v>
      </c>
      <c r="Z1050">
        <v>5913.65</v>
      </c>
      <c r="AA1050">
        <v>500</v>
      </c>
      <c r="AB1050" s="6">
        <v>46147.586365740739</v>
      </c>
      <c r="AC1050" s="6">
        <v>25569.229166666668</v>
      </c>
    </row>
    <row r="1051" spans="1:29" x14ac:dyDescent="0.25">
      <c r="A1051" t="s">
        <v>9</v>
      </c>
      <c r="B1051" s="5">
        <v>46149</v>
      </c>
      <c r="C1051" t="s">
        <v>54</v>
      </c>
      <c r="D1051" t="s">
        <v>1110</v>
      </c>
      <c r="E1051">
        <v>283985669</v>
      </c>
      <c r="F1051" t="s">
        <v>763</v>
      </c>
      <c r="G1051" t="s">
        <v>764</v>
      </c>
      <c r="H1051">
        <v>82200</v>
      </c>
      <c r="I1051" t="s">
        <v>58</v>
      </c>
      <c r="J1051">
        <v>2.0499999999999998</v>
      </c>
      <c r="K1051">
        <v>-66.393442622950829</v>
      </c>
      <c r="L1051">
        <v>180</v>
      </c>
      <c r="M1051">
        <v>2.92</v>
      </c>
      <c r="N1051">
        <v>303880</v>
      </c>
      <c r="O1051">
        <v>67980</v>
      </c>
      <c r="P1051">
        <v>49820</v>
      </c>
      <c r="Q1051">
        <v>73100</v>
      </c>
      <c r="R1051">
        <v>97180</v>
      </c>
      <c r="S1051">
        <v>58360</v>
      </c>
      <c r="T1051">
        <v>6.1</v>
      </c>
      <c r="U1051">
        <v>6.1</v>
      </c>
      <c r="V1051">
        <v>1.9</v>
      </c>
      <c r="W1051">
        <v>6.1</v>
      </c>
      <c r="X1051">
        <v>2</v>
      </c>
      <c r="Y1051">
        <v>260</v>
      </c>
      <c r="Z1051">
        <v>2.0499999999999998</v>
      </c>
      <c r="AA1051">
        <v>180</v>
      </c>
      <c r="AB1051" s="6">
        <v>46147.586458333331</v>
      </c>
      <c r="AC1051" s="6">
        <v>46147.586354166669</v>
      </c>
    </row>
    <row r="1052" spans="1:29" x14ac:dyDescent="0.25">
      <c r="A1052" t="s">
        <v>9</v>
      </c>
      <c r="B1052" s="5">
        <v>46149</v>
      </c>
      <c r="C1052" t="s">
        <v>54</v>
      </c>
      <c r="D1052" t="s">
        <v>1111</v>
      </c>
      <c r="E1052">
        <v>284379653</v>
      </c>
      <c r="F1052" t="s">
        <v>763</v>
      </c>
      <c r="G1052" t="s">
        <v>764</v>
      </c>
      <c r="H1052">
        <v>82200</v>
      </c>
      <c r="I1052" t="s">
        <v>60</v>
      </c>
      <c r="J1052">
        <v>4893.8999999999996</v>
      </c>
      <c r="K1052">
        <v>0</v>
      </c>
      <c r="L1052">
        <v>0</v>
      </c>
      <c r="M1052">
        <v>0</v>
      </c>
      <c r="N1052">
        <v>0</v>
      </c>
      <c r="O1052">
        <v>600</v>
      </c>
      <c r="P1052">
        <v>600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4893.8999999999996</v>
      </c>
      <c r="X1052">
        <v>4161.6499999999996</v>
      </c>
      <c r="Y1052">
        <v>500</v>
      </c>
      <c r="Z1052">
        <v>6013.65</v>
      </c>
      <c r="AA1052">
        <v>500</v>
      </c>
      <c r="AB1052" s="6">
        <v>46147.586365740739</v>
      </c>
      <c r="AC1052" s="6">
        <v>25569.229166666668</v>
      </c>
    </row>
    <row r="1053" spans="1:29" x14ac:dyDescent="0.25">
      <c r="A1053" t="s">
        <v>9</v>
      </c>
      <c r="B1053" s="5">
        <v>46149</v>
      </c>
      <c r="C1053" t="s">
        <v>54</v>
      </c>
      <c r="D1053" t="s">
        <v>1112</v>
      </c>
      <c r="E1053">
        <v>283473413</v>
      </c>
      <c r="F1053" t="s">
        <v>763</v>
      </c>
      <c r="G1053" t="s">
        <v>764</v>
      </c>
      <c r="H1053">
        <v>82300</v>
      </c>
      <c r="I1053" t="s">
        <v>58</v>
      </c>
      <c r="J1053">
        <v>1.9</v>
      </c>
      <c r="K1053">
        <v>-68.067226890756316</v>
      </c>
      <c r="L1053">
        <v>20</v>
      </c>
      <c r="M1053">
        <v>2.77</v>
      </c>
      <c r="N1053">
        <v>102540</v>
      </c>
      <c r="O1053">
        <v>67120</v>
      </c>
      <c r="P1053">
        <v>20740</v>
      </c>
      <c r="Q1053">
        <v>20080</v>
      </c>
      <c r="R1053">
        <v>27640</v>
      </c>
      <c r="S1053">
        <v>18680</v>
      </c>
      <c r="T1053">
        <v>3.55</v>
      </c>
      <c r="U1053">
        <v>4.7</v>
      </c>
      <c r="V1053">
        <v>1.75</v>
      </c>
      <c r="W1053">
        <v>5.95</v>
      </c>
      <c r="X1053">
        <v>1.85</v>
      </c>
      <c r="Y1053">
        <v>720</v>
      </c>
      <c r="Z1053">
        <v>2</v>
      </c>
      <c r="AA1053">
        <v>840</v>
      </c>
      <c r="AB1053" s="6">
        <v>46147.586446759262</v>
      </c>
      <c r="AC1053" s="6">
        <v>46147.586354166669</v>
      </c>
    </row>
    <row r="1054" spans="1:29" x14ac:dyDescent="0.25">
      <c r="A1054" t="s">
        <v>9</v>
      </c>
      <c r="B1054" s="5">
        <v>46149</v>
      </c>
      <c r="C1054" t="s">
        <v>54</v>
      </c>
      <c r="D1054" t="s">
        <v>1113</v>
      </c>
      <c r="E1054">
        <v>283922181</v>
      </c>
      <c r="F1054" t="s">
        <v>763</v>
      </c>
      <c r="G1054" t="s">
        <v>764</v>
      </c>
      <c r="H1054">
        <v>82300</v>
      </c>
      <c r="I1054" t="s">
        <v>60</v>
      </c>
      <c r="J1054">
        <v>4993.75</v>
      </c>
      <c r="K1054">
        <v>0</v>
      </c>
      <c r="L1054">
        <v>0</v>
      </c>
      <c r="M1054">
        <v>0</v>
      </c>
      <c r="N1054">
        <v>0</v>
      </c>
      <c r="O1054">
        <v>600</v>
      </c>
      <c r="P1054">
        <v>100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4993.75</v>
      </c>
      <c r="X1054">
        <v>4262.05</v>
      </c>
      <c r="Y1054">
        <v>500</v>
      </c>
      <c r="Z1054">
        <v>7300</v>
      </c>
      <c r="AA1054">
        <v>100</v>
      </c>
      <c r="AB1054" s="6">
        <v>46147.586273148147</v>
      </c>
      <c r="AC1054" s="6">
        <v>25569.229166666668</v>
      </c>
    </row>
    <row r="1055" spans="1:29" x14ac:dyDescent="0.25">
      <c r="A1055" t="s">
        <v>9</v>
      </c>
      <c r="B1055" s="5">
        <v>46149</v>
      </c>
      <c r="C1055" t="s">
        <v>54</v>
      </c>
      <c r="D1055" t="s">
        <v>1114</v>
      </c>
      <c r="E1055">
        <v>288022533</v>
      </c>
      <c r="F1055" t="s">
        <v>763</v>
      </c>
      <c r="G1055" t="s">
        <v>764</v>
      </c>
      <c r="H1055">
        <v>82400</v>
      </c>
      <c r="I1055" t="s">
        <v>58</v>
      </c>
      <c r="J1055">
        <v>1.9</v>
      </c>
      <c r="K1055">
        <v>-66.666666666666671</v>
      </c>
      <c r="L1055">
        <v>20</v>
      </c>
      <c r="M1055">
        <v>2.74</v>
      </c>
      <c r="N1055">
        <v>137060</v>
      </c>
      <c r="O1055">
        <v>68920</v>
      </c>
      <c r="P1055">
        <v>10640</v>
      </c>
      <c r="Q1055">
        <v>26720</v>
      </c>
      <c r="R1055">
        <v>36160</v>
      </c>
      <c r="S1055">
        <v>26720</v>
      </c>
      <c r="T1055">
        <v>5.35</v>
      </c>
      <c r="U1055">
        <v>5.35</v>
      </c>
      <c r="V1055">
        <v>1.75</v>
      </c>
      <c r="W1055">
        <v>5.7</v>
      </c>
      <c r="X1055">
        <v>1.85</v>
      </c>
      <c r="Y1055">
        <v>100</v>
      </c>
      <c r="Z1055">
        <v>1.9</v>
      </c>
      <c r="AA1055">
        <v>280</v>
      </c>
      <c r="AB1055" s="6">
        <v>46147.586435185185</v>
      </c>
      <c r="AC1055" s="6">
        <v>46147.586377314816</v>
      </c>
    </row>
    <row r="1056" spans="1:29" x14ac:dyDescent="0.25">
      <c r="A1056" t="s">
        <v>9</v>
      </c>
      <c r="B1056" s="5">
        <v>46149</v>
      </c>
      <c r="C1056" t="s">
        <v>54</v>
      </c>
      <c r="D1056" t="s">
        <v>1115</v>
      </c>
      <c r="E1056">
        <v>288118789</v>
      </c>
      <c r="F1056" t="s">
        <v>763</v>
      </c>
      <c r="G1056" t="s">
        <v>764</v>
      </c>
      <c r="H1056">
        <v>82400</v>
      </c>
      <c r="I1056" t="s">
        <v>60</v>
      </c>
      <c r="J1056">
        <v>5093.6499999999996</v>
      </c>
      <c r="K1056">
        <v>0</v>
      </c>
      <c r="L1056">
        <v>0</v>
      </c>
      <c r="M1056">
        <v>0</v>
      </c>
      <c r="N1056">
        <v>0</v>
      </c>
      <c r="O1056">
        <v>600</v>
      </c>
      <c r="P1056">
        <v>100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5093.6499999999996</v>
      </c>
      <c r="X1056">
        <v>4363.2</v>
      </c>
      <c r="Y1056">
        <v>500</v>
      </c>
      <c r="Z1056">
        <v>7400</v>
      </c>
      <c r="AA1056">
        <v>100</v>
      </c>
      <c r="AB1056" s="6">
        <v>46147.586388888885</v>
      </c>
      <c r="AC1056" s="6">
        <v>25569.229166666668</v>
      </c>
    </row>
    <row r="1057" spans="1:29" x14ac:dyDescent="0.25">
      <c r="A1057" t="s">
        <v>9</v>
      </c>
      <c r="B1057" s="5">
        <v>46149</v>
      </c>
      <c r="C1057" t="s">
        <v>54</v>
      </c>
      <c r="D1057" t="s">
        <v>1116</v>
      </c>
      <c r="E1057">
        <v>287919109</v>
      </c>
      <c r="F1057" t="s">
        <v>763</v>
      </c>
      <c r="G1057" t="s">
        <v>764</v>
      </c>
      <c r="H1057">
        <v>82500</v>
      </c>
      <c r="I1057" t="s">
        <v>58</v>
      </c>
      <c r="J1057">
        <v>1.6</v>
      </c>
      <c r="K1057">
        <v>-70.09345794392523</v>
      </c>
      <c r="L1057">
        <v>20</v>
      </c>
      <c r="M1057">
        <v>2.4900000000000002</v>
      </c>
      <c r="N1057">
        <v>1219120</v>
      </c>
      <c r="O1057">
        <v>98200</v>
      </c>
      <c r="P1057">
        <v>23740</v>
      </c>
      <c r="Q1057">
        <v>259200</v>
      </c>
      <c r="R1057">
        <v>326060</v>
      </c>
      <c r="S1057">
        <v>259200</v>
      </c>
      <c r="T1057">
        <v>4.45</v>
      </c>
      <c r="U1057">
        <v>4.7</v>
      </c>
      <c r="V1057">
        <v>1.45</v>
      </c>
      <c r="W1057">
        <v>5.35</v>
      </c>
      <c r="X1057">
        <v>1.6</v>
      </c>
      <c r="Y1057">
        <v>540</v>
      </c>
      <c r="Z1057">
        <v>1.65</v>
      </c>
      <c r="AA1057">
        <v>1600</v>
      </c>
      <c r="AB1057" s="6">
        <v>46147.586435185185</v>
      </c>
      <c r="AC1057" s="6">
        <v>46147.586400462962</v>
      </c>
    </row>
    <row r="1058" spans="1:29" x14ac:dyDescent="0.25">
      <c r="A1058" t="s">
        <v>9</v>
      </c>
      <c r="B1058" s="5">
        <v>46149</v>
      </c>
      <c r="C1058" t="s">
        <v>54</v>
      </c>
      <c r="D1058" t="s">
        <v>1117</v>
      </c>
      <c r="E1058">
        <v>288006149</v>
      </c>
      <c r="F1058" t="s">
        <v>763</v>
      </c>
      <c r="G1058" t="s">
        <v>764</v>
      </c>
      <c r="H1058">
        <v>82500</v>
      </c>
      <c r="I1058" t="s">
        <v>60</v>
      </c>
      <c r="J1058">
        <v>5193.55</v>
      </c>
      <c r="K1058">
        <v>0</v>
      </c>
      <c r="L1058">
        <v>0</v>
      </c>
      <c r="M1058">
        <v>0</v>
      </c>
      <c r="N1058">
        <v>0</v>
      </c>
      <c r="O1058">
        <v>960</v>
      </c>
      <c r="P1058">
        <v>960</v>
      </c>
      <c r="Q1058">
        <v>1160</v>
      </c>
      <c r="R1058">
        <v>1160</v>
      </c>
      <c r="S1058">
        <v>1160</v>
      </c>
      <c r="T1058">
        <v>0</v>
      </c>
      <c r="U1058">
        <v>5670.1</v>
      </c>
      <c r="V1058">
        <v>5151</v>
      </c>
      <c r="W1058">
        <v>5193.55</v>
      </c>
      <c r="X1058">
        <v>4582</v>
      </c>
      <c r="Y1058">
        <v>500</v>
      </c>
      <c r="Z1058">
        <v>6193.35</v>
      </c>
      <c r="AA1058">
        <v>500</v>
      </c>
      <c r="AB1058" s="6">
        <v>46147.586354166669</v>
      </c>
      <c r="AC1058" s="6">
        <v>46142.618009259262</v>
      </c>
    </row>
    <row r="1059" spans="1:29" x14ac:dyDescent="0.25">
      <c r="A1059" t="s">
        <v>9</v>
      </c>
      <c r="B1059" s="5">
        <v>46149</v>
      </c>
      <c r="C1059" t="s">
        <v>54</v>
      </c>
      <c r="D1059" t="s">
        <v>1118</v>
      </c>
      <c r="E1059">
        <v>288051717</v>
      </c>
      <c r="F1059" t="s">
        <v>763</v>
      </c>
      <c r="G1059" t="s">
        <v>764</v>
      </c>
      <c r="H1059">
        <v>82600</v>
      </c>
      <c r="I1059" t="s">
        <v>58</v>
      </c>
      <c r="J1059">
        <v>1.95</v>
      </c>
      <c r="K1059">
        <v>-62.857142857142854</v>
      </c>
      <c r="L1059">
        <v>20</v>
      </c>
      <c r="M1059">
        <v>2.5099999999999998</v>
      </c>
      <c r="N1059">
        <v>53180</v>
      </c>
      <c r="O1059">
        <v>49220</v>
      </c>
      <c r="P1059">
        <v>9500</v>
      </c>
      <c r="Q1059">
        <v>9140</v>
      </c>
      <c r="R1059">
        <v>9480</v>
      </c>
      <c r="S1059">
        <v>7620</v>
      </c>
      <c r="T1059">
        <v>5.25</v>
      </c>
      <c r="U1059">
        <v>5.25</v>
      </c>
      <c r="V1059">
        <v>1.35</v>
      </c>
      <c r="W1059">
        <v>5.25</v>
      </c>
      <c r="X1059">
        <v>1.4</v>
      </c>
      <c r="Y1059">
        <v>20</v>
      </c>
      <c r="Z1059">
        <v>1.6</v>
      </c>
      <c r="AA1059">
        <v>200</v>
      </c>
      <c r="AB1059" s="6">
        <v>46147.586446759262</v>
      </c>
      <c r="AC1059" s="6">
        <v>46147.586145833331</v>
      </c>
    </row>
    <row r="1060" spans="1:29" x14ac:dyDescent="0.25">
      <c r="A1060" t="s">
        <v>9</v>
      </c>
      <c r="B1060" s="5">
        <v>46149</v>
      </c>
      <c r="C1060" t="s">
        <v>54</v>
      </c>
      <c r="D1060" t="s">
        <v>1119</v>
      </c>
      <c r="E1060">
        <v>287903493</v>
      </c>
      <c r="F1060" t="s">
        <v>763</v>
      </c>
      <c r="G1060" t="s">
        <v>764</v>
      </c>
      <c r="H1060">
        <v>82600</v>
      </c>
      <c r="I1060" t="s">
        <v>60</v>
      </c>
      <c r="J1060">
        <v>5293.45</v>
      </c>
      <c r="K1060">
        <v>0</v>
      </c>
      <c r="L1060">
        <v>0</v>
      </c>
      <c r="M1060">
        <v>0</v>
      </c>
      <c r="N1060">
        <v>0</v>
      </c>
      <c r="O1060">
        <v>600</v>
      </c>
      <c r="P1060">
        <v>600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5293.45</v>
      </c>
      <c r="X1060">
        <v>4556.6499999999996</v>
      </c>
      <c r="Y1060">
        <v>500</v>
      </c>
      <c r="Z1060">
        <v>6408.8</v>
      </c>
      <c r="AA1060">
        <v>500</v>
      </c>
      <c r="AB1060" s="6">
        <v>46147.586365740739</v>
      </c>
      <c r="AC1060" s="6">
        <v>25569.229166666668</v>
      </c>
    </row>
    <row r="1061" spans="1:29" x14ac:dyDescent="0.25">
      <c r="A1061" t="s">
        <v>9</v>
      </c>
      <c r="B1061" s="5">
        <v>46149</v>
      </c>
      <c r="C1061" t="s">
        <v>54</v>
      </c>
      <c r="D1061" t="s">
        <v>1120</v>
      </c>
      <c r="E1061">
        <v>287944965</v>
      </c>
      <c r="F1061" t="s">
        <v>763</v>
      </c>
      <c r="G1061" t="s">
        <v>764</v>
      </c>
      <c r="H1061">
        <v>82700</v>
      </c>
      <c r="I1061" t="s">
        <v>58</v>
      </c>
      <c r="J1061">
        <v>1.75</v>
      </c>
      <c r="K1061">
        <v>-63.541666666666671</v>
      </c>
      <c r="L1061">
        <v>20</v>
      </c>
      <c r="M1061">
        <v>2.5099999999999998</v>
      </c>
      <c r="N1061">
        <v>44140</v>
      </c>
      <c r="O1061">
        <v>45500</v>
      </c>
      <c r="P1061">
        <v>11280</v>
      </c>
      <c r="Q1061">
        <v>8320</v>
      </c>
      <c r="R1061">
        <v>11580</v>
      </c>
      <c r="S1061">
        <v>6960</v>
      </c>
      <c r="T1061">
        <v>4.05</v>
      </c>
      <c r="U1061">
        <v>4.5999999999999996</v>
      </c>
      <c r="V1061">
        <v>1.6</v>
      </c>
      <c r="W1061">
        <v>4.8</v>
      </c>
      <c r="X1061">
        <v>1.7</v>
      </c>
      <c r="Y1061">
        <v>200</v>
      </c>
      <c r="Z1061">
        <v>1.75</v>
      </c>
      <c r="AA1061">
        <v>440</v>
      </c>
      <c r="AB1061" s="6">
        <v>46147.586423611108</v>
      </c>
      <c r="AC1061" s="6">
        <v>46147.586238425924</v>
      </c>
    </row>
    <row r="1062" spans="1:29" x14ac:dyDescent="0.25">
      <c r="A1062" t="s">
        <v>9</v>
      </c>
      <c r="B1062" s="5">
        <v>46149</v>
      </c>
      <c r="C1062" t="s">
        <v>54</v>
      </c>
      <c r="D1062" t="s">
        <v>1121</v>
      </c>
      <c r="E1062">
        <v>288034821</v>
      </c>
      <c r="F1062" t="s">
        <v>763</v>
      </c>
      <c r="G1062" t="s">
        <v>764</v>
      </c>
      <c r="H1062">
        <v>82700</v>
      </c>
      <c r="I1062" t="s">
        <v>60</v>
      </c>
      <c r="J1062">
        <v>5393.35</v>
      </c>
      <c r="K1062">
        <v>0</v>
      </c>
      <c r="L1062">
        <v>0</v>
      </c>
      <c r="M1062">
        <v>0</v>
      </c>
      <c r="N1062">
        <v>0</v>
      </c>
      <c r="O1062">
        <v>600</v>
      </c>
      <c r="P1062">
        <v>600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5393.35</v>
      </c>
      <c r="X1062">
        <v>4655.75</v>
      </c>
      <c r="Y1062">
        <v>500</v>
      </c>
      <c r="Z1062">
        <v>6507.85</v>
      </c>
      <c r="AA1062">
        <v>500</v>
      </c>
      <c r="AB1062" s="6">
        <v>46147.586365740739</v>
      </c>
      <c r="AC1062" s="6">
        <v>25569.229166666668</v>
      </c>
    </row>
    <row r="1063" spans="1:29" x14ac:dyDescent="0.25">
      <c r="A1063" t="s">
        <v>9</v>
      </c>
      <c r="B1063" s="5">
        <v>46149</v>
      </c>
      <c r="C1063" t="s">
        <v>54</v>
      </c>
      <c r="D1063" t="s">
        <v>1122</v>
      </c>
      <c r="E1063">
        <v>287841285</v>
      </c>
      <c r="F1063" t="s">
        <v>763</v>
      </c>
      <c r="G1063" t="s">
        <v>764</v>
      </c>
      <c r="H1063">
        <v>82800</v>
      </c>
      <c r="I1063" t="s">
        <v>58</v>
      </c>
      <c r="J1063">
        <v>1.7</v>
      </c>
      <c r="K1063">
        <v>-66.666666666666657</v>
      </c>
      <c r="L1063">
        <v>540</v>
      </c>
      <c r="M1063">
        <v>2.48</v>
      </c>
      <c r="N1063">
        <v>111600</v>
      </c>
      <c r="O1063">
        <v>55520</v>
      </c>
      <c r="P1063">
        <v>13880</v>
      </c>
      <c r="Q1063">
        <v>36440</v>
      </c>
      <c r="R1063">
        <v>39700</v>
      </c>
      <c r="S1063">
        <v>16800</v>
      </c>
      <c r="T1063">
        <v>5.15</v>
      </c>
      <c r="U1063">
        <v>5.15</v>
      </c>
      <c r="V1063">
        <v>1.55</v>
      </c>
      <c r="W1063">
        <v>5.0999999999999996</v>
      </c>
      <c r="X1063">
        <v>1.65</v>
      </c>
      <c r="Y1063">
        <v>180</v>
      </c>
      <c r="Z1063">
        <v>1.7</v>
      </c>
      <c r="AA1063">
        <v>360</v>
      </c>
      <c r="AB1063" s="6">
        <v>46147.586446759262</v>
      </c>
      <c r="AC1063" s="6">
        <v>46147.586365740739</v>
      </c>
    </row>
    <row r="1064" spans="1:29" x14ac:dyDescent="0.25">
      <c r="A1064" t="s">
        <v>9</v>
      </c>
      <c r="B1064" s="5">
        <v>46149</v>
      </c>
      <c r="C1064" t="s">
        <v>54</v>
      </c>
      <c r="D1064" t="s">
        <v>1123</v>
      </c>
      <c r="E1064">
        <v>287931653</v>
      </c>
      <c r="F1064" t="s">
        <v>763</v>
      </c>
      <c r="G1064" t="s">
        <v>764</v>
      </c>
      <c r="H1064">
        <v>82800</v>
      </c>
      <c r="I1064" t="s">
        <v>60</v>
      </c>
      <c r="J1064">
        <v>5493.3</v>
      </c>
      <c r="K1064">
        <v>0</v>
      </c>
      <c r="L1064">
        <v>0</v>
      </c>
      <c r="M1064">
        <v>0</v>
      </c>
      <c r="N1064">
        <v>0</v>
      </c>
      <c r="O1064">
        <v>600</v>
      </c>
      <c r="P1064">
        <v>600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5493.3</v>
      </c>
      <c r="X1064">
        <v>4754.8500000000004</v>
      </c>
      <c r="Y1064">
        <v>500</v>
      </c>
      <c r="Z1064">
        <v>6607.05</v>
      </c>
      <c r="AA1064">
        <v>500</v>
      </c>
      <c r="AB1064" s="6">
        <v>46147.586365740739</v>
      </c>
      <c r="AC1064" s="6">
        <v>25569.229166666668</v>
      </c>
    </row>
    <row r="1065" spans="1:29" x14ac:dyDescent="0.25">
      <c r="A1065" t="s">
        <v>9</v>
      </c>
      <c r="B1065" s="5">
        <v>46149</v>
      </c>
      <c r="C1065" t="s">
        <v>54</v>
      </c>
      <c r="D1065" t="s">
        <v>1124</v>
      </c>
      <c r="E1065">
        <v>287968773</v>
      </c>
      <c r="F1065" t="s">
        <v>763</v>
      </c>
      <c r="G1065" t="s">
        <v>764</v>
      </c>
      <c r="H1065">
        <v>82900</v>
      </c>
      <c r="I1065" t="s">
        <v>58</v>
      </c>
      <c r="J1065">
        <v>1.6</v>
      </c>
      <c r="K1065">
        <v>-67.010309278350505</v>
      </c>
      <c r="L1065">
        <v>20</v>
      </c>
      <c r="M1065">
        <v>2.5099999999999998</v>
      </c>
      <c r="N1065">
        <v>250040</v>
      </c>
      <c r="O1065">
        <v>51900</v>
      </c>
      <c r="P1065">
        <v>16300</v>
      </c>
      <c r="Q1065">
        <v>27140</v>
      </c>
      <c r="R1065">
        <v>69360</v>
      </c>
      <c r="S1065">
        <v>23820</v>
      </c>
      <c r="T1065">
        <v>5</v>
      </c>
      <c r="U1065">
        <v>5</v>
      </c>
      <c r="V1065">
        <v>1.5</v>
      </c>
      <c r="W1065">
        <v>4.8499999999999996</v>
      </c>
      <c r="X1065">
        <v>1.6</v>
      </c>
      <c r="Y1065">
        <v>800</v>
      </c>
      <c r="Z1065">
        <v>1.75</v>
      </c>
      <c r="AA1065">
        <v>660</v>
      </c>
      <c r="AB1065" s="6">
        <v>46147.586435185185</v>
      </c>
      <c r="AC1065" s="6">
        <v>46147.586215277777</v>
      </c>
    </row>
    <row r="1066" spans="1:29" x14ac:dyDescent="0.25">
      <c r="A1066" t="s">
        <v>9</v>
      </c>
      <c r="B1066" s="5">
        <v>46149</v>
      </c>
      <c r="C1066" t="s">
        <v>54</v>
      </c>
      <c r="D1066" t="s">
        <v>1125</v>
      </c>
      <c r="E1066">
        <v>288062213</v>
      </c>
      <c r="F1066" t="s">
        <v>763</v>
      </c>
      <c r="G1066" t="s">
        <v>764</v>
      </c>
      <c r="H1066">
        <v>82900</v>
      </c>
      <c r="I1066" t="s">
        <v>60</v>
      </c>
      <c r="J1066">
        <v>5593.25</v>
      </c>
      <c r="K1066">
        <v>0</v>
      </c>
      <c r="L1066">
        <v>0</v>
      </c>
      <c r="M1066">
        <v>0</v>
      </c>
      <c r="N1066">
        <v>0</v>
      </c>
      <c r="O1066">
        <v>600</v>
      </c>
      <c r="P1066">
        <v>600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5593.25</v>
      </c>
      <c r="X1066">
        <v>4854.1499999999996</v>
      </c>
      <c r="Y1066">
        <v>500</v>
      </c>
      <c r="Z1066">
        <v>6707.25</v>
      </c>
      <c r="AA1066">
        <v>500</v>
      </c>
      <c r="AB1066" s="6">
        <v>46147.586354166669</v>
      </c>
      <c r="AC1066" s="6">
        <v>25569.229166666668</v>
      </c>
    </row>
    <row r="1067" spans="1:29" x14ac:dyDescent="0.25">
      <c r="A1067" t="s">
        <v>9</v>
      </c>
      <c r="B1067" s="5">
        <v>46149</v>
      </c>
      <c r="C1067" t="s">
        <v>54</v>
      </c>
      <c r="D1067" t="s">
        <v>1126</v>
      </c>
      <c r="E1067">
        <v>287798277</v>
      </c>
      <c r="F1067" t="s">
        <v>763</v>
      </c>
      <c r="G1067" t="s">
        <v>764</v>
      </c>
      <c r="H1067">
        <v>83000</v>
      </c>
      <c r="I1067" t="s">
        <v>58</v>
      </c>
      <c r="J1067">
        <v>1.3</v>
      </c>
      <c r="K1067">
        <v>-69.047619047619065</v>
      </c>
      <c r="L1067">
        <v>20</v>
      </c>
      <c r="M1067">
        <v>2.27</v>
      </c>
      <c r="N1067">
        <v>1133080</v>
      </c>
      <c r="O1067">
        <v>166280</v>
      </c>
      <c r="P1067">
        <v>87000</v>
      </c>
      <c r="Q1067">
        <v>310060</v>
      </c>
      <c r="R1067">
        <v>453800</v>
      </c>
      <c r="S1067">
        <v>298460</v>
      </c>
      <c r="T1067">
        <v>3.85</v>
      </c>
      <c r="U1067">
        <v>3.9</v>
      </c>
      <c r="V1067">
        <v>1.3</v>
      </c>
      <c r="W1067">
        <v>4.2</v>
      </c>
      <c r="X1067">
        <v>1.3</v>
      </c>
      <c r="Y1067">
        <v>1480</v>
      </c>
      <c r="Z1067">
        <v>1.35</v>
      </c>
      <c r="AA1067">
        <v>8140</v>
      </c>
      <c r="AB1067" s="6">
        <v>46147.586458333331</v>
      </c>
      <c r="AC1067" s="6">
        <v>46147.586354166669</v>
      </c>
    </row>
    <row r="1068" spans="1:29" x14ac:dyDescent="0.25">
      <c r="A1068" t="s">
        <v>9</v>
      </c>
      <c r="B1068" s="5">
        <v>46149</v>
      </c>
      <c r="C1068" t="s">
        <v>54</v>
      </c>
      <c r="D1068" t="s">
        <v>1127</v>
      </c>
      <c r="E1068">
        <v>287886085</v>
      </c>
      <c r="F1068" t="s">
        <v>763</v>
      </c>
      <c r="G1068" t="s">
        <v>764</v>
      </c>
      <c r="H1068">
        <v>83000</v>
      </c>
      <c r="I1068" t="s">
        <v>60</v>
      </c>
      <c r="J1068">
        <v>6179.35</v>
      </c>
      <c r="K1068">
        <v>19.987378640776704</v>
      </c>
      <c r="L1068">
        <v>20</v>
      </c>
      <c r="M1068">
        <v>6267.99</v>
      </c>
      <c r="N1068">
        <v>200</v>
      </c>
      <c r="O1068">
        <v>720</v>
      </c>
      <c r="P1068">
        <v>1080</v>
      </c>
      <c r="Q1068">
        <v>16260</v>
      </c>
      <c r="R1068">
        <v>16380</v>
      </c>
      <c r="S1068">
        <v>16260</v>
      </c>
      <c r="T1068">
        <v>6305.05</v>
      </c>
      <c r="U1068">
        <v>6305.05</v>
      </c>
      <c r="V1068">
        <v>6179.35</v>
      </c>
      <c r="W1068">
        <v>5150</v>
      </c>
      <c r="X1068">
        <v>5884.25</v>
      </c>
      <c r="Y1068">
        <v>20</v>
      </c>
      <c r="Z1068">
        <v>5924.4</v>
      </c>
      <c r="AA1068">
        <v>20</v>
      </c>
      <c r="AB1068" s="6">
        <v>46147.586458333331</v>
      </c>
      <c r="AC1068" s="6">
        <v>46147.526238425926</v>
      </c>
    </row>
    <row r="1069" spans="1:29" x14ac:dyDescent="0.25">
      <c r="A1069" t="s">
        <v>9</v>
      </c>
      <c r="B1069" s="5">
        <v>46149</v>
      </c>
      <c r="C1069" t="s">
        <v>54</v>
      </c>
      <c r="D1069" t="s">
        <v>1128</v>
      </c>
      <c r="E1069">
        <v>288122373</v>
      </c>
      <c r="F1069" t="s">
        <v>763</v>
      </c>
      <c r="G1069" t="s">
        <v>764</v>
      </c>
      <c r="H1069">
        <v>83100</v>
      </c>
      <c r="I1069" t="s">
        <v>58</v>
      </c>
      <c r="J1069">
        <v>1.5</v>
      </c>
      <c r="K1069">
        <v>-65.116279069767444</v>
      </c>
      <c r="L1069">
        <v>60</v>
      </c>
      <c r="M1069">
        <v>2.2799999999999998</v>
      </c>
      <c r="N1069">
        <v>246500</v>
      </c>
      <c r="O1069">
        <v>48800</v>
      </c>
      <c r="P1069">
        <v>60820</v>
      </c>
      <c r="Q1069">
        <v>140100</v>
      </c>
      <c r="R1069">
        <v>143220</v>
      </c>
      <c r="S1069">
        <v>73740</v>
      </c>
      <c r="T1069">
        <v>4.25</v>
      </c>
      <c r="U1069">
        <v>4.25</v>
      </c>
      <c r="V1069">
        <v>1.5</v>
      </c>
      <c r="W1069">
        <v>4.3</v>
      </c>
      <c r="X1069">
        <v>1.5</v>
      </c>
      <c r="Y1069">
        <v>160</v>
      </c>
      <c r="Z1069">
        <v>1.65</v>
      </c>
      <c r="AA1069">
        <v>980</v>
      </c>
      <c r="AB1069" s="6">
        <v>46147.586423611108</v>
      </c>
      <c r="AC1069" s="6">
        <v>46147.586365740739</v>
      </c>
    </row>
    <row r="1070" spans="1:29" x14ac:dyDescent="0.25">
      <c r="A1070" t="s">
        <v>9</v>
      </c>
      <c r="B1070" s="5">
        <v>46149</v>
      </c>
      <c r="C1070" t="s">
        <v>54</v>
      </c>
      <c r="D1070" t="s">
        <v>1129</v>
      </c>
      <c r="E1070">
        <v>287776773</v>
      </c>
      <c r="F1070" t="s">
        <v>763</v>
      </c>
      <c r="G1070" t="s">
        <v>764</v>
      </c>
      <c r="H1070">
        <v>83100</v>
      </c>
      <c r="I1070" t="s">
        <v>60</v>
      </c>
      <c r="J1070">
        <v>5793.1</v>
      </c>
      <c r="K1070">
        <v>0</v>
      </c>
      <c r="L1070">
        <v>0</v>
      </c>
      <c r="M1070">
        <v>0</v>
      </c>
      <c r="N1070">
        <v>0</v>
      </c>
      <c r="O1070">
        <v>600</v>
      </c>
      <c r="P1070">
        <v>600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5793.1</v>
      </c>
      <c r="X1070">
        <v>5053.55</v>
      </c>
      <c r="Y1070">
        <v>500</v>
      </c>
      <c r="Z1070">
        <v>6906.3</v>
      </c>
      <c r="AA1070">
        <v>500</v>
      </c>
      <c r="AB1070" s="6">
        <v>46147.586354166669</v>
      </c>
      <c r="AC1070" s="6">
        <v>25569.229166666668</v>
      </c>
    </row>
    <row r="1071" spans="1:29" x14ac:dyDescent="0.25">
      <c r="A1071" t="s">
        <v>9</v>
      </c>
      <c r="B1071" s="5">
        <v>46149</v>
      </c>
      <c r="C1071" t="s">
        <v>54</v>
      </c>
      <c r="D1071" t="s">
        <v>1130</v>
      </c>
      <c r="E1071">
        <v>287824901</v>
      </c>
      <c r="F1071" t="s">
        <v>763</v>
      </c>
      <c r="G1071" t="s">
        <v>764</v>
      </c>
      <c r="H1071">
        <v>83200</v>
      </c>
      <c r="I1071" t="s">
        <v>58</v>
      </c>
      <c r="J1071">
        <v>1.4</v>
      </c>
      <c r="K1071">
        <v>-63.63636363636364</v>
      </c>
      <c r="L1071">
        <v>40</v>
      </c>
      <c r="M1071">
        <v>2.31</v>
      </c>
      <c r="N1071">
        <v>178500</v>
      </c>
      <c r="O1071">
        <v>50640</v>
      </c>
      <c r="P1071">
        <v>31300</v>
      </c>
      <c r="Q1071">
        <v>27780</v>
      </c>
      <c r="R1071">
        <v>52200</v>
      </c>
      <c r="S1071">
        <v>26940</v>
      </c>
      <c r="T1071">
        <v>4.95</v>
      </c>
      <c r="U1071">
        <v>4.95</v>
      </c>
      <c r="V1071">
        <v>1</v>
      </c>
      <c r="W1071">
        <v>3.85</v>
      </c>
      <c r="X1071">
        <v>1.35</v>
      </c>
      <c r="Y1071">
        <v>3500</v>
      </c>
      <c r="Z1071">
        <v>1.4</v>
      </c>
      <c r="AA1071">
        <v>1080</v>
      </c>
      <c r="AB1071" s="6">
        <v>46147.586458333331</v>
      </c>
      <c r="AC1071" s="6">
        <v>46147.586400462962</v>
      </c>
    </row>
    <row r="1072" spans="1:29" x14ac:dyDescent="0.25">
      <c r="A1072" t="s">
        <v>9</v>
      </c>
      <c r="B1072" s="5">
        <v>46149</v>
      </c>
      <c r="C1072" t="s">
        <v>54</v>
      </c>
      <c r="D1072" t="s">
        <v>1131</v>
      </c>
      <c r="E1072">
        <v>287914757</v>
      </c>
      <c r="F1072" t="s">
        <v>763</v>
      </c>
      <c r="G1072" t="s">
        <v>764</v>
      </c>
      <c r="H1072">
        <v>83200</v>
      </c>
      <c r="I1072" t="s">
        <v>60</v>
      </c>
      <c r="J1072">
        <v>5893.05</v>
      </c>
      <c r="K1072">
        <v>0</v>
      </c>
      <c r="L1072">
        <v>0</v>
      </c>
      <c r="M1072">
        <v>0</v>
      </c>
      <c r="N1072">
        <v>0</v>
      </c>
      <c r="O1072">
        <v>760</v>
      </c>
      <c r="P1072">
        <v>760</v>
      </c>
      <c r="Q1072">
        <v>100</v>
      </c>
      <c r="R1072">
        <v>100</v>
      </c>
      <c r="S1072">
        <v>100</v>
      </c>
      <c r="T1072">
        <v>0</v>
      </c>
      <c r="U1072">
        <v>4600</v>
      </c>
      <c r="V1072">
        <v>4600</v>
      </c>
      <c r="W1072">
        <v>5893.05</v>
      </c>
      <c r="X1072">
        <v>5285.6</v>
      </c>
      <c r="Y1072">
        <v>500</v>
      </c>
      <c r="Z1072">
        <v>6876.45</v>
      </c>
      <c r="AA1072">
        <v>500</v>
      </c>
      <c r="AB1072" s="6">
        <v>46147.586365740739</v>
      </c>
      <c r="AC1072" s="6">
        <v>46134.432129629633</v>
      </c>
    </row>
    <row r="1073" spans="1:29" x14ac:dyDescent="0.25">
      <c r="A1073" t="s">
        <v>9</v>
      </c>
      <c r="B1073" s="5">
        <v>46149</v>
      </c>
      <c r="C1073" t="s">
        <v>54</v>
      </c>
      <c r="D1073" t="s">
        <v>1132</v>
      </c>
      <c r="E1073">
        <v>288154373</v>
      </c>
      <c r="F1073" t="s">
        <v>763</v>
      </c>
      <c r="G1073" t="s">
        <v>764</v>
      </c>
      <c r="H1073">
        <v>83300</v>
      </c>
      <c r="I1073" t="s">
        <v>58</v>
      </c>
      <c r="J1073">
        <v>1.1000000000000001</v>
      </c>
      <c r="K1073">
        <v>-70.270270270270274</v>
      </c>
      <c r="L1073">
        <v>60</v>
      </c>
      <c r="M1073">
        <v>2.04</v>
      </c>
      <c r="N1073">
        <v>32400</v>
      </c>
      <c r="O1073">
        <v>46920</v>
      </c>
      <c r="P1073">
        <v>10760</v>
      </c>
      <c r="Q1073">
        <v>3980</v>
      </c>
      <c r="R1073">
        <v>10300</v>
      </c>
      <c r="S1073">
        <v>3880</v>
      </c>
      <c r="T1073">
        <v>4.95</v>
      </c>
      <c r="U1073">
        <v>4.95</v>
      </c>
      <c r="V1073">
        <v>1.1000000000000001</v>
      </c>
      <c r="W1073">
        <v>3.7</v>
      </c>
      <c r="X1073">
        <v>1.1499999999999999</v>
      </c>
      <c r="Y1073">
        <v>40</v>
      </c>
      <c r="Z1073">
        <v>1.55</v>
      </c>
      <c r="AA1073">
        <v>80</v>
      </c>
      <c r="AB1073" s="6">
        <v>46147.586423611108</v>
      </c>
      <c r="AC1073" s="6">
        <v>46147.586111111108</v>
      </c>
    </row>
    <row r="1074" spans="1:29" x14ac:dyDescent="0.25">
      <c r="A1074" t="s">
        <v>9</v>
      </c>
      <c r="B1074" s="5">
        <v>46149</v>
      </c>
      <c r="C1074" t="s">
        <v>54</v>
      </c>
      <c r="D1074" t="s">
        <v>1133</v>
      </c>
      <c r="E1074">
        <v>287809029</v>
      </c>
      <c r="F1074" t="s">
        <v>763</v>
      </c>
      <c r="G1074" t="s">
        <v>764</v>
      </c>
      <c r="H1074">
        <v>83300</v>
      </c>
      <c r="I1074" t="s">
        <v>60</v>
      </c>
      <c r="J1074">
        <v>5993</v>
      </c>
      <c r="K1074">
        <v>0</v>
      </c>
      <c r="L1074">
        <v>0</v>
      </c>
      <c r="M1074">
        <v>0</v>
      </c>
      <c r="N1074">
        <v>0</v>
      </c>
      <c r="O1074">
        <v>600</v>
      </c>
      <c r="P1074">
        <v>600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5993</v>
      </c>
      <c r="X1074">
        <v>5256.45</v>
      </c>
      <c r="Y1074">
        <v>500</v>
      </c>
      <c r="Z1074">
        <v>7109.95</v>
      </c>
      <c r="AA1074">
        <v>500</v>
      </c>
      <c r="AB1074" s="6">
        <v>46147.586365740739</v>
      </c>
      <c r="AC1074" s="6">
        <v>25569.229166666668</v>
      </c>
    </row>
    <row r="1075" spans="1:29" x14ac:dyDescent="0.25">
      <c r="A1075" t="s">
        <v>9</v>
      </c>
      <c r="B1075" s="5">
        <v>46149</v>
      </c>
      <c r="C1075" t="s">
        <v>54</v>
      </c>
      <c r="D1075" t="s">
        <v>1134</v>
      </c>
      <c r="E1075">
        <v>287850501</v>
      </c>
      <c r="F1075" t="s">
        <v>763</v>
      </c>
      <c r="G1075" t="s">
        <v>764</v>
      </c>
      <c r="H1075">
        <v>83400</v>
      </c>
      <c r="I1075" t="s">
        <v>58</v>
      </c>
      <c r="J1075">
        <v>1.4</v>
      </c>
      <c r="K1075">
        <v>-58.82352941176471</v>
      </c>
      <c r="L1075">
        <v>20</v>
      </c>
      <c r="M1075">
        <v>2.0699999999999998</v>
      </c>
      <c r="N1075">
        <v>39500</v>
      </c>
      <c r="O1075">
        <v>56180</v>
      </c>
      <c r="P1075">
        <v>12060</v>
      </c>
      <c r="Q1075">
        <v>8640</v>
      </c>
      <c r="R1075">
        <v>12360</v>
      </c>
      <c r="S1075">
        <v>8640</v>
      </c>
      <c r="T1075">
        <v>3</v>
      </c>
      <c r="U1075">
        <v>3.3</v>
      </c>
      <c r="V1075">
        <v>1.2</v>
      </c>
      <c r="W1075">
        <v>3.4</v>
      </c>
      <c r="X1075">
        <v>1.35</v>
      </c>
      <c r="Y1075">
        <v>60</v>
      </c>
      <c r="Z1075">
        <v>1.55</v>
      </c>
      <c r="AA1075">
        <v>280</v>
      </c>
      <c r="AB1075" s="6">
        <v>46147.586458333331</v>
      </c>
      <c r="AC1075" s="6">
        <v>46147.585914351854</v>
      </c>
    </row>
    <row r="1076" spans="1:29" x14ac:dyDescent="0.25">
      <c r="A1076" t="s">
        <v>9</v>
      </c>
      <c r="B1076" s="5">
        <v>46149</v>
      </c>
      <c r="C1076" t="s">
        <v>54</v>
      </c>
      <c r="D1076" t="s">
        <v>1135</v>
      </c>
      <c r="E1076">
        <v>288139781</v>
      </c>
      <c r="F1076" t="s">
        <v>763</v>
      </c>
      <c r="G1076" t="s">
        <v>764</v>
      </c>
      <c r="H1076">
        <v>83400</v>
      </c>
      <c r="I1076" t="s">
        <v>60</v>
      </c>
      <c r="J1076">
        <v>6092.95</v>
      </c>
      <c r="K1076">
        <v>0</v>
      </c>
      <c r="L1076">
        <v>0</v>
      </c>
      <c r="M1076">
        <v>0</v>
      </c>
      <c r="N1076">
        <v>0</v>
      </c>
      <c r="O1076">
        <v>600</v>
      </c>
      <c r="P1076">
        <v>600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6092.95</v>
      </c>
      <c r="X1076">
        <v>5356.35</v>
      </c>
      <c r="Y1076">
        <v>500</v>
      </c>
      <c r="Z1076">
        <v>7209</v>
      </c>
      <c r="AA1076">
        <v>500</v>
      </c>
      <c r="AB1076" s="6">
        <v>46147.586365740739</v>
      </c>
      <c r="AC1076" s="6">
        <v>25569.229166666668</v>
      </c>
    </row>
    <row r="1077" spans="1:29" x14ac:dyDescent="0.25">
      <c r="A1077" t="s">
        <v>9</v>
      </c>
      <c r="B1077" s="5">
        <v>46149</v>
      </c>
      <c r="C1077" t="s">
        <v>54</v>
      </c>
      <c r="D1077" t="s">
        <v>1136</v>
      </c>
      <c r="E1077">
        <v>287731205</v>
      </c>
      <c r="F1077" t="s">
        <v>763</v>
      </c>
      <c r="G1077" t="s">
        <v>764</v>
      </c>
      <c r="H1077">
        <v>83500</v>
      </c>
      <c r="I1077" t="s">
        <v>58</v>
      </c>
      <c r="J1077">
        <v>1.1499999999999999</v>
      </c>
      <c r="K1077">
        <v>-65.151515151515156</v>
      </c>
      <c r="L1077">
        <v>20</v>
      </c>
      <c r="M1077">
        <v>1.89</v>
      </c>
      <c r="N1077">
        <v>382100</v>
      </c>
      <c r="O1077">
        <v>56740</v>
      </c>
      <c r="P1077">
        <v>28800</v>
      </c>
      <c r="Q1077">
        <v>73700</v>
      </c>
      <c r="R1077">
        <v>108460</v>
      </c>
      <c r="S1077">
        <v>72540</v>
      </c>
      <c r="T1077">
        <v>3.35</v>
      </c>
      <c r="U1077">
        <v>3.35</v>
      </c>
      <c r="V1077">
        <v>1.1499999999999999</v>
      </c>
      <c r="W1077">
        <v>3.3</v>
      </c>
      <c r="X1077">
        <v>1.1499999999999999</v>
      </c>
      <c r="Y1077">
        <v>1320</v>
      </c>
      <c r="Z1077">
        <v>1.2</v>
      </c>
      <c r="AA1077">
        <v>2200</v>
      </c>
      <c r="AB1077" s="6">
        <v>46147.586423611108</v>
      </c>
      <c r="AC1077" s="6">
        <v>46147.586215277777</v>
      </c>
    </row>
    <row r="1078" spans="1:29" x14ac:dyDescent="0.25">
      <c r="A1078" t="s">
        <v>9</v>
      </c>
      <c r="B1078" s="5">
        <v>46149</v>
      </c>
      <c r="C1078" t="s">
        <v>54</v>
      </c>
      <c r="D1078" t="s">
        <v>1137</v>
      </c>
      <c r="E1078">
        <v>287835397</v>
      </c>
      <c r="F1078" t="s">
        <v>763</v>
      </c>
      <c r="G1078" t="s">
        <v>764</v>
      </c>
      <c r="H1078">
        <v>83500</v>
      </c>
      <c r="I1078" t="s">
        <v>60</v>
      </c>
      <c r="J1078">
        <v>6192.9</v>
      </c>
      <c r="K1078">
        <v>0</v>
      </c>
      <c r="L1078">
        <v>0</v>
      </c>
      <c r="M1078">
        <v>0</v>
      </c>
      <c r="N1078">
        <v>0</v>
      </c>
      <c r="O1078">
        <v>960</v>
      </c>
      <c r="P1078">
        <v>960</v>
      </c>
      <c r="Q1078">
        <v>40</v>
      </c>
      <c r="R1078">
        <v>40</v>
      </c>
      <c r="S1078">
        <v>40</v>
      </c>
      <c r="T1078">
        <v>0</v>
      </c>
      <c r="U1078">
        <v>6200</v>
      </c>
      <c r="V1078">
        <v>6166.2</v>
      </c>
      <c r="W1078">
        <v>6192.9</v>
      </c>
      <c r="X1078">
        <v>5582.95</v>
      </c>
      <c r="Y1078">
        <v>500</v>
      </c>
      <c r="Z1078">
        <v>7186.45</v>
      </c>
      <c r="AA1078">
        <v>500</v>
      </c>
      <c r="AB1078" s="6">
        <v>46147.586354166669</v>
      </c>
      <c r="AC1078" s="6">
        <v>46142.58252314815</v>
      </c>
    </row>
    <row r="1079" spans="1:29" x14ac:dyDescent="0.25">
      <c r="A1079" t="s">
        <v>9</v>
      </c>
      <c r="B1079" s="5">
        <v>46149</v>
      </c>
      <c r="C1079" t="s">
        <v>54</v>
      </c>
      <c r="D1079" t="s">
        <v>1138</v>
      </c>
      <c r="E1079">
        <v>288065029</v>
      </c>
      <c r="F1079" t="s">
        <v>763</v>
      </c>
      <c r="G1079" t="s">
        <v>764</v>
      </c>
      <c r="H1079">
        <v>83600</v>
      </c>
      <c r="I1079" t="s">
        <v>58</v>
      </c>
      <c r="J1079">
        <v>1.5</v>
      </c>
      <c r="K1079">
        <v>-56.521739130434788</v>
      </c>
      <c r="L1079">
        <v>20</v>
      </c>
      <c r="M1079">
        <v>2.04</v>
      </c>
      <c r="N1079">
        <v>22900</v>
      </c>
      <c r="O1079">
        <v>53020</v>
      </c>
      <c r="P1079">
        <v>13060</v>
      </c>
      <c r="Q1079">
        <v>11800</v>
      </c>
      <c r="R1079">
        <v>11960</v>
      </c>
      <c r="S1079">
        <v>5220</v>
      </c>
      <c r="T1079">
        <v>3</v>
      </c>
      <c r="U1079">
        <v>3</v>
      </c>
      <c r="V1079">
        <v>1.25</v>
      </c>
      <c r="W1079">
        <v>3.45</v>
      </c>
      <c r="X1079">
        <v>1.25</v>
      </c>
      <c r="Y1079">
        <v>460</v>
      </c>
      <c r="Z1079">
        <v>1.35</v>
      </c>
      <c r="AA1079">
        <v>40</v>
      </c>
      <c r="AB1079" s="6">
        <v>46147.586458333331</v>
      </c>
      <c r="AC1079" s="6">
        <v>46147.586226851854</v>
      </c>
    </row>
    <row r="1080" spans="1:29" x14ac:dyDescent="0.25">
      <c r="A1080" t="s">
        <v>9</v>
      </c>
      <c r="B1080" s="5">
        <v>46149</v>
      </c>
      <c r="C1080" t="s">
        <v>54</v>
      </c>
      <c r="D1080" t="s">
        <v>1139</v>
      </c>
      <c r="E1080">
        <v>287717893</v>
      </c>
      <c r="F1080" t="s">
        <v>763</v>
      </c>
      <c r="G1080" t="s">
        <v>764</v>
      </c>
      <c r="H1080">
        <v>83600</v>
      </c>
      <c r="I1080" t="s">
        <v>60</v>
      </c>
      <c r="J1080">
        <v>6292.85</v>
      </c>
      <c r="K1080">
        <v>0</v>
      </c>
      <c r="L1080">
        <v>0</v>
      </c>
      <c r="M1080">
        <v>0</v>
      </c>
      <c r="N1080">
        <v>0</v>
      </c>
      <c r="O1080">
        <v>600</v>
      </c>
      <c r="P1080">
        <v>600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6292.85</v>
      </c>
      <c r="X1080">
        <v>5554.2</v>
      </c>
      <c r="Y1080">
        <v>500</v>
      </c>
      <c r="Z1080">
        <v>7407.7</v>
      </c>
      <c r="AA1080">
        <v>500</v>
      </c>
      <c r="AB1080" s="6">
        <v>46147.586365740739</v>
      </c>
      <c r="AC1080" s="6">
        <v>25569.229166666668</v>
      </c>
    </row>
    <row r="1081" spans="1:29" x14ac:dyDescent="0.25">
      <c r="A1081" t="s">
        <v>9</v>
      </c>
      <c r="B1081" s="5">
        <v>46149</v>
      </c>
      <c r="C1081" t="s">
        <v>54</v>
      </c>
      <c r="D1081" t="s">
        <v>1140</v>
      </c>
      <c r="E1081">
        <v>287761413</v>
      </c>
      <c r="F1081" t="s">
        <v>763</v>
      </c>
      <c r="G1081" t="s">
        <v>764</v>
      </c>
      <c r="H1081">
        <v>83700</v>
      </c>
      <c r="I1081" t="s">
        <v>58</v>
      </c>
      <c r="J1081">
        <v>1.1499999999999999</v>
      </c>
      <c r="K1081">
        <v>-63.492063492063494</v>
      </c>
      <c r="L1081">
        <v>20</v>
      </c>
      <c r="M1081">
        <v>1.73</v>
      </c>
      <c r="N1081">
        <v>22100</v>
      </c>
      <c r="O1081">
        <v>52460</v>
      </c>
      <c r="P1081">
        <v>12220</v>
      </c>
      <c r="Q1081">
        <v>7180</v>
      </c>
      <c r="R1081">
        <v>7640</v>
      </c>
      <c r="S1081">
        <v>3940</v>
      </c>
      <c r="T1081">
        <v>2.2000000000000002</v>
      </c>
      <c r="U1081">
        <v>2.7</v>
      </c>
      <c r="V1081">
        <v>1</v>
      </c>
      <c r="W1081">
        <v>3.15</v>
      </c>
      <c r="X1081">
        <v>1.05</v>
      </c>
      <c r="Y1081">
        <v>40</v>
      </c>
      <c r="Z1081">
        <v>1.1499999999999999</v>
      </c>
      <c r="AA1081">
        <v>1280</v>
      </c>
      <c r="AB1081" s="6">
        <v>46147.586458333331</v>
      </c>
      <c r="AC1081" s="6">
        <v>46147.586215277777</v>
      </c>
    </row>
    <row r="1082" spans="1:29" x14ac:dyDescent="0.25">
      <c r="A1082" t="s">
        <v>9</v>
      </c>
      <c r="B1082" s="5">
        <v>46149</v>
      </c>
      <c r="C1082" t="s">
        <v>54</v>
      </c>
      <c r="D1082" t="s">
        <v>1141</v>
      </c>
      <c r="E1082">
        <v>287858437</v>
      </c>
      <c r="F1082" t="s">
        <v>763</v>
      </c>
      <c r="G1082" t="s">
        <v>764</v>
      </c>
      <c r="H1082">
        <v>83700</v>
      </c>
      <c r="I1082" t="s">
        <v>60</v>
      </c>
      <c r="J1082">
        <v>6392.8</v>
      </c>
      <c r="K1082">
        <v>0</v>
      </c>
      <c r="L1082">
        <v>0</v>
      </c>
      <c r="M1082">
        <v>0</v>
      </c>
      <c r="N1082">
        <v>0</v>
      </c>
      <c r="O1082">
        <v>600</v>
      </c>
      <c r="P1082">
        <v>600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6392.8</v>
      </c>
      <c r="X1082">
        <v>5654.8</v>
      </c>
      <c r="Y1082">
        <v>500</v>
      </c>
      <c r="Z1082">
        <v>7507.5</v>
      </c>
      <c r="AA1082">
        <v>500</v>
      </c>
      <c r="AB1082" s="6">
        <v>46147.586365740739</v>
      </c>
      <c r="AC1082" s="6">
        <v>25569.229166666668</v>
      </c>
    </row>
    <row r="1083" spans="1:29" x14ac:dyDescent="0.25">
      <c r="A1083" t="s">
        <v>9</v>
      </c>
      <c r="B1083" s="5">
        <v>46149</v>
      </c>
      <c r="C1083" t="s">
        <v>54</v>
      </c>
      <c r="D1083" t="s">
        <v>1142</v>
      </c>
      <c r="E1083">
        <v>288094213</v>
      </c>
      <c r="F1083" t="s">
        <v>763</v>
      </c>
      <c r="G1083" t="s">
        <v>764</v>
      </c>
      <c r="H1083">
        <v>83800</v>
      </c>
      <c r="I1083" t="s">
        <v>58</v>
      </c>
      <c r="J1083">
        <v>1.35</v>
      </c>
      <c r="K1083">
        <v>-53.448275862068961</v>
      </c>
      <c r="L1083">
        <v>20</v>
      </c>
      <c r="M1083">
        <v>1.79</v>
      </c>
      <c r="N1083">
        <v>9560</v>
      </c>
      <c r="O1083">
        <v>45700</v>
      </c>
      <c r="P1083">
        <v>13820</v>
      </c>
      <c r="Q1083">
        <v>1960</v>
      </c>
      <c r="R1083">
        <v>3180</v>
      </c>
      <c r="S1083">
        <v>1900</v>
      </c>
      <c r="T1083">
        <v>1.65</v>
      </c>
      <c r="U1083">
        <v>2.4500000000000002</v>
      </c>
      <c r="V1083">
        <v>1.1000000000000001</v>
      </c>
      <c r="W1083">
        <v>2.9</v>
      </c>
      <c r="X1083">
        <v>1.3</v>
      </c>
      <c r="Y1083">
        <v>80</v>
      </c>
      <c r="Z1083">
        <v>1.45</v>
      </c>
      <c r="AA1083">
        <v>80</v>
      </c>
      <c r="AB1083" s="6">
        <v>46147.586423611108</v>
      </c>
      <c r="AC1083" s="6">
        <v>46147.586423611108</v>
      </c>
    </row>
    <row r="1084" spans="1:29" x14ac:dyDescent="0.25">
      <c r="A1084" t="s">
        <v>9</v>
      </c>
      <c r="B1084" s="5">
        <v>46149</v>
      </c>
      <c r="C1084" t="s">
        <v>54</v>
      </c>
      <c r="D1084" t="s">
        <v>1143</v>
      </c>
      <c r="E1084">
        <v>287745797</v>
      </c>
      <c r="F1084" t="s">
        <v>763</v>
      </c>
      <c r="G1084" t="s">
        <v>764</v>
      </c>
      <c r="H1084">
        <v>83800</v>
      </c>
      <c r="I1084" t="s">
        <v>60</v>
      </c>
      <c r="J1084">
        <v>6492.75</v>
      </c>
      <c r="K1084">
        <v>0</v>
      </c>
      <c r="L1084">
        <v>0</v>
      </c>
      <c r="M1084">
        <v>0</v>
      </c>
      <c r="N1084">
        <v>0</v>
      </c>
      <c r="O1084">
        <v>600</v>
      </c>
      <c r="P1084">
        <v>600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6492.75</v>
      </c>
      <c r="X1084">
        <v>5753.8</v>
      </c>
      <c r="Y1084">
        <v>500</v>
      </c>
      <c r="Z1084">
        <v>7607.25</v>
      </c>
      <c r="AA1084">
        <v>500</v>
      </c>
      <c r="AB1084" s="6">
        <v>46147.586365740739</v>
      </c>
      <c r="AC1084" s="6">
        <v>25569.229166666668</v>
      </c>
    </row>
    <row r="1085" spans="1:29" x14ac:dyDescent="0.25">
      <c r="A1085" t="s">
        <v>9</v>
      </c>
      <c r="B1085" s="5">
        <v>46149</v>
      </c>
      <c r="C1085" t="s">
        <v>54</v>
      </c>
      <c r="D1085" t="s">
        <v>1144</v>
      </c>
      <c r="E1085">
        <v>287801861</v>
      </c>
      <c r="F1085" t="s">
        <v>763</v>
      </c>
      <c r="G1085" t="s">
        <v>764</v>
      </c>
      <c r="H1085">
        <v>83900</v>
      </c>
      <c r="I1085" t="s">
        <v>58</v>
      </c>
      <c r="J1085">
        <v>1.3</v>
      </c>
      <c r="K1085">
        <v>-58.064516129032256</v>
      </c>
      <c r="L1085">
        <v>20</v>
      </c>
      <c r="M1085">
        <v>1.9</v>
      </c>
      <c r="N1085">
        <v>16080</v>
      </c>
      <c r="O1085">
        <v>58800</v>
      </c>
      <c r="P1085">
        <v>12520</v>
      </c>
      <c r="Q1085">
        <v>7420</v>
      </c>
      <c r="R1085">
        <v>7600</v>
      </c>
      <c r="S1085">
        <v>3920</v>
      </c>
      <c r="T1085">
        <v>2.1</v>
      </c>
      <c r="U1085">
        <v>2.8</v>
      </c>
      <c r="V1085">
        <v>1.2</v>
      </c>
      <c r="W1085">
        <v>3.1</v>
      </c>
      <c r="X1085">
        <v>1.3</v>
      </c>
      <c r="Y1085">
        <v>20</v>
      </c>
      <c r="Z1085">
        <v>1.4</v>
      </c>
      <c r="AA1085">
        <v>120</v>
      </c>
      <c r="AB1085" s="6">
        <v>46147.586412037039</v>
      </c>
      <c r="AC1085" s="6">
        <v>46147.586400462962</v>
      </c>
    </row>
    <row r="1086" spans="1:29" x14ac:dyDescent="0.25">
      <c r="A1086" t="s">
        <v>9</v>
      </c>
      <c r="B1086" s="5">
        <v>46149</v>
      </c>
      <c r="C1086" t="s">
        <v>54</v>
      </c>
      <c r="D1086" t="s">
        <v>1145</v>
      </c>
      <c r="E1086">
        <v>288078085</v>
      </c>
      <c r="F1086" t="s">
        <v>763</v>
      </c>
      <c r="G1086" t="s">
        <v>764</v>
      </c>
      <c r="H1086">
        <v>83900</v>
      </c>
      <c r="I1086" t="s">
        <v>60</v>
      </c>
      <c r="J1086">
        <v>6592.7</v>
      </c>
      <c r="K1086">
        <v>0</v>
      </c>
      <c r="L1086">
        <v>0</v>
      </c>
      <c r="M1086">
        <v>0</v>
      </c>
      <c r="N1086">
        <v>0</v>
      </c>
      <c r="O1086">
        <v>600</v>
      </c>
      <c r="P1086">
        <v>600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6592.7</v>
      </c>
      <c r="X1086">
        <v>5854.85</v>
      </c>
      <c r="Y1086">
        <v>500</v>
      </c>
      <c r="Z1086">
        <v>7708.2</v>
      </c>
      <c r="AA1086">
        <v>500</v>
      </c>
      <c r="AB1086" s="6">
        <v>46147.586365740739</v>
      </c>
      <c r="AC1086" s="6">
        <v>25569.229166666668</v>
      </c>
    </row>
    <row r="1087" spans="1:29" x14ac:dyDescent="0.25">
      <c r="A1087" t="s">
        <v>9</v>
      </c>
      <c r="B1087" s="5">
        <v>46149</v>
      </c>
      <c r="C1087" t="s">
        <v>54</v>
      </c>
      <c r="D1087" t="s">
        <v>1146</v>
      </c>
      <c r="E1087">
        <v>288049413</v>
      </c>
      <c r="F1087" t="s">
        <v>763</v>
      </c>
      <c r="G1087" t="s">
        <v>764</v>
      </c>
      <c r="H1087">
        <v>84000</v>
      </c>
      <c r="I1087" t="s">
        <v>58</v>
      </c>
      <c r="J1087">
        <v>1.05</v>
      </c>
      <c r="K1087">
        <v>-58.823529411764696</v>
      </c>
      <c r="L1087">
        <v>20</v>
      </c>
      <c r="M1087">
        <v>1.67</v>
      </c>
      <c r="N1087">
        <v>455460</v>
      </c>
      <c r="O1087">
        <v>164640</v>
      </c>
      <c r="P1087">
        <v>50120</v>
      </c>
      <c r="Q1087">
        <v>152660</v>
      </c>
      <c r="R1087">
        <v>222860</v>
      </c>
      <c r="S1087">
        <v>151000</v>
      </c>
      <c r="T1087">
        <v>2.75</v>
      </c>
      <c r="U1087">
        <v>2.75</v>
      </c>
      <c r="V1087">
        <v>1.05</v>
      </c>
      <c r="W1087">
        <v>2.5499999999999998</v>
      </c>
      <c r="X1087">
        <v>1.05</v>
      </c>
      <c r="Y1087">
        <v>6920</v>
      </c>
      <c r="Z1087">
        <v>1.1000000000000001</v>
      </c>
      <c r="AA1087">
        <v>4180</v>
      </c>
      <c r="AB1087" s="6">
        <v>46147.586446759262</v>
      </c>
      <c r="AC1087" s="6">
        <v>46147.586423611108</v>
      </c>
    </row>
    <row r="1088" spans="1:29" x14ac:dyDescent="0.25">
      <c r="A1088" t="s">
        <v>9</v>
      </c>
      <c r="B1088" s="5">
        <v>46149</v>
      </c>
      <c r="C1088" t="s">
        <v>54</v>
      </c>
      <c r="D1088" t="s">
        <v>1147</v>
      </c>
      <c r="E1088">
        <v>288148229</v>
      </c>
      <c r="F1088" t="s">
        <v>763</v>
      </c>
      <c r="G1088" t="s">
        <v>764</v>
      </c>
      <c r="H1088">
        <v>84000</v>
      </c>
      <c r="I1088" t="s">
        <v>60</v>
      </c>
      <c r="J1088">
        <v>6692.65</v>
      </c>
      <c r="K1088">
        <v>0</v>
      </c>
      <c r="L1088">
        <v>0</v>
      </c>
      <c r="M1088">
        <v>0</v>
      </c>
      <c r="N1088">
        <v>0</v>
      </c>
      <c r="O1088">
        <v>960</v>
      </c>
      <c r="P1088">
        <v>960</v>
      </c>
      <c r="Q1088">
        <v>600</v>
      </c>
      <c r="R1088">
        <v>600</v>
      </c>
      <c r="S1088">
        <v>600</v>
      </c>
      <c r="T1088">
        <v>0</v>
      </c>
      <c r="U1088">
        <v>7214.15</v>
      </c>
      <c r="V1088">
        <v>6653.75</v>
      </c>
      <c r="W1088">
        <v>6692.65</v>
      </c>
      <c r="X1088">
        <v>6076.45</v>
      </c>
      <c r="Y1088">
        <v>500</v>
      </c>
      <c r="Z1088">
        <v>7691.45</v>
      </c>
      <c r="AA1088">
        <v>500</v>
      </c>
      <c r="AB1088" s="6">
        <v>46147.586365740739</v>
      </c>
      <c r="AC1088" s="6">
        <v>46142.624236111114</v>
      </c>
    </row>
    <row r="1089" spans="1:29" x14ac:dyDescent="0.25">
      <c r="A1089" t="s">
        <v>9</v>
      </c>
      <c r="B1089" s="5">
        <v>46149</v>
      </c>
      <c r="C1089" t="s">
        <v>54</v>
      </c>
      <c r="D1089" t="s">
        <v>1148</v>
      </c>
      <c r="E1089">
        <v>287943685</v>
      </c>
      <c r="F1089" t="s">
        <v>763</v>
      </c>
      <c r="G1089" t="s">
        <v>764</v>
      </c>
      <c r="H1089">
        <v>84100</v>
      </c>
      <c r="I1089" t="s">
        <v>58</v>
      </c>
      <c r="J1089">
        <v>1.1499999999999999</v>
      </c>
      <c r="K1089">
        <v>-58.18181818181818</v>
      </c>
      <c r="L1089">
        <v>20</v>
      </c>
      <c r="M1089">
        <v>2.11</v>
      </c>
      <c r="N1089">
        <v>4180</v>
      </c>
      <c r="O1089">
        <v>41200</v>
      </c>
      <c r="P1089">
        <v>13620</v>
      </c>
      <c r="Q1089">
        <v>3560</v>
      </c>
      <c r="R1089">
        <v>4000</v>
      </c>
      <c r="S1089">
        <v>3240</v>
      </c>
      <c r="T1089">
        <v>2.8</v>
      </c>
      <c r="U1089">
        <v>2.8</v>
      </c>
      <c r="V1089">
        <v>1.1000000000000001</v>
      </c>
      <c r="W1089">
        <v>2.75</v>
      </c>
      <c r="X1089">
        <v>1.1000000000000001</v>
      </c>
      <c r="Y1089">
        <v>100</v>
      </c>
      <c r="Z1089">
        <v>1.4</v>
      </c>
      <c r="AA1089">
        <v>120</v>
      </c>
      <c r="AB1089" s="6">
        <v>46147.586412037039</v>
      </c>
      <c r="AC1089" s="6">
        <v>46147.586111111108</v>
      </c>
    </row>
    <row r="1090" spans="1:29" x14ac:dyDescent="0.25">
      <c r="A1090" t="s">
        <v>9</v>
      </c>
      <c r="B1090" s="5">
        <v>46149</v>
      </c>
      <c r="C1090" t="s">
        <v>54</v>
      </c>
      <c r="D1090" t="s">
        <v>1149</v>
      </c>
      <c r="E1090">
        <v>288032773</v>
      </c>
      <c r="F1090" t="s">
        <v>763</v>
      </c>
      <c r="G1090" t="s">
        <v>764</v>
      </c>
      <c r="H1090">
        <v>84100</v>
      </c>
      <c r="I1090" t="s">
        <v>60</v>
      </c>
      <c r="J1090">
        <v>6792.6</v>
      </c>
      <c r="K1090">
        <v>0</v>
      </c>
      <c r="L1090">
        <v>0</v>
      </c>
      <c r="M1090">
        <v>0</v>
      </c>
      <c r="N1090">
        <v>0</v>
      </c>
      <c r="O1090">
        <v>600</v>
      </c>
      <c r="P1090">
        <v>600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6792.6</v>
      </c>
      <c r="X1090">
        <v>6055.15</v>
      </c>
      <c r="Y1090">
        <v>500</v>
      </c>
      <c r="Z1090">
        <v>7908.65</v>
      </c>
      <c r="AA1090">
        <v>500</v>
      </c>
      <c r="AB1090" s="6">
        <v>46147.586354166669</v>
      </c>
      <c r="AC1090" s="6">
        <v>25569.229166666668</v>
      </c>
    </row>
    <row r="1091" spans="1:29" x14ac:dyDescent="0.25">
      <c r="A1091" t="s">
        <v>9</v>
      </c>
      <c r="B1091" s="5">
        <v>46149</v>
      </c>
      <c r="C1091" t="s">
        <v>54</v>
      </c>
      <c r="D1091" t="s">
        <v>1150</v>
      </c>
      <c r="E1091">
        <v>288074757</v>
      </c>
      <c r="F1091" t="s">
        <v>763</v>
      </c>
      <c r="G1091" t="s">
        <v>764</v>
      </c>
      <c r="H1091">
        <v>84200</v>
      </c>
      <c r="I1091" t="s">
        <v>58</v>
      </c>
      <c r="J1091">
        <v>1.25</v>
      </c>
      <c r="K1091">
        <v>-55.357142857142847</v>
      </c>
      <c r="L1091">
        <v>200</v>
      </c>
      <c r="M1091">
        <v>1.88</v>
      </c>
      <c r="N1091">
        <v>13300</v>
      </c>
      <c r="O1091">
        <v>45720</v>
      </c>
      <c r="P1091">
        <v>12560</v>
      </c>
      <c r="Q1091">
        <v>3780</v>
      </c>
      <c r="R1091">
        <v>6140</v>
      </c>
      <c r="S1091">
        <v>2780</v>
      </c>
      <c r="T1091">
        <v>1.85</v>
      </c>
      <c r="U1091">
        <v>2.5499999999999998</v>
      </c>
      <c r="V1091">
        <v>1.1000000000000001</v>
      </c>
      <c r="W1091">
        <v>2.8</v>
      </c>
      <c r="X1091">
        <v>1.1499999999999999</v>
      </c>
      <c r="Y1091">
        <v>40</v>
      </c>
      <c r="Z1091">
        <v>1.3</v>
      </c>
      <c r="AA1091">
        <v>40</v>
      </c>
      <c r="AB1091" s="6">
        <v>46147.586423611108</v>
      </c>
      <c r="AC1091" s="6">
        <v>46147.586365740739</v>
      </c>
    </row>
    <row r="1092" spans="1:29" x14ac:dyDescent="0.25">
      <c r="A1092" t="s">
        <v>9</v>
      </c>
      <c r="B1092" s="5">
        <v>46149</v>
      </c>
      <c r="C1092" t="s">
        <v>54</v>
      </c>
      <c r="D1092" t="s">
        <v>1151</v>
      </c>
      <c r="E1092">
        <v>287929093</v>
      </c>
      <c r="F1092" t="s">
        <v>763</v>
      </c>
      <c r="G1092" t="s">
        <v>764</v>
      </c>
      <c r="H1092">
        <v>84200</v>
      </c>
      <c r="I1092" t="s">
        <v>60</v>
      </c>
      <c r="J1092">
        <v>6892.55</v>
      </c>
      <c r="K1092">
        <v>0</v>
      </c>
      <c r="L1092">
        <v>0</v>
      </c>
      <c r="M1092">
        <v>0</v>
      </c>
      <c r="N1092">
        <v>0</v>
      </c>
      <c r="O1092">
        <v>600</v>
      </c>
      <c r="P1092">
        <v>600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6892.55</v>
      </c>
      <c r="X1092">
        <v>6157.15</v>
      </c>
      <c r="Y1092">
        <v>500</v>
      </c>
      <c r="Z1092">
        <v>8009.65</v>
      </c>
      <c r="AA1092">
        <v>500</v>
      </c>
      <c r="AB1092" s="6">
        <v>46147.586365740739</v>
      </c>
      <c r="AC1092" s="6">
        <v>25569.229166666668</v>
      </c>
    </row>
    <row r="1093" spans="1:29" x14ac:dyDescent="0.25">
      <c r="A1093" t="s">
        <v>9</v>
      </c>
      <c r="B1093" s="5">
        <v>46149</v>
      </c>
      <c r="C1093" t="s">
        <v>54</v>
      </c>
      <c r="D1093" t="s">
        <v>1152</v>
      </c>
      <c r="E1093">
        <v>287966213</v>
      </c>
      <c r="F1093" t="s">
        <v>763</v>
      </c>
      <c r="G1093" t="s">
        <v>764</v>
      </c>
      <c r="H1093">
        <v>84300</v>
      </c>
      <c r="I1093" t="s">
        <v>58</v>
      </c>
      <c r="J1093">
        <v>1.2</v>
      </c>
      <c r="K1093">
        <v>-57.142857142857146</v>
      </c>
      <c r="L1093">
        <v>20</v>
      </c>
      <c r="M1093">
        <v>1.67</v>
      </c>
      <c r="N1093">
        <v>3760</v>
      </c>
      <c r="O1093">
        <v>43200</v>
      </c>
      <c r="P1093">
        <v>11680</v>
      </c>
      <c r="Q1093">
        <v>1880</v>
      </c>
      <c r="R1093">
        <v>2640</v>
      </c>
      <c r="S1093">
        <v>1800</v>
      </c>
      <c r="T1093">
        <v>2.0499999999999998</v>
      </c>
      <c r="U1093">
        <v>2.35</v>
      </c>
      <c r="V1093">
        <v>1.2</v>
      </c>
      <c r="W1093">
        <v>2.8</v>
      </c>
      <c r="X1093">
        <v>1.1000000000000001</v>
      </c>
      <c r="Y1093">
        <v>180</v>
      </c>
      <c r="Z1093">
        <v>1.4</v>
      </c>
      <c r="AA1093">
        <v>60</v>
      </c>
      <c r="AB1093" s="6">
        <v>46147.586412037039</v>
      </c>
      <c r="AC1093" s="6">
        <v>46147.586111111108</v>
      </c>
    </row>
    <row r="1094" spans="1:29" x14ac:dyDescent="0.25">
      <c r="A1094" t="s">
        <v>9</v>
      </c>
      <c r="B1094" s="5">
        <v>46149</v>
      </c>
      <c r="C1094" t="s">
        <v>54</v>
      </c>
      <c r="D1094" t="s">
        <v>1153</v>
      </c>
      <c r="E1094">
        <v>288059141</v>
      </c>
      <c r="F1094" t="s">
        <v>763</v>
      </c>
      <c r="G1094" t="s">
        <v>764</v>
      </c>
      <c r="H1094">
        <v>84300</v>
      </c>
      <c r="I1094" t="s">
        <v>60</v>
      </c>
      <c r="J1094">
        <v>6992.5</v>
      </c>
      <c r="K1094">
        <v>0</v>
      </c>
      <c r="L1094">
        <v>0</v>
      </c>
      <c r="M1094">
        <v>0</v>
      </c>
      <c r="N1094">
        <v>0</v>
      </c>
      <c r="O1094">
        <v>600</v>
      </c>
      <c r="P1094">
        <v>600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6992.5</v>
      </c>
      <c r="X1094">
        <v>6256.45</v>
      </c>
      <c r="Y1094">
        <v>500</v>
      </c>
      <c r="Z1094">
        <v>8109.3</v>
      </c>
      <c r="AA1094">
        <v>500</v>
      </c>
      <c r="AB1094" s="6">
        <v>46147.586354166669</v>
      </c>
      <c r="AC1094" s="6">
        <v>25569.229166666668</v>
      </c>
    </row>
    <row r="1095" spans="1:29" x14ac:dyDescent="0.25">
      <c r="A1095" t="s">
        <v>9</v>
      </c>
      <c r="B1095" s="5">
        <v>46149</v>
      </c>
      <c r="C1095" t="s">
        <v>54</v>
      </c>
      <c r="D1095" t="s">
        <v>1154</v>
      </c>
      <c r="E1095">
        <v>287859973</v>
      </c>
      <c r="F1095" t="s">
        <v>763</v>
      </c>
      <c r="G1095" t="s">
        <v>764</v>
      </c>
      <c r="H1095">
        <v>84400</v>
      </c>
      <c r="I1095" t="s">
        <v>58</v>
      </c>
      <c r="J1095">
        <v>1.2</v>
      </c>
      <c r="K1095">
        <v>-54.716981132075475</v>
      </c>
      <c r="L1095">
        <v>100</v>
      </c>
      <c r="M1095">
        <v>1.73</v>
      </c>
      <c r="N1095">
        <v>7480</v>
      </c>
      <c r="O1095">
        <v>38500</v>
      </c>
      <c r="P1095">
        <v>11200</v>
      </c>
      <c r="Q1095">
        <v>4200</v>
      </c>
      <c r="R1095">
        <v>4340</v>
      </c>
      <c r="S1095">
        <v>1380</v>
      </c>
      <c r="T1095">
        <v>2</v>
      </c>
      <c r="U1095">
        <v>2.6</v>
      </c>
      <c r="V1095">
        <v>1.05</v>
      </c>
      <c r="W1095">
        <v>2.65</v>
      </c>
      <c r="X1095">
        <v>1.25</v>
      </c>
      <c r="Y1095">
        <v>160</v>
      </c>
      <c r="Z1095">
        <v>1.35</v>
      </c>
      <c r="AA1095">
        <v>160</v>
      </c>
      <c r="AB1095" s="6">
        <v>46147.586423611108</v>
      </c>
      <c r="AC1095" s="6">
        <v>46147.586365740739</v>
      </c>
    </row>
    <row r="1096" spans="1:29" x14ac:dyDescent="0.25">
      <c r="A1096" t="s">
        <v>9</v>
      </c>
      <c r="B1096" s="5">
        <v>46149</v>
      </c>
      <c r="C1096" t="s">
        <v>54</v>
      </c>
      <c r="D1096" t="s">
        <v>1155</v>
      </c>
      <c r="E1096">
        <v>287952645</v>
      </c>
      <c r="F1096" t="s">
        <v>763</v>
      </c>
      <c r="G1096" t="s">
        <v>764</v>
      </c>
      <c r="H1096">
        <v>84400</v>
      </c>
      <c r="I1096" t="s">
        <v>60</v>
      </c>
      <c r="J1096">
        <v>7092.45</v>
      </c>
      <c r="K1096">
        <v>0</v>
      </c>
      <c r="L1096">
        <v>0</v>
      </c>
      <c r="M1096">
        <v>0</v>
      </c>
      <c r="N1096">
        <v>0</v>
      </c>
      <c r="O1096">
        <v>600</v>
      </c>
      <c r="P1096">
        <v>600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7092.45</v>
      </c>
      <c r="X1096">
        <v>6356.1</v>
      </c>
      <c r="Y1096">
        <v>500</v>
      </c>
      <c r="Z1096">
        <v>8209.4500000000007</v>
      </c>
      <c r="AA1096">
        <v>500</v>
      </c>
      <c r="AB1096" s="6">
        <v>46147.586365740739</v>
      </c>
      <c r="AC1096" s="6">
        <v>25569.229166666668</v>
      </c>
    </row>
    <row r="1097" spans="1:29" x14ac:dyDescent="0.25">
      <c r="A1097" t="s">
        <v>9</v>
      </c>
      <c r="B1097" s="5">
        <v>46149</v>
      </c>
      <c r="C1097" t="s">
        <v>54</v>
      </c>
      <c r="D1097" t="s">
        <v>1156</v>
      </c>
      <c r="E1097">
        <v>287994629</v>
      </c>
      <c r="F1097" t="s">
        <v>763</v>
      </c>
      <c r="G1097" t="s">
        <v>764</v>
      </c>
      <c r="H1097">
        <v>84500</v>
      </c>
      <c r="I1097" t="s">
        <v>58</v>
      </c>
      <c r="J1097">
        <v>1.05</v>
      </c>
      <c r="K1097">
        <v>-58</v>
      </c>
      <c r="L1097">
        <v>20</v>
      </c>
      <c r="M1097">
        <v>1.57</v>
      </c>
      <c r="N1097">
        <v>48640</v>
      </c>
      <c r="O1097">
        <v>53900</v>
      </c>
      <c r="P1097">
        <v>15260</v>
      </c>
      <c r="Q1097">
        <v>20920</v>
      </c>
      <c r="R1097">
        <v>21220</v>
      </c>
      <c r="S1097">
        <v>16100</v>
      </c>
      <c r="T1097">
        <v>3.3</v>
      </c>
      <c r="U1097">
        <v>3.3</v>
      </c>
      <c r="V1097">
        <v>0.95</v>
      </c>
      <c r="W1097">
        <v>2.5</v>
      </c>
      <c r="X1097">
        <v>1.05</v>
      </c>
      <c r="Y1097">
        <v>80</v>
      </c>
      <c r="Z1097">
        <v>1.1499999999999999</v>
      </c>
      <c r="AA1097">
        <v>260</v>
      </c>
      <c r="AB1097" s="6">
        <v>46147.586388888885</v>
      </c>
      <c r="AC1097" s="6">
        <v>46147.586354166669</v>
      </c>
    </row>
    <row r="1098" spans="1:29" x14ac:dyDescent="0.25">
      <c r="A1098" t="s">
        <v>9</v>
      </c>
      <c r="B1098" s="5">
        <v>46149</v>
      </c>
      <c r="C1098" t="s">
        <v>54</v>
      </c>
      <c r="D1098" t="s">
        <v>1157</v>
      </c>
      <c r="E1098">
        <v>288087301</v>
      </c>
      <c r="F1098" t="s">
        <v>763</v>
      </c>
      <c r="G1098" t="s">
        <v>764</v>
      </c>
      <c r="H1098">
        <v>84500</v>
      </c>
      <c r="I1098" t="s">
        <v>60</v>
      </c>
      <c r="J1098">
        <v>7192.4</v>
      </c>
      <c r="K1098">
        <v>0</v>
      </c>
      <c r="L1098">
        <v>0</v>
      </c>
      <c r="M1098">
        <v>0</v>
      </c>
      <c r="N1098">
        <v>0</v>
      </c>
      <c r="O1098">
        <v>760</v>
      </c>
      <c r="P1098">
        <v>760</v>
      </c>
      <c r="Q1098">
        <v>640</v>
      </c>
      <c r="R1098">
        <v>640</v>
      </c>
      <c r="S1098">
        <v>640</v>
      </c>
      <c r="T1098">
        <v>0</v>
      </c>
      <c r="U1098">
        <v>7350</v>
      </c>
      <c r="V1098">
        <v>7080</v>
      </c>
      <c r="W1098">
        <v>7192.4</v>
      </c>
      <c r="X1098">
        <v>6586.45</v>
      </c>
      <c r="Y1098">
        <v>500</v>
      </c>
      <c r="Z1098">
        <v>8193.4</v>
      </c>
      <c r="AA1098">
        <v>500</v>
      </c>
      <c r="AB1098" s="6">
        <v>46147.586365740739</v>
      </c>
      <c r="AC1098" s="6">
        <v>46142.620173611111</v>
      </c>
    </row>
    <row r="1099" spans="1:29" x14ac:dyDescent="0.25">
      <c r="A1099" t="s">
        <v>9</v>
      </c>
      <c r="B1099" s="5">
        <v>46149</v>
      </c>
      <c r="C1099" t="s">
        <v>54</v>
      </c>
      <c r="D1099" t="s">
        <v>1158</v>
      </c>
      <c r="E1099">
        <v>287891717</v>
      </c>
      <c r="F1099" t="s">
        <v>763</v>
      </c>
      <c r="G1099" t="s">
        <v>764</v>
      </c>
      <c r="H1099">
        <v>84600</v>
      </c>
      <c r="I1099" t="s">
        <v>58</v>
      </c>
      <c r="J1099">
        <v>0.9</v>
      </c>
      <c r="K1099">
        <v>-59.090909090909101</v>
      </c>
      <c r="L1099">
        <v>20</v>
      </c>
      <c r="M1099">
        <v>1.9</v>
      </c>
      <c r="N1099">
        <v>6400</v>
      </c>
      <c r="O1099">
        <v>38080</v>
      </c>
      <c r="P1099">
        <v>11000</v>
      </c>
      <c r="Q1099">
        <v>2560</v>
      </c>
      <c r="R1099">
        <v>2560</v>
      </c>
      <c r="S1099">
        <v>560</v>
      </c>
      <c r="T1099">
        <v>2.2000000000000002</v>
      </c>
      <c r="U1099">
        <v>2.7</v>
      </c>
      <c r="V1099">
        <v>0.7</v>
      </c>
      <c r="W1099">
        <v>2.2000000000000002</v>
      </c>
      <c r="X1099">
        <v>0.9</v>
      </c>
      <c r="Y1099">
        <v>100</v>
      </c>
      <c r="Z1099">
        <v>1.25</v>
      </c>
      <c r="AA1099">
        <v>40</v>
      </c>
      <c r="AB1099" s="6">
        <v>46147.586446759262</v>
      </c>
      <c r="AC1099" s="6">
        <v>46147.586354166669</v>
      </c>
    </row>
    <row r="1100" spans="1:29" x14ac:dyDescent="0.25">
      <c r="A1100" t="s">
        <v>9</v>
      </c>
      <c r="B1100" s="5">
        <v>46149</v>
      </c>
      <c r="C1100" t="s">
        <v>54</v>
      </c>
      <c r="D1100" t="s">
        <v>1159</v>
      </c>
      <c r="E1100">
        <v>287980037</v>
      </c>
      <c r="F1100" t="s">
        <v>763</v>
      </c>
      <c r="G1100" t="s">
        <v>764</v>
      </c>
      <c r="H1100">
        <v>84600</v>
      </c>
      <c r="I1100" t="s">
        <v>60</v>
      </c>
      <c r="J1100">
        <v>7292.35</v>
      </c>
      <c r="K1100">
        <v>0</v>
      </c>
      <c r="L1100">
        <v>0</v>
      </c>
      <c r="M1100">
        <v>0</v>
      </c>
      <c r="N1100">
        <v>0</v>
      </c>
      <c r="O1100">
        <v>600</v>
      </c>
      <c r="P1100">
        <v>600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7292.35</v>
      </c>
      <c r="X1100">
        <v>6555.2</v>
      </c>
      <c r="Y1100">
        <v>500</v>
      </c>
      <c r="Z1100">
        <v>8409.0499999999993</v>
      </c>
      <c r="AA1100">
        <v>500</v>
      </c>
      <c r="AB1100" s="6">
        <v>46147.586365740739</v>
      </c>
      <c r="AC1100" s="6">
        <v>25569.229166666668</v>
      </c>
    </row>
    <row r="1101" spans="1:29" x14ac:dyDescent="0.25">
      <c r="A1101" t="s">
        <v>9</v>
      </c>
      <c r="B1101" s="5">
        <v>46149</v>
      </c>
      <c r="C1101" t="s">
        <v>54</v>
      </c>
      <c r="D1101" t="s">
        <v>1160</v>
      </c>
      <c r="E1101">
        <v>288652805</v>
      </c>
      <c r="F1101" t="s">
        <v>763</v>
      </c>
      <c r="G1101" t="s">
        <v>764</v>
      </c>
      <c r="H1101">
        <v>84700</v>
      </c>
      <c r="I1101" t="s">
        <v>58</v>
      </c>
      <c r="J1101">
        <v>1.25</v>
      </c>
      <c r="K1101">
        <v>-51.92307692307692</v>
      </c>
      <c r="L1101">
        <v>20</v>
      </c>
      <c r="M1101">
        <v>1.65</v>
      </c>
      <c r="N1101">
        <v>18640</v>
      </c>
      <c r="O1101">
        <v>46540</v>
      </c>
      <c r="P1101">
        <v>12060</v>
      </c>
      <c r="Q1101">
        <v>11080</v>
      </c>
      <c r="R1101">
        <v>11180</v>
      </c>
      <c r="S1101">
        <v>6020</v>
      </c>
      <c r="T1101">
        <v>3.05</v>
      </c>
      <c r="U1101">
        <v>3.05</v>
      </c>
      <c r="V1101">
        <v>1.05</v>
      </c>
      <c r="W1101">
        <v>2.6</v>
      </c>
      <c r="X1101">
        <v>1.25</v>
      </c>
      <c r="Y1101">
        <v>60</v>
      </c>
      <c r="Z1101">
        <v>1.3</v>
      </c>
      <c r="AA1101">
        <v>920</v>
      </c>
      <c r="AB1101" s="6">
        <v>46147.586365740739</v>
      </c>
      <c r="AC1101" s="6">
        <v>46147.586354166669</v>
      </c>
    </row>
    <row r="1102" spans="1:29" x14ac:dyDescent="0.25">
      <c r="A1102" t="s">
        <v>9</v>
      </c>
      <c r="B1102" s="5">
        <v>46149</v>
      </c>
      <c r="C1102" t="s">
        <v>54</v>
      </c>
      <c r="D1102" t="s">
        <v>1161</v>
      </c>
      <c r="E1102">
        <v>288572933</v>
      </c>
      <c r="F1102" t="s">
        <v>763</v>
      </c>
      <c r="G1102" t="s">
        <v>764</v>
      </c>
      <c r="H1102">
        <v>84700</v>
      </c>
      <c r="I1102" t="s">
        <v>60</v>
      </c>
      <c r="J1102">
        <v>7392.3</v>
      </c>
      <c r="K1102">
        <v>0</v>
      </c>
      <c r="L1102">
        <v>0</v>
      </c>
      <c r="M1102">
        <v>0</v>
      </c>
      <c r="N1102">
        <v>0</v>
      </c>
      <c r="O1102">
        <v>600</v>
      </c>
      <c r="P1102">
        <v>600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7392.3</v>
      </c>
      <c r="X1102">
        <v>6655.45</v>
      </c>
      <c r="Y1102">
        <v>500</v>
      </c>
      <c r="Z1102">
        <v>8509.1</v>
      </c>
      <c r="AA1102">
        <v>500</v>
      </c>
      <c r="AB1102" s="6">
        <v>46147.586354166669</v>
      </c>
      <c r="AC1102" s="6">
        <v>25569.229166666668</v>
      </c>
    </row>
    <row r="1103" spans="1:29" x14ac:dyDescent="0.25">
      <c r="A1103" t="s">
        <v>9</v>
      </c>
      <c r="B1103" s="5">
        <v>46149</v>
      </c>
      <c r="C1103" t="s">
        <v>54</v>
      </c>
      <c r="D1103" t="s">
        <v>1162</v>
      </c>
      <c r="E1103">
        <v>288602885</v>
      </c>
      <c r="F1103" t="s">
        <v>763</v>
      </c>
      <c r="G1103" t="s">
        <v>764</v>
      </c>
      <c r="H1103">
        <v>84800</v>
      </c>
      <c r="I1103" t="s">
        <v>58</v>
      </c>
      <c r="J1103">
        <v>0.95</v>
      </c>
      <c r="K1103">
        <v>-63.46153846153846</v>
      </c>
      <c r="L1103">
        <v>20</v>
      </c>
      <c r="M1103">
        <v>1.33</v>
      </c>
      <c r="N1103">
        <v>6600</v>
      </c>
      <c r="O1103">
        <v>41020</v>
      </c>
      <c r="P1103">
        <v>11020</v>
      </c>
      <c r="Q1103">
        <v>1780</v>
      </c>
      <c r="R1103">
        <v>2500</v>
      </c>
      <c r="S1103">
        <v>1780</v>
      </c>
      <c r="T1103">
        <v>3.1</v>
      </c>
      <c r="U1103">
        <v>3.1</v>
      </c>
      <c r="V1103">
        <v>0.8</v>
      </c>
      <c r="W1103">
        <v>2.6</v>
      </c>
      <c r="X1103">
        <v>0.9</v>
      </c>
      <c r="Y1103">
        <v>80</v>
      </c>
      <c r="Z1103">
        <v>1.3</v>
      </c>
      <c r="AA1103">
        <v>80</v>
      </c>
      <c r="AB1103" s="6">
        <v>46147.586423611108</v>
      </c>
      <c r="AC1103" s="6">
        <v>46147.586111111108</v>
      </c>
    </row>
    <row r="1104" spans="1:29" x14ac:dyDescent="0.25">
      <c r="A1104" t="s">
        <v>9</v>
      </c>
      <c r="B1104" s="5">
        <v>46149</v>
      </c>
      <c r="C1104" t="s">
        <v>54</v>
      </c>
      <c r="D1104" t="s">
        <v>1163</v>
      </c>
      <c r="E1104">
        <v>288644101</v>
      </c>
      <c r="F1104" t="s">
        <v>763</v>
      </c>
      <c r="G1104" t="s">
        <v>764</v>
      </c>
      <c r="H1104">
        <v>84800</v>
      </c>
      <c r="I1104" t="s">
        <v>60</v>
      </c>
      <c r="J1104">
        <v>7492.3</v>
      </c>
      <c r="K1104">
        <v>0</v>
      </c>
      <c r="L1104">
        <v>0</v>
      </c>
      <c r="M1104">
        <v>0</v>
      </c>
      <c r="N1104">
        <v>0</v>
      </c>
      <c r="O1104">
        <v>600</v>
      </c>
      <c r="P1104">
        <v>600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7492.3</v>
      </c>
      <c r="X1104">
        <v>6756</v>
      </c>
      <c r="Y1104">
        <v>500</v>
      </c>
      <c r="Z1104">
        <v>8609.0499999999993</v>
      </c>
      <c r="AA1104">
        <v>500</v>
      </c>
      <c r="AB1104" s="6">
        <v>46147.586365740739</v>
      </c>
      <c r="AC1104" s="6">
        <v>25569.229166666668</v>
      </c>
    </row>
    <row r="1105" spans="1:29" x14ac:dyDescent="0.25">
      <c r="A1105" t="s">
        <v>9</v>
      </c>
      <c r="B1105" s="5">
        <v>46149</v>
      </c>
      <c r="C1105" t="s">
        <v>54</v>
      </c>
      <c r="D1105" t="s">
        <v>1164</v>
      </c>
      <c r="E1105">
        <v>288527877</v>
      </c>
      <c r="F1105" t="s">
        <v>763</v>
      </c>
      <c r="G1105" t="s">
        <v>764</v>
      </c>
      <c r="H1105">
        <v>84900</v>
      </c>
      <c r="I1105" t="s">
        <v>58</v>
      </c>
      <c r="J1105">
        <v>0.9</v>
      </c>
      <c r="K1105">
        <v>-60</v>
      </c>
      <c r="L1105">
        <v>20</v>
      </c>
      <c r="M1105">
        <v>1.52</v>
      </c>
      <c r="N1105">
        <v>1680</v>
      </c>
      <c r="O1105">
        <v>33060</v>
      </c>
      <c r="P1105">
        <v>10320</v>
      </c>
      <c r="Q1105">
        <v>640</v>
      </c>
      <c r="R1105">
        <v>880</v>
      </c>
      <c r="S1105">
        <v>620</v>
      </c>
      <c r="T1105">
        <v>1.95</v>
      </c>
      <c r="U1105">
        <v>2</v>
      </c>
      <c r="V1105">
        <v>0.9</v>
      </c>
      <c r="W1105">
        <v>2.25</v>
      </c>
      <c r="X1105">
        <v>0.9</v>
      </c>
      <c r="Y1105">
        <v>40</v>
      </c>
      <c r="Z1105">
        <v>1.5</v>
      </c>
      <c r="AA1105">
        <v>1000</v>
      </c>
      <c r="AB1105" s="6">
        <v>46147.586412037039</v>
      </c>
      <c r="AC1105" s="6">
        <v>46147.583657407406</v>
      </c>
    </row>
    <row r="1106" spans="1:29" x14ac:dyDescent="0.25">
      <c r="A1106" t="s">
        <v>9</v>
      </c>
      <c r="B1106" s="5">
        <v>46149</v>
      </c>
      <c r="C1106" t="s">
        <v>54</v>
      </c>
      <c r="D1106" t="s">
        <v>1165</v>
      </c>
      <c r="E1106">
        <v>288591365</v>
      </c>
      <c r="F1106" t="s">
        <v>763</v>
      </c>
      <c r="G1106" t="s">
        <v>764</v>
      </c>
      <c r="H1106">
        <v>84900</v>
      </c>
      <c r="I1106" t="s">
        <v>60</v>
      </c>
      <c r="J1106">
        <v>7592.25</v>
      </c>
      <c r="K1106">
        <v>0</v>
      </c>
      <c r="L1106">
        <v>0</v>
      </c>
      <c r="M1106">
        <v>0</v>
      </c>
      <c r="N1106">
        <v>0</v>
      </c>
      <c r="O1106">
        <v>600</v>
      </c>
      <c r="P1106">
        <v>600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7592.25</v>
      </c>
      <c r="X1106">
        <v>6855.4</v>
      </c>
      <c r="Y1106">
        <v>500</v>
      </c>
      <c r="Z1106">
        <v>8709.2000000000007</v>
      </c>
      <c r="AA1106">
        <v>500</v>
      </c>
      <c r="AB1106" s="6">
        <v>46147.586354166669</v>
      </c>
      <c r="AC1106" s="6">
        <v>25569.229166666668</v>
      </c>
    </row>
    <row r="1107" spans="1:29" x14ac:dyDescent="0.25">
      <c r="A1107" t="s">
        <v>9</v>
      </c>
      <c r="B1107" s="5">
        <v>46149</v>
      </c>
      <c r="C1107" t="s">
        <v>54</v>
      </c>
      <c r="D1107" t="s">
        <v>1166</v>
      </c>
      <c r="E1107">
        <v>288571653</v>
      </c>
      <c r="F1107" t="s">
        <v>763</v>
      </c>
      <c r="G1107" t="s">
        <v>764</v>
      </c>
      <c r="H1107">
        <v>85000</v>
      </c>
      <c r="I1107" t="s">
        <v>58</v>
      </c>
      <c r="J1107">
        <v>0.75</v>
      </c>
      <c r="K1107">
        <v>-68.085106382978722</v>
      </c>
      <c r="L1107">
        <v>20</v>
      </c>
      <c r="M1107">
        <v>1.27</v>
      </c>
      <c r="N1107">
        <v>270560</v>
      </c>
      <c r="O1107">
        <v>130760</v>
      </c>
      <c r="P1107">
        <v>47060</v>
      </c>
      <c r="Q1107">
        <v>116620</v>
      </c>
      <c r="R1107">
        <v>116620</v>
      </c>
      <c r="S1107">
        <v>85200</v>
      </c>
      <c r="T1107">
        <v>2.25</v>
      </c>
      <c r="U1107">
        <v>2.25</v>
      </c>
      <c r="V1107">
        <v>0.7</v>
      </c>
      <c r="W1107">
        <v>2.35</v>
      </c>
      <c r="X1107">
        <v>0.75</v>
      </c>
      <c r="Y1107">
        <v>9740</v>
      </c>
      <c r="Z1107">
        <v>0.8</v>
      </c>
      <c r="AA1107">
        <v>11560</v>
      </c>
      <c r="AB1107" s="6">
        <v>46147.586354166669</v>
      </c>
      <c r="AC1107" s="6">
        <v>46147.586111111108</v>
      </c>
    </row>
    <row r="1108" spans="1:29" x14ac:dyDescent="0.25">
      <c r="A1108" t="s">
        <v>9</v>
      </c>
      <c r="B1108" s="5">
        <v>46149</v>
      </c>
      <c r="C1108" t="s">
        <v>54</v>
      </c>
      <c r="D1108" t="s">
        <v>1167</v>
      </c>
      <c r="E1108">
        <v>288473093</v>
      </c>
      <c r="F1108" t="s">
        <v>763</v>
      </c>
      <c r="G1108" t="s">
        <v>764</v>
      </c>
      <c r="H1108">
        <v>85000</v>
      </c>
      <c r="I1108" t="s">
        <v>60</v>
      </c>
      <c r="J1108">
        <v>7780</v>
      </c>
      <c r="K1108">
        <v>3.8350917232220962</v>
      </c>
      <c r="L1108">
        <v>20</v>
      </c>
      <c r="M1108">
        <v>8271.24</v>
      </c>
      <c r="N1108">
        <v>2320</v>
      </c>
      <c r="O1108">
        <v>660</v>
      </c>
      <c r="P1108">
        <v>400</v>
      </c>
      <c r="Q1108">
        <v>27280</v>
      </c>
      <c r="R1108">
        <v>28420</v>
      </c>
      <c r="S1108">
        <v>27280</v>
      </c>
      <c r="T1108">
        <v>8205.0499999999993</v>
      </c>
      <c r="U1108">
        <v>8357</v>
      </c>
      <c r="V1108">
        <v>7780</v>
      </c>
      <c r="W1108">
        <v>7492.65</v>
      </c>
      <c r="X1108">
        <v>7888.6</v>
      </c>
      <c r="Y1108">
        <v>20</v>
      </c>
      <c r="Z1108">
        <v>7916.65</v>
      </c>
      <c r="AA1108">
        <v>20</v>
      </c>
      <c r="AB1108" s="6">
        <v>46147.586446759262</v>
      </c>
      <c r="AC1108" s="6">
        <v>46147.548680555556</v>
      </c>
    </row>
    <row r="1109" spans="1:29" x14ac:dyDescent="0.25">
      <c r="A1109" t="s">
        <v>9</v>
      </c>
      <c r="B1109" s="5">
        <v>46149</v>
      </c>
      <c r="C1109" t="s">
        <v>54</v>
      </c>
      <c r="D1109" t="s">
        <v>1168</v>
      </c>
      <c r="E1109">
        <v>288501765</v>
      </c>
      <c r="F1109" t="s">
        <v>763</v>
      </c>
      <c r="G1109" t="s">
        <v>764</v>
      </c>
      <c r="H1109">
        <v>85100</v>
      </c>
      <c r="I1109" t="s">
        <v>58</v>
      </c>
      <c r="J1109">
        <v>0.85</v>
      </c>
      <c r="K1109">
        <v>-62.222222222222221</v>
      </c>
      <c r="L1109">
        <v>120</v>
      </c>
      <c r="M1109">
        <v>1.4</v>
      </c>
      <c r="N1109">
        <v>4660</v>
      </c>
      <c r="O1109">
        <v>35040</v>
      </c>
      <c r="P1109">
        <v>13560</v>
      </c>
      <c r="Q1109">
        <v>1300</v>
      </c>
      <c r="R1109">
        <v>2040</v>
      </c>
      <c r="S1109">
        <v>900</v>
      </c>
      <c r="T1109">
        <v>1.2</v>
      </c>
      <c r="U1109">
        <v>2.1</v>
      </c>
      <c r="V1109">
        <v>0.8</v>
      </c>
      <c r="W1109">
        <v>2.25</v>
      </c>
      <c r="X1109">
        <v>0.8</v>
      </c>
      <c r="Y1109">
        <v>60</v>
      </c>
      <c r="Z1109">
        <v>0.85</v>
      </c>
      <c r="AA1109">
        <v>740</v>
      </c>
      <c r="AB1109" s="6">
        <v>46147.586458333331</v>
      </c>
      <c r="AC1109" s="6">
        <v>46147.585682870369</v>
      </c>
    </row>
    <row r="1110" spans="1:29" x14ac:dyDescent="0.25">
      <c r="A1110" t="s">
        <v>9</v>
      </c>
      <c r="B1110" s="5">
        <v>46149</v>
      </c>
      <c r="C1110" t="s">
        <v>54</v>
      </c>
      <c r="D1110" t="s">
        <v>1169</v>
      </c>
      <c r="E1110">
        <v>288558085</v>
      </c>
      <c r="F1110" t="s">
        <v>763</v>
      </c>
      <c r="G1110" t="s">
        <v>764</v>
      </c>
      <c r="H1110">
        <v>85100</v>
      </c>
      <c r="I1110" t="s">
        <v>60</v>
      </c>
      <c r="J1110">
        <v>7792.15</v>
      </c>
      <c r="K1110">
        <v>0</v>
      </c>
      <c r="L1110">
        <v>0</v>
      </c>
      <c r="M1110">
        <v>0</v>
      </c>
      <c r="N1110">
        <v>0</v>
      </c>
      <c r="O1110">
        <v>400</v>
      </c>
      <c r="P1110">
        <v>400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7792.15</v>
      </c>
      <c r="X1110">
        <v>7057.15</v>
      </c>
      <c r="Y1110">
        <v>300</v>
      </c>
      <c r="Z1110">
        <v>8910.2999999999993</v>
      </c>
      <c r="AA1110">
        <v>300</v>
      </c>
      <c r="AB1110" s="6">
        <v>46147.586365740739</v>
      </c>
      <c r="AC1110" s="6">
        <v>25569.229166666668</v>
      </c>
    </row>
    <row r="1111" spans="1:29" x14ac:dyDescent="0.25">
      <c r="A1111" t="s">
        <v>9</v>
      </c>
      <c r="B1111" s="5">
        <v>46149</v>
      </c>
      <c r="C1111" t="s">
        <v>54</v>
      </c>
      <c r="D1111" t="s">
        <v>1170</v>
      </c>
      <c r="E1111">
        <v>289242885</v>
      </c>
      <c r="F1111" t="s">
        <v>763</v>
      </c>
      <c r="G1111" t="s">
        <v>764</v>
      </c>
      <c r="H1111">
        <v>85200</v>
      </c>
      <c r="I1111" t="s">
        <v>58</v>
      </c>
      <c r="J1111">
        <v>0.8</v>
      </c>
      <c r="K1111">
        <v>-60.975609756097555</v>
      </c>
      <c r="L1111">
        <v>20</v>
      </c>
      <c r="M1111">
        <v>1.31</v>
      </c>
      <c r="N1111">
        <v>8480</v>
      </c>
      <c r="O1111">
        <v>21160</v>
      </c>
      <c r="P1111">
        <v>11920</v>
      </c>
      <c r="Q1111">
        <v>6360</v>
      </c>
      <c r="R1111">
        <v>6420</v>
      </c>
      <c r="S1111">
        <v>4660</v>
      </c>
      <c r="T1111">
        <v>2.5</v>
      </c>
      <c r="U1111">
        <v>2.5499999999999998</v>
      </c>
      <c r="V1111">
        <v>0.55000000000000004</v>
      </c>
      <c r="W1111">
        <v>2.0499999999999998</v>
      </c>
      <c r="X1111">
        <v>0.6</v>
      </c>
      <c r="Y1111">
        <v>60</v>
      </c>
      <c r="Z1111">
        <v>0.8</v>
      </c>
      <c r="AA1111">
        <v>60</v>
      </c>
      <c r="AB1111" s="6">
        <v>46147.586435185185</v>
      </c>
      <c r="AC1111" s="6">
        <v>46147.571736111109</v>
      </c>
    </row>
    <row r="1112" spans="1:29" x14ac:dyDescent="0.25">
      <c r="A1112" t="s">
        <v>9</v>
      </c>
      <c r="B1112" s="5">
        <v>46149</v>
      </c>
      <c r="C1112" t="s">
        <v>54</v>
      </c>
      <c r="D1112" t="s">
        <v>1171</v>
      </c>
      <c r="E1112">
        <v>289001221</v>
      </c>
      <c r="F1112" t="s">
        <v>763</v>
      </c>
      <c r="G1112" t="s">
        <v>764</v>
      </c>
      <c r="H1112">
        <v>85200</v>
      </c>
      <c r="I1112" t="s">
        <v>60</v>
      </c>
      <c r="J1112">
        <v>7892.1</v>
      </c>
      <c r="K1112">
        <v>0</v>
      </c>
      <c r="L1112">
        <v>0</v>
      </c>
      <c r="M1112">
        <v>0</v>
      </c>
      <c r="N1112">
        <v>0</v>
      </c>
      <c r="O1112">
        <v>400</v>
      </c>
      <c r="P1112">
        <v>400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7892.1</v>
      </c>
      <c r="X1112">
        <v>7158</v>
      </c>
      <c r="Y1112">
        <v>300</v>
      </c>
      <c r="Z1112">
        <v>9010.7999999999993</v>
      </c>
      <c r="AA1112">
        <v>300</v>
      </c>
      <c r="AB1112" s="6">
        <v>46147.586365740739</v>
      </c>
      <c r="AC1112" s="6">
        <v>25569.229166666668</v>
      </c>
    </row>
    <row r="1113" spans="1:29" x14ac:dyDescent="0.25">
      <c r="A1113" t="s">
        <v>9</v>
      </c>
      <c r="B1113" s="5">
        <v>46149</v>
      </c>
      <c r="C1113" t="s">
        <v>54</v>
      </c>
      <c r="D1113" t="s">
        <v>1172</v>
      </c>
      <c r="E1113">
        <v>289030405</v>
      </c>
      <c r="F1113" t="s">
        <v>763</v>
      </c>
      <c r="G1113" t="s">
        <v>764</v>
      </c>
      <c r="H1113">
        <v>85300</v>
      </c>
      <c r="I1113" t="s">
        <v>58</v>
      </c>
      <c r="J1113">
        <v>0.75</v>
      </c>
      <c r="K1113">
        <v>-63.414634146341456</v>
      </c>
      <c r="L1113">
        <v>20</v>
      </c>
      <c r="M1113">
        <v>1.2</v>
      </c>
      <c r="N1113">
        <v>15380</v>
      </c>
      <c r="O1113">
        <v>41600</v>
      </c>
      <c r="P1113">
        <v>23440</v>
      </c>
      <c r="Q1113">
        <v>14980</v>
      </c>
      <c r="R1113">
        <v>15100</v>
      </c>
      <c r="S1113">
        <v>9460</v>
      </c>
      <c r="T1113">
        <v>0.65</v>
      </c>
      <c r="U1113">
        <v>1.9</v>
      </c>
      <c r="V1113">
        <v>0.65</v>
      </c>
      <c r="W1113">
        <v>2.0499999999999998</v>
      </c>
      <c r="X1113">
        <v>0.75</v>
      </c>
      <c r="Y1113">
        <v>380</v>
      </c>
      <c r="Z1113">
        <v>0.9</v>
      </c>
      <c r="AA1113">
        <v>20</v>
      </c>
      <c r="AB1113" s="6">
        <v>46147.586412037039</v>
      </c>
      <c r="AC1113" s="6">
        <v>46147.581180555557</v>
      </c>
    </row>
    <row r="1114" spans="1:29" x14ac:dyDescent="0.25">
      <c r="A1114" t="s">
        <v>9</v>
      </c>
      <c r="B1114" s="5">
        <v>46149</v>
      </c>
      <c r="C1114" t="s">
        <v>54</v>
      </c>
      <c r="D1114" t="s">
        <v>1173</v>
      </c>
      <c r="E1114">
        <v>289104389</v>
      </c>
      <c r="F1114" t="s">
        <v>763</v>
      </c>
      <c r="G1114" t="s">
        <v>764</v>
      </c>
      <c r="H1114">
        <v>85300</v>
      </c>
      <c r="I1114" t="s">
        <v>60</v>
      </c>
      <c r="J1114">
        <v>7992.05</v>
      </c>
      <c r="K1114">
        <v>0</v>
      </c>
      <c r="L1114">
        <v>0</v>
      </c>
      <c r="M1114">
        <v>0</v>
      </c>
      <c r="N1114">
        <v>0</v>
      </c>
      <c r="O1114">
        <v>400</v>
      </c>
      <c r="P1114">
        <v>400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7992.05</v>
      </c>
      <c r="X1114">
        <v>7257.9</v>
      </c>
      <c r="Y1114">
        <v>300</v>
      </c>
      <c r="Z1114">
        <v>9109.6</v>
      </c>
      <c r="AA1114">
        <v>300</v>
      </c>
      <c r="AB1114" s="6">
        <v>46147.586354166669</v>
      </c>
      <c r="AC1114" s="6">
        <v>25569.229166666668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spans="1:1" x14ac:dyDescent="0.25">
      <c r="A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NIFTY</vt:lpstr>
      <vt:lpstr>BANKNIFTY</vt:lpstr>
      <vt:lpstr>SENSEX</vt:lpstr>
      <vt:lpstr>RawData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Bajaj</cp:lastModifiedBy>
  <dcterms:created xsi:type="dcterms:W3CDTF">2026-05-05T05:35:53Z</dcterms:created>
  <dcterms:modified xsi:type="dcterms:W3CDTF">2026-05-05T08:34:54Z</dcterms:modified>
</cp:coreProperties>
</file>