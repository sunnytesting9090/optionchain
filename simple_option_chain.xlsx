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twitter\nsebse\"/>
    </mc:Choice>
  </mc:AlternateContent>
  <xr:revisionPtr revIDLastSave="0" documentId="13_ncr:1_{41C1253C-3F37-436A-B464-75B16BDF1A5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ummary" sheetId="1" r:id="rId1"/>
    <sheet name="NIFTY" sheetId="2" r:id="rId2"/>
    <sheet name="BANKNIFTY" sheetId="3" r:id="rId3"/>
    <sheet name="SENSEX" sheetId="4" r:id="rId4"/>
    <sheet name="RawData" sheetId="5" r:id="rId5"/>
    <sheet name="Meta" sheetId="6" state="hidden" r:id="rId6"/>
  </sheets>
  <definedNames>
    <definedName name="_xlnm._FilterDatabase" localSheetId="4" hidden="1">RawData!$A$1:$P$1070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C8" i="3"/>
  <c r="E8" i="3" s="1"/>
  <c r="D8" i="3"/>
  <c r="A9" i="3"/>
  <c r="C9" i="3"/>
  <c r="D9" i="3"/>
  <c r="A10" i="3"/>
  <c r="C10" i="3"/>
  <c r="D10" i="3"/>
  <c r="A11" i="3"/>
  <c r="C11" i="3"/>
  <c r="D11" i="3"/>
  <c r="A12" i="3"/>
  <c r="C12" i="3"/>
  <c r="D12" i="3"/>
  <c r="A13" i="3"/>
  <c r="C13" i="3"/>
  <c r="D13" i="3"/>
  <c r="A14" i="3"/>
  <c r="C14" i="3"/>
  <c r="D14" i="3"/>
  <c r="E14" i="3" s="1"/>
  <c r="A15" i="3"/>
  <c r="C15" i="3"/>
  <c r="D15" i="3"/>
  <c r="A16" i="3"/>
  <c r="C16" i="3"/>
  <c r="D16" i="3"/>
  <c r="A17" i="3"/>
  <c r="C17" i="3"/>
  <c r="D17" i="3"/>
  <c r="A18" i="3"/>
  <c r="C18" i="3"/>
  <c r="D18" i="3"/>
  <c r="E18" i="3" s="1"/>
  <c r="A19" i="3"/>
  <c r="C19" i="3"/>
  <c r="D19" i="3"/>
  <c r="A20" i="3"/>
  <c r="C20" i="3"/>
  <c r="D20" i="3"/>
  <c r="E20" i="3" s="1"/>
  <c r="A21" i="3"/>
  <c r="C21" i="3"/>
  <c r="D21" i="3"/>
  <c r="A22" i="3"/>
  <c r="C22" i="3"/>
  <c r="D22" i="3"/>
  <c r="A23" i="3"/>
  <c r="C23" i="3"/>
  <c r="D23" i="3"/>
  <c r="A24" i="3"/>
  <c r="C24" i="3"/>
  <c r="D24" i="3"/>
  <c r="E24" i="3" s="1"/>
  <c r="A25" i="3"/>
  <c r="C25" i="3"/>
  <c r="D25" i="3"/>
  <c r="A26" i="3"/>
  <c r="C26" i="3"/>
  <c r="D26" i="3"/>
  <c r="E26" i="3" s="1"/>
  <c r="A27" i="3"/>
  <c r="C27" i="3"/>
  <c r="D27" i="3"/>
  <c r="A28" i="3"/>
  <c r="C28" i="3"/>
  <c r="D28" i="3"/>
  <c r="A29" i="3"/>
  <c r="C29" i="3"/>
  <c r="D29" i="3"/>
  <c r="A30" i="3"/>
  <c r="C30" i="3"/>
  <c r="D30" i="3"/>
  <c r="A31" i="3"/>
  <c r="C31" i="3"/>
  <c r="D31" i="3"/>
  <c r="A32" i="3"/>
  <c r="C32" i="3"/>
  <c r="D32" i="3"/>
  <c r="A33" i="3"/>
  <c r="C33" i="3"/>
  <c r="D33" i="3"/>
  <c r="A34" i="3"/>
  <c r="C34" i="3"/>
  <c r="D34" i="3"/>
  <c r="A35" i="3"/>
  <c r="C35" i="3"/>
  <c r="D35" i="3"/>
  <c r="A36" i="3"/>
  <c r="C36" i="3"/>
  <c r="D36" i="3"/>
  <c r="E36" i="3" s="1"/>
  <c r="A37" i="3"/>
  <c r="C37" i="3"/>
  <c r="D37" i="3"/>
  <c r="A38" i="3"/>
  <c r="C38" i="3"/>
  <c r="D38" i="3"/>
  <c r="E38" i="3" s="1"/>
  <c r="A39" i="3"/>
  <c r="C39" i="3"/>
  <c r="D39" i="3"/>
  <c r="A40" i="3"/>
  <c r="C40" i="3"/>
  <c r="D40" i="3"/>
  <c r="A41" i="3"/>
  <c r="C41" i="3"/>
  <c r="D41" i="3"/>
  <c r="A42" i="3"/>
  <c r="C42" i="3"/>
  <c r="D42" i="3"/>
  <c r="E42" i="3" s="1"/>
  <c r="A43" i="3"/>
  <c r="C43" i="3"/>
  <c r="D43" i="3"/>
  <c r="A44" i="3"/>
  <c r="C44" i="3"/>
  <c r="E44" i="3" s="1"/>
  <c r="D44" i="3"/>
  <c r="A45" i="3"/>
  <c r="C45" i="3"/>
  <c r="D45" i="3"/>
  <c r="E45" i="3" s="1"/>
  <c r="A46" i="3"/>
  <c r="C46" i="3"/>
  <c r="D46" i="3"/>
  <c r="A47" i="3"/>
  <c r="C47" i="3"/>
  <c r="D47" i="3"/>
  <c r="A48" i="3"/>
  <c r="C48" i="3"/>
  <c r="D48" i="3"/>
  <c r="A49" i="3"/>
  <c r="C49" i="3"/>
  <c r="D49" i="3"/>
  <c r="A50" i="3"/>
  <c r="C50" i="3"/>
  <c r="D50" i="3"/>
  <c r="A51" i="3"/>
  <c r="C51" i="3"/>
  <c r="D51" i="3"/>
  <c r="A52" i="3"/>
  <c r="C52" i="3"/>
  <c r="D52" i="3"/>
  <c r="A53" i="3"/>
  <c r="C53" i="3"/>
  <c r="D53" i="3"/>
  <c r="A54" i="3"/>
  <c r="C54" i="3"/>
  <c r="D54" i="3"/>
  <c r="A55" i="3"/>
  <c r="C55" i="3"/>
  <c r="D55" i="3"/>
  <c r="A56" i="3"/>
  <c r="C56" i="3"/>
  <c r="D56" i="3"/>
  <c r="A57" i="3"/>
  <c r="C57" i="3"/>
  <c r="D57" i="3"/>
  <c r="A58" i="3"/>
  <c r="C58" i="3"/>
  <c r="D58" i="3"/>
  <c r="A8" i="4"/>
  <c r="C8" i="4"/>
  <c r="D8" i="4"/>
  <c r="A9" i="4"/>
  <c r="C9" i="4"/>
  <c r="D9" i="4"/>
  <c r="A10" i="4"/>
  <c r="C10" i="4"/>
  <c r="D10" i="4"/>
  <c r="A11" i="4"/>
  <c r="C11" i="4"/>
  <c r="D11" i="4"/>
  <c r="A12" i="4"/>
  <c r="C12" i="4"/>
  <c r="D12" i="4"/>
  <c r="A13" i="4"/>
  <c r="C13" i="4"/>
  <c r="D13" i="4"/>
  <c r="A14" i="4"/>
  <c r="C14" i="4"/>
  <c r="D14" i="4"/>
  <c r="A15" i="4"/>
  <c r="C15" i="4"/>
  <c r="D15" i="4"/>
  <c r="A16" i="4"/>
  <c r="C16" i="4"/>
  <c r="D16" i="4"/>
  <c r="A17" i="4"/>
  <c r="C17" i="4"/>
  <c r="D17" i="4"/>
  <c r="A18" i="4"/>
  <c r="C18" i="4"/>
  <c r="D18" i="4"/>
  <c r="A19" i="4"/>
  <c r="C19" i="4"/>
  <c r="D19" i="4"/>
  <c r="A20" i="4"/>
  <c r="C20" i="4"/>
  <c r="D20" i="4"/>
  <c r="A21" i="4"/>
  <c r="C21" i="4"/>
  <c r="D21" i="4"/>
  <c r="A22" i="4"/>
  <c r="C22" i="4"/>
  <c r="D22" i="4"/>
  <c r="A23" i="4"/>
  <c r="C23" i="4"/>
  <c r="D23" i="4"/>
  <c r="A24" i="4"/>
  <c r="C24" i="4"/>
  <c r="D24" i="4"/>
  <c r="A25" i="4"/>
  <c r="C25" i="4"/>
  <c r="D25" i="4"/>
  <c r="A26" i="4"/>
  <c r="C26" i="4"/>
  <c r="D26" i="4"/>
  <c r="A27" i="4"/>
  <c r="C27" i="4"/>
  <c r="D27" i="4"/>
  <c r="A28" i="4"/>
  <c r="C28" i="4"/>
  <c r="D28" i="4"/>
  <c r="A29" i="4"/>
  <c r="C29" i="4"/>
  <c r="D29" i="4"/>
  <c r="A30" i="4"/>
  <c r="C30" i="4"/>
  <c r="D30" i="4"/>
  <c r="A31" i="4"/>
  <c r="C31" i="4"/>
  <c r="D31" i="4"/>
  <c r="A32" i="4"/>
  <c r="C32" i="4"/>
  <c r="D32" i="4"/>
  <c r="A33" i="4"/>
  <c r="C33" i="4"/>
  <c r="D33" i="4"/>
  <c r="A34" i="4"/>
  <c r="C34" i="4"/>
  <c r="D34" i="4"/>
  <c r="A35" i="4"/>
  <c r="C35" i="4"/>
  <c r="D35" i="4"/>
  <c r="A36" i="4"/>
  <c r="C36" i="4"/>
  <c r="D36" i="4"/>
  <c r="A37" i="4"/>
  <c r="C37" i="4"/>
  <c r="D37" i="4"/>
  <c r="A38" i="4"/>
  <c r="C38" i="4"/>
  <c r="D38" i="4"/>
  <c r="A39" i="4"/>
  <c r="C39" i="4"/>
  <c r="D39" i="4"/>
  <c r="A40" i="4"/>
  <c r="C40" i="4"/>
  <c r="D40" i="4"/>
  <c r="A41" i="4"/>
  <c r="C41" i="4"/>
  <c r="D41" i="4"/>
  <c r="A42" i="4"/>
  <c r="C42" i="4"/>
  <c r="D42" i="4"/>
  <c r="A43" i="4"/>
  <c r="C43" i="4"/>
  <c r="D43" i="4"/>
  <c r="A44" i="4"/>
  <c r="C44" i="4"/>
  <c r="D44" i="4"/>
  <c r="A45" i="4"/>
  <c r="C45" i="4"/>
  <c r="D45" i="4"/>
  <c r="A46" i="4"/>
  <c r="C46" i="4"/>
  <c r="D46" i="4"/>
  <c r="A47" i="4"/>
  <c r="C47" i="4"/>
  <c r="D47" i="4"/>
  <c r="A48" i="4"/>
  <c r="C48" i="4"/>
  <c r="D48" i="4"/>
  <c r="A49" i="4"/>
  <c r="C49" i="4"/>
  <c r="D49" i="4"/>
  <c r="A50" i="4"/>
  <c r="C50" i="4"/>
  <c r="D50" i="4"/>
  <c r="A51" i="4"/>
  <c r="C51" i="4"/>
  <c r="D51" i="4"/>
  <c r="A52" i="4"/>
  <c r="C52" i="4"/>
  <c r="D52" i="4"/>
  <c r="A53" i="4"/>
  <c r="C53" i="4"/>
  <c r="D53" i="4"/>
  <c r="A54" i="4"/>
  <c r="C54" i="4"/>
  <c r="D54" i="4"/>
  <c r="A55" i="4"/>
  <c r="C55" i="4"/>
  <c r="D55" i="4"/>
  <c r="A56" i="4"/>
  <c r="C56" i="4"/>
  <c r="D56" i="4"/>
  <c r="A57" i="4"/>
  <c r="C57" i="4"/>
  <c r="D57" i="4"/>
  <c r="A58" i="4"/>
  <c r="C58" i="4"/>
  <c r="D58" i="4"/>
  <c r="A8" i="2"/>
  <c r="C8" i="2"/>
  <c r="D8" i="2"/>
  <c r="A9" i="2"/>
  <c r="C9" i="2"/>
  <c r="D9" i="2"/>
  <c r="A10" i="2"/>
  <c r="C10" i="2"/>
  <c r="D10" i="2"/>
  <c r="A11" i="2"/>
  <c r="C11" i="2"/>
  <c r="D11" i="2"/>
  <c r="A12" i="2"/>
  <c r="C12" i="2"/>
  <c r="D12" i="2"/>
  <c r="A13" i="2"/>
  <c r="C13" i="2"/>
  <c r="D13" i="2"/>
  <c r="A14" i="2"/>
  <c r="C14" i="2"/>
  <c r="D14" i="2"/>
  <c r="A15" i="2"/>
  <c r="C15" i="2"/>
  <c r="D15" i="2"/>
  <c r="A16" i="2"/>
  <c r="C16" i="2"/>
  <c r="D16" i="2"/>
  <c r="A17" i="2"/>
  <c r="C17" i="2"/>
  <c r="D17" i="2"/>
  <c r="A18" i="2"/>
  <c r="C18" i="2"/>
  <c r="D18" i="2"/>
  <c r="A19" i="2"/>
  <c r="C19" i="2"/>
  <c r="D19" i="2"/>
  <c r="A20" i="2"/>
  <c r="C20" i="2"/>
  <c r="D20" i="2"/>
  <c r="A21" i="2"/>
  <c r="C21" i="2"/>
  <c r="D21" i="2"/>
  <c r="A22" i="2"/>
  <c r="C22" i="2"/>
  <c r="D22" i="2"/>
  <c r="A23" i="2"/>
  <c r="C23" i="2"/>
  <c r="D23" i="2"/>
  <c r="A24" i="2"/>
  <c r="C24" i="2"/>
  <c r="D24" i="2"/>
  <c r="A25" i="2"/>
  <c r="C25" i="2"/>
  <c r="D25" i="2"/>
  <c r="A26" i="2"/>
  <c r="C26" i="2"/>
  <c r="D26" i="2"/>
  <c r="A27" i="2"/>
  <c r="C27" i="2"/>
  <c r="D27" i="2"/>
  <c r="A28" i="2"/>
  <c r="C28" i="2"/>
  <c r="D28" i="2"/>
  <c r="A29" i="2"/>
  <c r="C29" i="2"/>
  <c r="D29" i="2"/>
  <c r="A30" i="2"/>
  <c r="C30" i="2"/>
  <c r="D30" i="2"/>
  <c r="A31" i="2"/>
  <c r="C31" i="2"/>
  <c r="D31" i="2"/>
  <c r="A32" i="2"/>
  <c r="C32" i="2"/>
  <c r="D32" i="2"/>
  <c r="A33" i="2"/>
  <c r="C33" i="2"/>
  <c r="D33" i="2"/>
  <c r="A34" i="2"/>
  <c r="C34" i="2"/>
  <c r="D34" i="2"/>
  <c r="A35" i="2"/>
  <c r="C35" i="2"/>
  <c r="D35" i="2"/>
  <c r="A36" i="2"/>
  <c r="C36" i="2"/>
  <c r="D36" i="2"/>
  <c r="A37" i="2"/>
  <c r="C37" i="2"/>
  <c r="D37" i="2"/>
  <c r="A38" i="2"/>
  <c r="C38" i="2"/>
  <c r="D38" i="2"/>
  <c r="A39" i="2"/>
  <c r="C39" i="2"/>
  <c r="D39" i="2"/>
  <c r="A40" i="2"/>
  <c r="C40" i="2"/>
  <c r="D40" i="2"/>
  <c r="A41" i="2"/>
  <c r="C41" i="2"/>
  <c r="D41" i="2"/>
  <c r="A42" i="2"/>
  <c r="C42" i="2"/>
  <c r="D42" i="2"/>
  <c r="A43" i="2"/>
  <c r="C43" i="2"/>
  <c r="D43" i="2"/>
  <c r="A44" i="2"/>
  <c r="C44" i="2"/>
  <c r="D44" i="2"/>
  <c r="A45" i="2"/>
  <c r="C45" i="2"/>
  <c r="D45" i="2"/>
  <c r="A46" i="2"/>
  <c r="C46" i="2"/>
  <c r="D46" i="2"/>
  <c r="A47" i="2"/>
  <c r="C47" i="2"/>
  <c r="D47" i="2"/>
  <c r="A48" i="2"/>
  <c r="C48" i="2"/>
  <c r="D48" i="2"/>
  <c r="A49" i="2"/>
  <c r="C49" i="2"/>
  <c r="D49" i="2"/>
  <c r="A50" i="2"/>
  <c r="C50" i="2"/>
  <c r="D50" i="2"/>
  <c r="A51" i="2"/>
  <c r="C51" i="2"/>
  <c r="D51" i="2"/>
  <c r="A52" i="2"/>
  <c r="C52" i="2"/>
  <c r="D52" i="2"/>
  <c r="A53" i="2"/>
  <c r="C53" i="2"/>
  <c r="D53" i="2"/>
  <c r="A54" i="2"/>
  <c r="C54" i="2"/>
  <c r="D54" i="2"/>
  <c r="A55" i="2"/>
  <c r="C55" i="2"/>
  <c r="D55" i="2"/>
  <c r="A56" i="2"/>
  <c r="C56" i="2"/>
  <c r="D56" i="2"/>
  <c r="A57" i="2"/>
  <c r="C57" i="2"/>
  <c r="D57" i="2"/>
  <c r="A58" i="2"/>
  <c r="C58" i="2"/>
  <c r="D58" i="2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E57" i="3" l="1"/>
  <c r="E15" i="3"/>
  <c r="E11" i="3"/>
  <c r="E9" i="3"/>
  <c r="E39" i="3"/>
  <c r="E35" i="3"/>
  <c r="E33" i="3"/>
  <c r="E27" i="3"/>
  <c r="E12" i="3"/>
  <c r="E53" i="3"/>
  <c r="E47" i="3"/>
  <c r="E25" i="3"/>
  <c r="E23" i="3"/>
  <c r="E19" i="3"/>
  <c r="E17" i="3"/>
  <c r="E13" i="3"/>
  <c r="E56" i="3"/>
  <c r="E52" i="3"/>
  <c r="E50" i="3"/>
  <c r="E10" i="3"/>
  <c r="E49" i="3"/>
  <c r="E58" i="3"/>
  <c r="E46" i="3"/>
  <c r="E43" i="3"/>
  <c r="E41" i="3"/>
  <c r="E37" i="3"/>
  <c r="E31" i="3"/>
  <c r="E29" i="3"/>
  <c r="E40" i="3"/>
  <c r="E34" i="3"/>
  <c r="E32" i="3"/>
  <c r="E28" i="3"/>
  <c r="E22" i="3"/>
  <c r="E55" i="3"/>
  <c r="E54" i="3"/>
  <c r="E51" i="3"/>
  <c r="E48" i="3"/>
  <c r="E30" i="3"/>
  <c r="E21" i="3"/>
  <c r="E16" i="3"/>
  <c r="E12" i="4"/>
  <c r="E8" i="4"/>
  <c r="E26" i="2"/>
  <c r="E20" i="2"/>
  <c r="E35" i="4"/>
  <c r="E26" i="4"/>
  <c r="E23" i="4"/>
  <c r="E13" i="4"/>
  <c r="E30" i="4"/>
  <c r="E17" i="4"/>
  <c r="E25" i="4"/>
  <c r="E11" i="4"/>
  <c r="E53" i="4"/>
  <c r="E39" i="4"/>
  <c r="E9" i="4"/>
  <c r="E57" i="4"/>
  <c r="E38" i="4"/>
  <c r="E54" i="4"/>
  <c r="E52" i="4"/>
  <c r="E44" i="4"/>
  <c r="E40" i="4"/>
  <c r="E22" i="4"/>
  <c r="E20" i="4"/>
  <c r="E50" i="4"/>
  <c r="E49" i="4"/>
  <c r="E47" i="4"/>
  <c r="E33" i="4"/>
  <c r="E27" i="4"/>
  <c r="E42" i="4"/>
  <c r="E36" i="4"/>
  <c r="E15" i="4"/>
  <c r="E51" i="4"/>
  <c r="E45" i="4"/>
  <c r="E34" i="4"/>
  <c r="E32" i="4"/>
  <c r="E24" i="4"/>
  <c r="E18" i="4"/>
  <c r="E43" i="4"/>
  <c r="E41" i="4"/>
  <c r="E16" i="4"/>
  <c r="E14" i="4"/>
  <c r="E58" i="4"/>
  <c r="E56" i="4"/>
  <c r="E48" i="4"/>
  <c r="E31" i="4"/>
  <c r="E29" i="4"/>
  <c r="E21" i="4"/>
  <c r="E10" i="4"/>
  <c r="E55" i="4"/>
  <c r="E28" i="4"/>
  <c r="E46" i="4"/>
  <c r="E37" i="4"/>
  <c r="E19" i="4"/>
  <c r="E33" i="2"/>
  <c r="E37" i="2"/>
  <c r="E31" i="2"/>
  <c r="E19" i="2"/>
  <c r="E46" i="2"/>
  <c r="E58" i="2"/>
  <c r="E56" i="2"/>
  <c r="E50" i="2"/>
  <c r="E53" i="2"/>
  <c r="E47" i="2"/>
  <c r="E10" i="2"/>
  <c r="E8" i="2"/>
  <c r="E15" i="2"/>
  <c r="E13" i="2"/>
  <c r="E42" i="2"/>
  <c r="E40" i="2"/>
  <c r="E36" i="2"/>
  <c r="E34" i="2"/>
  <c r="E28" i="2"/>
  <c r="E14" i="2"/>
  <c r="E57" i="2"/>
  <c r="E41" i="2"/>
  <c r="E23" i="2"/>
  <c r="E32" i="2"/>
  <c r="E55" i="2"/>
  <c r="E51" i="2"/>
  <c r="E49" i="2"/>
  <c r="E24" i="2"/>
  <c r="E22" i="2"/>
  <c r="E45" i="2"/>
  <c r="E43" i="2"/>
  <c r="E35" i="2"/>
  <c r="E29" i="2"/>
  <c r="E18" i="2"/>
  <c r="E16" i="2"/>
  <c r="E54" i="2"/>
  <c r="E52" i="2"/>
  <c r="E44" i="2"/>
  <c r="E38" i="2"/>
  <c r="E27" i="2"/>
  <c r="E25" i="2"/>
  <c r="E17" i="2"/>
  <c r="E48" i="2"/>
  <c r="E39" i="2"/>
  <c r="E30" i="2"/>
  <c r="E21" i="2"/>
  <c r="E12" i="2"/>
  <c r="E11" i="2"/>
  <c r="E9" i="2"/>
</calcChain>
</file>

<file path=xl/sharedStrings.xml><?xml version="1.0" encoding="utf-8"?>
<sst xmlns="http://schemas.openxmlformats.org/spreadsheetml/2006/main" count="2030" uniqueCount="688">
  <si>
    <t>Tick Option Chain Summary</t>
  </si>
  <si>
    <t>Index</t>
  </si>
  <si>
    <t>Nearest Expiry</t>
  </si>
  <si>
    <t>Spot</t>
  </si>
  <si>
    <t>ATM Strike</t>
  </si>
  <si>
    <t>ATM Straddle</t>
  </si>
  <si>
    <t>Status</t>
  </si>
  <si>
    <t>NIFTY</t>
  </si>
  <si>
    <t>BANKNIFTY</t>
  </si>
  <si>
    <t>SENSEX</t>
  </si>
  <si>
    <t>Last Updated</t>
  </si>
  <si>
    <t>Mode</t>
  </si>
  <si>
    <t>WebSocket tick stream + 300ms batch</t>
  </si>
  <si>
    <t>Autosave</t>
  </si>
  <si>
    <t>60 seconds</t>
  </si>
  <si>
    <t>NIFTY Option Chain</t>
  </si>
  <si>
    <t>Showing ATM +/- 25 strikes</t>
  </si>
  <si>
    <t>ATM</t>
  </si>
  <si>
    <t>Strike</t>
  </si>
  <si>
    <t>Call LTP</t>
  </si>
  <si>
    <t>Put LTP</t>
  </si>
  <si>
    <t>Straddle Sum</t>
  </si>
  <si>
    <t>BANKNIFTY Option Chain</t>
  </si>
  <si>
    <t>SENSEX Option Chain</t>
  </si>
  <si>
    <t>simple-option-chain-v4</t>
  </si>
  <si>
    <t>NSE:NIFTY 50</t>
  </si>
  <si>
    <t>CE</t>
  </si>
  <si>
    <t>PE</t>
  </si>
  <si>
    <t>NSE:NIFTY BANK</t>
  </si>
  <si>
    <t>BANKNIFTY26MAY43000CE</t>
  </si>
  <si>
    <t>BANKNIFTY26MAY43000PE</t>
  </si>
  <si>
    <t>BANKNIFTY26MAY43500CE</t>
  </si>
  <si>
    <t>BANKNIFTY26MAY43500PE</t>
  </si>
  <si>
    <t>BANKNIFTY26MAY44000CE</t>
  </si>
  <si>
    <t>BANKNIFTY26MAY44000PE</t>
  </si>
  <si>
    <t>BANKNIFTY26MAY44500CE</t>
  </si>
  <si>
    <t>BANKNIFTY26MAY44500PE</t>
  </si>
  <si>
    <t>BANKNIFTY26MAY45000CE</t>
  </si>
  <si>
    <t>BANKNIFTY26MAY45000PE</t>
  </si>
  <si>
    <t>BANKNIFTY26MAY45300CE</t>
  </si>
  <si>
    <t>BANKNIFTY26MAY45300PE</t>
  </si>
  <si>
    <t>BANKNIFTY26MAY45400CE</t>
  </si>
  <si>
    <t>BANKNIFTY26MAY45400PE</t>
  </si>
  <si>
    <t>BANKNIFTY26MAY45500CE</t>
  </si>
  <si>
    <t>BANKNIFTY26MAY45500PE</t>
  </si>
  <si>
    <t>BANKNIFTY26MAY45600CE</t>
  </si>
  <si>
    <t>BANKNIFTY26MAY45600PE</t>
  </si>
  <si>
    <t>BANKNIFTY26MAY45700CE</t>
  </si>
  <si>
    <t>BANKNIFTY26MAY45700PE</t>
  </si>
  <si>
    <t>BANKNIFTY26MAY45800CE</t>
  </si>
  <si>
    <t>BANKNIFTY26MAY45800PE</t>
  </si>
  <si>
    <t>BANKNIFTY26MAY45900CE</t>
  </si>
  <si>
    <t>BANKNIFTY26MAY45900PE</t>
  </si>
  <si>
    <t>BANKNIFTY26MAY46000CE</t>
  </si>
  <si>
    <t>BANKNIFTY26MAY46000PE</t>
  </si>
  <si>
    <t>BANKNIFTY26MAY46100CE</t>
  </si>
  <si>
    <t>BANKNIFTY26MAY46100PE</t>
  </si>
  <si>
    <t>BANKNIFTY26MAY46200CE</t>
  </si>
  <si>
    <t>BANKNIFTY26MAY46200PE</t>
  </si>
  <si>
    <t>BANKNIFTY26MAY46300CE</t>
  </si>
  <si>
    <t>BANKNIFTY26MAY46300PE</t>
  </si>
  <si>
    <t>BANKNIFTY26MAY46400CE</t>
  </si>
  <si>
    <t>BANKNIFTY26MAY46400PE</t>
  </si>
  <si>
    <t>BANKNIFTY26MAY46500CE</t>
  </si>
  <si>
    <t>BANKNIFTY26MAY46500PE</t>
  </si>
  <si>
    <t>BANKNIFTY26MAY46600CE</t>
  </si>
  <si>
    <t>BANKNIFTY26MAY46600PE</t>
  </si>
  <si>
    <t>BANKNIFTY26MAY46700CE</t>
  </si>
  <si>
    <t>BANKNIFTY26MAY46700PE</t>
  </si>
  <si>
    <t>BANKNIFTY26MAY46800CE</t>
  </si>
  <si>
    <t>BANKNIFTY26MAY46800PE</t>
  </si>
  <si>
    <t>BANKNIFTY26MAY46900CE</t>
  </si>
  <si>
    <t>BANKNIFTY26MAY46900PE</t>
  </si>
  <si>
    <t>BANKNIFTY26MAY47000CE</t>
  </si>
  <si>
    <t>BANKNIFTY26MAY47000PE</t>
  </si>
  <si>
    <t>BANKNIFTY26MAY47100CE</t>
  </si>
  <si>
    <t>BANKNIFTY26MAY47100PE</t>
  </si>
  <si>
    <t>BANKNIFTY26MAY47200CE</t>
  </si>
  <si>
    <t>BANKNIFTY26MAY47200PE</t>
  </si>
  <si>
    <t>BANKNIFTY26MAY47300CE</t>
  </si>
  <si>
    <t>BANKNIFTY26MAY47300PE</t>
  </si>
  <si>
    <t>BANKNIFTY26MAY47400CE</t>
  </si>
  <si>
    <t>BANKNIFTY26MAY47400PE</t>
  </si>
  <si>
    <t>BANKNIFTY26MAY47500CE</t>
  </si>
  <si>
    <t>BANKNIFTY26MAY47500PE</t>
  </si>
  <si>
    <t>BANKNIFTY26MAY47600CE</t>
  </si>
  <si>
    <t>BANKNIFTY26MAY47600PE</t>
  </si>
  <si>
    <t>BANKNIFTY26MAY47700CE</t>
  </si>
  <si>
    <t>BANKNIFTY26MAY47700PE</t>
  </si>
  <si>
    <t>BANKNIFTY26MAY47800CE</t>
  </si>
  <si>
    <t>BANKNIFTY26MAY47800PE</t>
  </si>
  <si>
    <t>BANKNIFTY26MAY47900CE</t>
  </si>
  <si>
    <t>BANKNIFTY26MAY47900PE</t>
  </si>
  <si>
    <t>BANKNIFTY26MAY48000CE</t>
  </si>
  <si>
    <t>BANKNIFTY26MAY48000PE</t>
  </si>
  <si>
    <t>BANKNIFTY26MAY48100CE</t>
  </si>
  <si>
    <t>BANKNIFTY26MAY48100PE</t>
  </si>
  <si>
    <t>BANKNIFTY26MAY48200CE</t>
  </si>
  <si>
    <t>BANKNIFTY26MAY48200PE</t>
  </si>
  <si>
    <t>BANKNIFTY26MAY48300CE</t>
  </si>
  <si>
    <t>BANKNIFTY26MAY48300PE</t>
  </si>
  <si>
    <t>BANKNIFTY26MAY48400CE</t>
  </si>
  <si>
    <t>BANKNIFTY26MAY48400PE</t>
  </si>
  <si>
    <t>BANKNIFTY26MAY48500CE</t>
  </si>
  <si>
    <t>BANKNIFTY26MAY48500PE</t>
  </si>
  <si>
    <t>BANKNIFTY26MAY48600CE</t>
  </si>
  <si>
    <t>BANKNIFTY26MAY48600PE</t>
  </si>
  <si>
    <t>BANKNIFTY26MAY48700CE</t>
  </si>
  <si>
    <t>BANKNIFTY26MAY48700PE</t>
  </si>
  <si>
    <t>BANKNIFTY26MAY48800CE</t>
  </si>
  <si>
    <t>BANKNIFTY26MAY48800PE</t>
  </si>
  <si>
    <t>BANKNIFTY26MAY48900CE</t>
  </si>
  <si>
    <t>BANKNIFTY26MAY48900PE</t>
  </si>
  <si>
    <t>BANKNIFTY26MAY49000CE</t>
  </si>
  <si>
    <t>BANKNIFTY26MAY49000PE</t>
  </si>
  <si>
    <t>BANKNIFTY26MAY49100CE</t>
  </si>
  <si>
    <t>BANKNIFTY26MAY49100PE</t>
  </si>
  <si>
    <t>BANKNIFTY26MAY49200CE</t>
  </si>
  <si>
    <t>BANKNIFTY26MAY49200PE</t>
  </si>
  <si>
    <t>BANKNIFTY26MAY49300CE</t>
  </si>
  <si>
    <t>BANKNIFTY26MAY49300PE</t>
  </si>
  <si>
    <t>BANKNIFTY26MAY49400CE</t>
  </si>
  <si>
    <t>BANKNIFTY26MAY49400PE</t>
  </si>
  <si>
    <t>BANKNIFTY26MAY49500CE</t>
  </si>
  <si>
    <t>BANKNIFTY26MAY49500PE</t>
  </si>
  <si>
    <t>BANKNIFTY26MAY49600CE</t>
  </si>
  <si>
    <t>BANKNIFTY26MAY49600PE</t>
  </si>
  <si>
    <t>BANKNIFTY26MAY49700CE</t>
  </si>
  <si>
    <t>BANKNIFTY26MAY49700PE</t>
  </si>
  <si>
    <t>BANKNIFTY26MAY49800CE</t>
  </si>
  <si>
    <t>BANKNIFTY26MAY49800PE</t>
  </si>
  <si>
    <t>BANKNIFTY26MAY49900CE</t>
  </si>
  <si>
    <t>BANKNIFTY26MAY49900PE</t>
  </si>
  <si>
    <t>BANKNIFTY26MAY50000CE</t>
  </si>
  <si>
    <t>BANKNIFTY26MAY50000PE</t>
  </si>
  <si>
    <t>BANKNIFTY26MAY50100CE</t>
  </si>
  <si>
    <t>BANKNIFTY26MAY50100PE</t>
  </si>
  <si>
    <t>BANKNIFTY26MAY50200CE</t>
  </si>
  <si>
    <t>BANKNIFTY26MAY50200PE</t>
  </si>
  <si>
    <t>BANKNIFTY26MAY50300CE</t>
  </si>
  <si>
    <t>BANKNIFTY26MAY50300PE</t>
  </si>
  <si>
    <t>BANKNIFTY26MAY50400CE</t>
  </si>
  <si>
    <t>BANKNIFTY26MAY50400PE</t>
  </si>
  <si>
    <t>BANKNIFTY26MAY50500CE</t>
  </si>
  <si>
    <t>BANKNIFTY26MAY50500PE</t>
  </si>
  <si>
    <t>BANKNIFTY26MAY50600CE</t>
  </si>
  <si>
    <t>BANKNIFTY26MAY50600PE</t>
  </si>
  <si>
    <t>BANKNIFTY26MAY50700CE</t>
  </si>
  <si>
    <t>BANKNIFTY26MAY50700PE</t>
  </si>
  <si>
    <t>BANKNIFTY26MAY50800CE</t>
  </si>
  <si>
    <t>BANKNIFTY26MAY50800PE</t>
  </si>
  <si>
    <t>BANKNIFTY26MAY50900CE</t>
  </si>
  <si>
    <t>BANKNIFTY26MAY50900PE</t>
  </si>
  <si>
    <t>BANKNIFTY26MAY51000CE</t>
  </si>
  <si>
    <t>BANKNIFTY26MAY51000PE</t>
  </si>
  <si>
    <t>BANKNIFTY26MAY51100CE</t>
  </si>
  <si>
    <t>BANKNIFTY26MAY51100PE</t>
  </si>
  <si>
    <t>BANKNIFTY26MAY51200CE</t>
  </si>
  <si>
    <t>BANKNIFTY26MAY51200PE</t>
  </si>
  <si>
    <t>BANKNIFTY26MAY51300CE</t>
  </si>
  <si>
    <t>BANKNIFTY26MAY51300PE</t>
  </si>
  <si>
    <t>BANKNIFTY26MAY51400CE</t>
  </si>
  <si>
    <t>BANKNIFTY26MAY51400PE</t>
  </si>
  <si>
    <t>BANKNIFTY26MAY51500CE</t>
  </si>
  <si>
    <t>BANKNIFTY26MAY51500PE</t>
  </si>
  <si>
    <t>BANKNIFTY26MAY51600CE</t>
  </si>
  <si>
    <t>BANKNIFTY26MAY51600PE</t>
  </si>
  <si>
    <t>BANKNIFTY26MAY51700CE</t>
  </si>
  <si>
    <t>BANKNIFTY26MAY51700PE</t>
  </si>
  <si>
    <t>BANKNIFTY26MAY51800CE</t>
  </si>
  <si>
    <t>BANKNIFTY26MAY51800PE</t>
  </si>
  <si>
    <t>BANKNIFTY26MAY51900CE</t>
  </si>
  <si>
    <t>BANKNIFTY26MAY51900PE</t>
  </si>
  <si>
    <t>BANKNIFTY26MAY52000CE</t>
  </si>
  <si>
    <t>BANKNIFTY26MAY52000PE</t>
  </si>
  <si>
    <t>BANKNIFTY26MAY52100CE</t>
  </si>
  <si>
    <t>BANKNIFTY26MAY52100PE</t>
  </si>
  <si>
    <t>BANKNIFTY26MAY52200CE</t>
  </si>
  <si>
    <t>BANKNIFTY26MAY52200PE</t>
  </si>
  <si>
    <t>BANKNIFTY26MAY52300CE</t>
  </si>
  <si>
    <t>BANKNIFTY26MAY52300PE</t>
  </si>
  <si>
    <t>BANKNIFTY26MAY52400CE</t>
  </si>
  <si>
    <t>BANKNIFTY26MAY52400PE</t>
  </si>
  <si>
    <t>BANKNIFTY26MAY52500CE</t>
  </si>
  <si>
    <t>BANKNIFTY26MAY52500PE</t>
  </si>
  <si>
    <t>BANKNIFTY26MAY52600CE</t>
  </si>
  <si>
    <t>BANKNIFTY26MAY52600PE</t>
  </si>
  <si>
    <t>BANKNIFTY26MAY52700CE</t>
  </si>
  <si>
    <t>BANKNIFTY26MAY52700PE</t>
  </si>
  <si>
    <t>BANKNIFTY26MAY52800CE</t>
  </si>
  <si>
    <t>BANKNIFTY26MAY52800PE</t>
  </si>
  <si>
    <t>BANKNIFTY26MAY52900CE</t>
  </si>
  <si>
    <t>BANKNIFTY26MAY52900PE</t>
  </si>
  <si>
    <t>BANKNIFTY26MAY53000CE</t>
  </si>
  <si>
    <t>BANKNIFTY26MAY53000PE</t>
  </si>
  <si>
    <t>BANKNIFTY26MAY53100CE</t>
  </si>
  <si>
    <t>BANKNIFTY26MAY53100PE</t>
  </si>
  <si>
    <t>BANKNIFTY26MAY53200CE</t>
  </si>
  <si>
    <t>BANKNIFTY26MAY53200PE</t>
  </si>
  <si>
    <t>BANKNIFTY26MAY53300CE</t>
  </si>
  <si>
    <t>BANKNIFTY26MAY53300PE</t>
  </si>
  <si>
    <t>BANKNIFTY26MAY53400CE</t>
  </si>
  <si>
    <t>BANKNIFTY26MAY53400PE</t>
  </si>
  <si>
    <t>BANKNIFTY26MAY53500CE</t>
  </si>
  <si>
    <t>BANKNIFTY26MAY53500PE</t>
  </si>
  <si>
    <t>BANKNIFTY26MAY53600CE</t>
  </si>
  <si>
    <t>BANKNIFTY26MAY53600PE</t>
  </si>
  <si>
    <t>BANKNIFTY26MAY53700CE</t>
  </si>
  <si>
    <t>BANKNIFTY26MAY53700PE</t>
  </si>
  <si>
    <t>BANKNIFTY26MAY53800CE</t>
  </si>
  <si>
    <t>BANKNIFTY26MAY53800PE</t>
  </si>
  <si>
    <t>BANKNIFTY26MAY53900CE</t>
  </si>
  <si>
    <t>BANKNIFTY26MAY53900PE</t>
  </si>
  <si>
    <t>BANKNIFTY26MAY54000CE</t>
  </si>
  <si>
    <t>BANKNIFTY26MAY54000PE</t>
  </si>
  <si>
    <t>BANKNIFTY26MAY54100CE</t>
  </si>
  <si>
    <t>BANKNIFTY26MAY54100PE</t>
  </si>
  <si>
    <t>BANKNIFTY26MAY54200CE</t>
  </si>
  <si>
    <t>BANKNIFTY26MAY54200PE</t>
  </si>
  <si>
    <t>BANKNIFTY26MAY54300CE</t>
  </si>
  <si>
    <t>BANKNIFTY26MAY54300PE</t>
  </si>
  <si>
    <t>BANKNIFTY26MAY54400CE</t>
  </si>
  <si>
    <t>BANKNIFTY26MAY54400PE</t>
  </si>
  <si>
    <t>BANKNIFTY26MAY54500CE</t>
  </si>
  <si>
    <t>BANKNIFTY26MAY54500PE</t>
  </si>
  <si>
    <t>BANKNIFTY26MAY54600CE</t>
  </si>
  <si>
    <t>BANKNIFTY26MAY54600PE</t>
  </si>
  <si>
    <t>BANKNIFTY26MAY54700CE</t>
  </si>
  <si>
    <t>BANKNIFTY26MAY54700PE</t>
  </si>
  <si>
    <t>BANKNIFTY26MAY54800CE</t>
  </si>
  <si>
    <t>BANKNIFTY26MAY54800PE</t>
  </si>
  <si>
    <t>BANKNIFTY26MAY54900CE</t>
  </si>
  <si>
    <t>BANKNIFTY26MAY54900PE</t>
  </si>
  <si>
    <t>BANKNIFTY26MAY55000CE</t>
  </si>
  <si>
    <t>BANKNIFTY26MAY55000PE</t>
  </si>
  <si>
    <t>BANKNIFTY26MAY55100CE</t>
  </si>
  <si>
    <t>BANKNIFTY26MAY55100PE</t>
  </si>
  <si>
    <t>BANKNIFTY26MAY55200CE</t>
  </si>
  <si>
    <t>BANKNIFTY26MAY55200PE</t>
  </si>
  <si>
    <t>BANKNIFTY26MAY55300CE</t>
  </si>
  <si>
    <t>BANKNIFTY26MAY55300PE</t>
  </si>
  <si>
    <t>BANKNIFTY26MAY55400CE</t>
  </si>
  <si>
    <t>BANKNIFTY26MAY55400PE</t>
  </si>
  <si>
    <t>BANKNIFTY26MAY55500CE</t>
  </si>
  <si>
    <t>BANKNIFTY26MAY55500PE</t>
  </si>
  <si>
    <t>BANKNIFTY26MAY55600CE</t>
  </si>
  <si>
    <t>BANKNIFTY26MAY55600PE</t>
  </si>
  <si>
    <t>BANKNIFTY26MAY55700CE</t>
  </si>
  <si>
    <t>BANKNIFTY26MAY55700PE</t>
  </si>
  <si>
    <t>BANKNIFTY26MAY55800CE</t>
  </si>
  <si>
    <t>BANKNIFTY26MAY55800PE</t>
  </si>
  <si>
    <t>BANKNIFTY26MAY55900CE</t>
  </si>
  <si>
    <t>BANKNIFTY26MAY55900PE</t>
  </si>
  <si>
    <t>BANKNIFTY26MAY56000CE</t>
  </si>
  <si>
    <t>BANKNIFTY26MAY56000PE</t>
  </si>
  <si>
    <t>BANKNIFTY26MAY56100CE</t>
  </si>
  <si>
    <t>BANKNIFTY26MAY56100PE</t>
  </si>
  <si>
    <t>BANKNIFTY26MAY56200CE</t>
  </si>
  <si>
    <t>BANKNIFTY26MAY56200PE</t>
  </si>
  <si>
    <t>BANKNIFTY26MAY56300CE</t>
  </si>
  <si>
    <t>BANKNIFTY26MAY56300PE</t>
  </si>
  <si>
    <t>BANKNIFTY26MAY56400CE</t>
  </si>
  <si>
    <t>BANKNIFTY26MAY56400PE</t>
  </si>
  <si>
    <t>BANKNIFTY26MAY56500CE</t>
  </si>
  <si>
    <t>BANKNIFTY26MAY56500PE</t>
  </si>
  <si>
    <t>BANKNIFTY26MAY56600CE</t>
  </si>
  <si>
    <t>BANKNIFTY26MAY56600PE</t>
  </si>
  <si>
    <t>BANKNIFTY26MAY56700CE</t>
  </si>
  <si>
    <t>BANKNIFTY26MAY56700PE</t>
  </si>
  <si>
    <t>BANKNIFTY26MAY56800CE</t>
  </si>
  <si>
    <t>BANKNIFTY26MAY56800PE</t>
  </si>
  <si>
    <t>BANKNIFTY26MAY56900CE</t>
  </si>
  <si>
    <t>BANKNIFTY26MAY56900PE</t>
  </si>
  <si>
    <t>BANKNIFTY26MAY57000CE</t>
  </si>
  <si>
    <t>BANKNIFTY26MAY57000PE</t>
  </si>
  <si>
    <t>BANKNIFTY26MAY57100CE</t>
  </si>
  <si>
    <t>BANKNIFTY26MAY57100PE</t>
  </si>
  <si>
    <t>BANKNIFTY26MAY57200CE</t>
  </si>
  <si>
    <t>BANKNIFTY26MAY57200PE</t>
  </si>
  <si>
    <t>BANKNIFTY26MAY57300CE</t>
  </si>
  <si>
    <t>BANKNIFTY26MAY57300PE</t>
  </si>
  <si>
    <t>BANKNIFTY26MAY57400CE</t>
  </si>
  <si>
    <t>BANKNIFTY26MAY57400PE</t>
  </si>
  <si>
    <t>BANKNIFTY26MAY57500CE</t>
  </si>
  <si>
    <t>BANKNIFTY26MAY57500PE</t>
  </si>
  <si>
    <t>BANKNIFTY26MAY57600CE</t>
  </si>
  <si>
    <t>BANKNIFTY26MAY57600PE</t>
  </si>
  <si>
    <t>BANKNIFTY26MAY57700CE</t>
  </si>
  <si>
    <t>BANKNIFTY26MAY57700PE</t>
  </si>
  <si>
    <t>BANKNIFTY26MAY57800CE</t>
  </si>
  <si>
    <t>BANKNIFTY26MAY57800PE</t>
  </si>
  <si>
    <t>BANKNIFTY26MAY57900CE</t>
  </si>
  <si>
    <t>BANKNIFTY26MAY57900PE</t>
  </si>
  <si>
    <t>BANKNIFTY26MAY58000CE</t>
  </si>
  <si>
    <t>BANKNIFTY26MAY58000PE</t>
  </si>
  <si>
    <t>BANKNIFTY26MAY58100CE</t>
  </si>
  <si>
    <t>BANKNIFTY26MAY58100PE</t>
  </si>
  <si>
    <t>BANKNIFTY26MAY58200CE</t>
  </si>
  <si>
    <t>BANKNIFTY26MAY58200PE</t>
  </si>
  <si>
    <t>BANKNIFTY26MAY58300CE</t>
  </si>
  <si>
    <t>BANKNIFTY26MAY58300PE</t>
  </si>
  <si>
    <t>BANKNIFTY26MAY58400CE</t>
  </si>
  <si>
    <t>BANKNIFTY26MAY58400PE</t>
  </si>
  <si>
    <t>BANKNIFTY26MAY58500CE</t>
  </si>
  <si>
    <t>BANKNIFTY26MAY58500PE</t>
  </si>
  <si>
    <t>BANKNIFTY26MAY58600CE</t>
  </si>
  <si>
    <t>BANKNIFTY26MAY58600PE</t>
  </si>
  <si>
    <t>BANKNIFTY26MAY58700CE</t>
  </si>
  <si>
    <t>BANKNIFTY26MAY58700PE</t>
  </si>
  <si>
    <t>BANKNIFTY26MAY58800CE</t>
  </si>
  <si>
    <t>BANKNIFTY26MAY58800PE</t>
  </si>
  <si>
    <t>BANKNIFTY26MAY58900CE</t>
  </si>
  <si>
    <t>BANKNIFTY26MAY58900PE</t>
  </si>
  <si>
    <t>BANKNIFTY26MAY59000CE</t>
  </si>
  <si>
    <t>BANKNIFTY26MAY59000PE</t>
  </si>
  <si>
    <t>BANKNIFTY26MAY59100CE</t>
  </si>
  <si>
    <t>BANKNIFTY26MAY59100PE</t>
  </si>
  <si>
    <t>BANKNIFTY26MAY59200CE</t>
  </si>
  <si>
    <t>BANKNIFTY26MAY59200PE</t>
  </si>
  <si>
    <t>BANKNIFTY26MAY59300CE</t>
  </si>
  <si>
    <t>BANKNIFTY26MAY59300PE</t>
  </si>
  <si>
    <t>BANKNIFTY26MAY59400CE</t>
  </si>
  <si>
    <t>BANKNIFTY26MAY59400PE</t>
  </si>
  <si>
    <t>BANKNIFTY26MAY59500CE</t>
  </si>
  <si>
    <t>BANKNIFTY26MAY59500PE</t>
  </si>
  <si>
    <t>BANKNIFTY26MAY59600CE</t>
  </si>
  <si>
    <t>BANKNIFTY26MAY59600PE</t>
  </si>
  <si>
    <t>BANKNIFTY26MAY59700CE</t>
  </si>
  <si>
    <t>BANKNIFTY26MAY59700PE</t>
  </si>
  <si>
    <t>BANKNIFTY26MAY59800CE</t>
  </si>
  <si>
    <t>BANKNIFTY26MAY59800PE</t>
  </si>
  <si>
    <t>BANKNIFTY26MAY59900CE</t>
  </si>
  <si>
    <t>BANKNIFTY26MAY59900PE</t>
  </si>
  <si>
    <t>BANKNIFTY26MAY60000CE</t>
  </si>
  <si>
    <t>BANKNIFTY26MAY60000PE</t>
  </si>
  <si>
    <t>BANKNIFTY26MAY60100CE</t>
  </si>
  <si>
    <t>BANKNIFTY26MAY60100PE</t>
  </si>
  <si>
    <t>BANKNIFTY26MAY60200CE</t>
  </si>
  <si>
    <t>BANKNIFTY26MAY60200PE</t>
  </si>
  <si>
    <t>BANKNIFTY26MAY60300CE</t>
  </si>
  <si>
    <t>BANKNIFTY26MAY60300PE</t>
  </si>
  <si>
    <t>BANKNIFTY26MAY60400CE</t>
  </si>
  <si>
    <t>BANKNIFTY26MAY60400PE</t>
  </si>
  <si>
    <t>BANKNIFTY26MAY60500CE</t>
  </si>
  <si>
    <t>BANKNIFTY26MAY60500PE</t>
  </si>
  <si>
    <t>BANKNIFTY26MAY60600CE</t>
  </si>
  <si>
    <t>BANKNIFTY26MAY60600PE</t>
  </si>
  <si>
    <t>BANKNIFTY26MAY60700CE</t>
  </si>
  <si>
    <t>BANKNIFTY26MAY60700PE</t>
  </si>
  <si>
    <t>BANKNIFTY26MAY60800CE</t>
  </si>
  <si>
    <t>BANKNIFTY26MAY60800PE</t>
  </si>
  <si>
    <t>BANKNIFTY26MAY60900CE</t>
  </si>
  <si>
    <t>BANKNIFTY26MAY60900PE</t>
  </si>
  <si>
    <t>BANKNIFTY26MAY61000CE</t>
  </si>
  <si>
    <t>BANKNIFTY26MAY61000PE</t>
  </si>
  <si>
    <t>BANKNIFTY26MAY61100CE</t>
  </si>
  <si>
    <t>BANKNIFTY26MAY61100PE</t>
  </si>
  <si>
    <t>BANKNIFTY26MAY61200CE</t>
  </si>
  <si>
    <t>BANKNIFTY26MAY61200PE</t>
  </si>
  <si>
    <t>BANKNIFTY26MAY61300CE</t>
  </si>
  <si>
    <t>BANKNIFTY26MAY61300PE</t>
  </si>
  <si>
    <t>BANKNIFTY26MAY61400CE</t>
  </si>
  <si>
    <t>BANKNIFTY26MAY61400PE</t>
  </si>
  <si>
    <t>BANKNIFTY26MAY61500CE</t>
  </si>
  <si>
    <t>BANKNIFTY26MAY61500PE</t>
  </si>
  <si>
    <t>BANKNIFTY26MAY61600CE</t>
  </si>
  <si>
    <t>BANKNIFTY26MAY61600PE</t>
  </si>
  <si>
    <t>BANKNIFTY26MAY61700CE</t>
  </si>
  <si>
    <t>BANKNIFTY26MAY61700PE</t>
  </si>
  <si>
    <t>BANKNIFTY26MAY61800CE</t>
  </si>
  <si>
    <t>BANKNIFTY26MAY61800PE</t>
  </si>
  <si>
    <t>BANKNIFTY26MAY61900CE</t>
  </si>
  <si>
    <t>BANKNIFTY26MAY61900PE</t>
  </si>
  <si>
    <t>BANKNIFTY26MAY62000CE</t>
  </si>
  <si>
    <t>BANKNIFTY26MAY62000PE</t>
  </si>
  <si>
    <t>BANKNIFTY26MAY62100CE</t>
  </si>
  <si>
    <t>BANKNIFTY26MAY62100PE</t>
  </si>
  <si>
    <t>BANKNIFTY26MAY62200CE</t>
  </si>
  <si>
    <t>BANKNIFTY26MAY62200PE</t>
  </si>
  <si>
    <t>BANKNIFTY26MAY62300CE</t>
  </si>
  <si>
    <t>BANKNIFTY26MAY62300PE</t>
  </si>
  <si>
    <t>BANKNIFTY26MAY62400CE</t>
  </si>
  <si>
    <t>BANKNIFTY26MAY62400PE</t>
  </si>
  <si>
    <t>BANKNIFTY26MAY62500CE</t>
  </si>
  <si>
    <t>BANKNIFTY26MAY62500PE</t>
  </si>
  <si>
    <t>BANKNIFTY26MAY62600CE</t>
  </si>
  <si>
    <t>BANKNIFTY26MAY62600PE</t>
  </si>
  <si>
    <t>BANKNIFTY26MAY62700CE</t>
  </si>
  <si>
    <t>BANKNIFTY26MAY62700PE</t>
  </si>
  <si>
    <t>BANKNIFTY26MAY62800CE</t>
  </si>
  <si>
    <t>BANKNIFTY26MAY62800PE</t>
  </si>
  <si>
    <t>BANKNIFTY26MAY62900CE</t>
  </si>
  <si>
    <t>BANKNIFTY26MAY62900PE</t>
  </si>
  <si>
    <t>BANKNIFTY26MAY63000CE</t>
  </si>
  <si>
    <t>BANKNIFTY26MAY63000PE</t>
  </si>
  <si>
    <t>BANKNIFTY26MAY63100CE</t>
  </si>
  <si>
    <t>BANKNIFTY26MAY63100PE</t>
  </si>
  <si>
    <t>BANKNIFTY26MAY63200CE</t>
  </si>
  <si>
    <t>BANKNIFTY26MAY63200PE</t>
  </si>
  <si>
    <t>BANKNIFTY26MAY63300CE</t>
  </si>
  <si>
    <t>BANKNIFTY26MAY63300PE</t>
  </si>
  <si>
    <t>BANKNIFTY26MAY63400CE</t>
  </si>
  <si>
    <t>BANKNIFTY26MAY63400PE</t>
  </si>
  <si>
    <t>BANKNIFTY26MAY63500CE</t>
  </si>
  <si>
    <t>BANKNIFTY26MAY63500PE</t>
  </si>
  <si>
    <t>BANKNIFTY26MAY63600CE</t>
  </si>
  <si>
    <t>BANKNIFTY26MAY63600PE</t>
  </si>
  <si>
    <t>BANKNIFTY26MAY63700CE</t>
  </si>
  <si>
    <t>BANKNIFTY26MAY63700PE</t>
  </si>
  <si>
    <t>BANKNIFTY26MAY63800CE</t>
  </si>
  <si>
    <t>BANKNIFTY26MAY63800PE</t>
  </si>
  <si>
    <t>BANKNIFTY26MAY63900CE</t>
  </si>
  <si>
    <t>BANKNIFTY26MAY63900PE</t>
  </si>
  <si>
    <t>BANKNIFTY26MAY64000CE</t>
  </si>
  <si>
    <t>BANKNIFTY26MAY64000PE</t>
  </si>
  <si>
    <t>BANKNIFTY26MAY64100CE</t>
  </si>
  <si>
    <t>BANKNIFTY26MAY64100PE</t>
  </si>
  <si>
    <t>BANKNIFTY26MAY64200CE</t>
  </si>
  <si>
    <t>BANKNIFTY26MAY64200PE</t>
  </si>
  <si>
    <t>BANKNIFTY26MAY64300CE</t>
  </si>
  <si>
    <t>BANKNIFTY26MAY64300PE</t>
  </si>
  <si>
    <t>BANKNIFTY26MAY64400CE</t>
  </si>
  <si>
    <t>BANKNIFTY26MAY64400PE</t>
  </si>
  <si>
    <t>BANKNIFTY26MAY64500CE</t>
  </si>
  <si>
    <t>BANKNIFTY26MAY64500PE</t>
  </si>
  <si>
    <t>BANKNIFTY26MAY64600CE</t>
  </si>
  <si>
    <t>BANKNIFTY26MAY64600PE</t>
  </si>
  <si>
    <t>BANKNIFTY26MAY64700CE</t>
  </si>
  <si>
    <t>BANKNIFTY26MAY64700PE</t>
  </si>
  <si>
    <t>BANKNIFTY26MAY64800CE</t>
  </si>
  <si>
    <t>BANKNIFTY26MAY64800PE</t>
  </si>
  <si>
    <t>BANKNIFTY26MAY64900CE</t>
  </si>
  <si>
    <t>BANKNIFTY26MAY64900PE</t>
  </si>
  <si>
    <t>BANKNIFTY26MAY65000CE</t>
  </si>
  <si>
    <t>BANKNIFTY26MAY65000PE</t>
  </si>
  <si>
    <t>BANKNIFTY26MAY65100CE</t>
  </si>
  <si>
    <t>BANKNIFTY26MAY65100PE</t>
  </si>
  <si>
    <t>BANKNIFTY26MAY65200CE</t>
  </si>
  <si>
    <t>BANKNIFTY26MAY65200PE</t>
  </si>
  <si>
    <t>BANKNIFTY26MAY65300CE</t>
  </si>
  <si>
    <t>BANKNIFTY26MAY65300PE</t>
  </si>
  <si>
    <t>BANKNIFTY26MAY65400CE</t>
  </si>
  <si>
    <t>BANKNIFTY26MAY65400PE</t>
  </si>
  <si>
    <t>BANKNIFTY26MAY65500CE</t>
  </si>
  <si>
    <t>BANKNIFTY26MAY65500PE</t>
  </si>
  <si>
    <t>BANKNIFTY26MAY65600CE</t>
  </si>
  <si>
    <t>BANKNIFTY26MAY65600PE</t>
  </si>
  <si>
    <t>BANKNIFTY26MAY65700CE</t>
  </si>
  <si>
    <t>BANKNIFTY26MAY65700PE</t>
  </si>
  <si>
    <t>BANKNIFTY26MAY65800CE</t>
  </si>
  <si>
    <t>BANKNIFTY26MAY65800PE</t>
  </si>
  <si>
    <t>BANKNIFTY26MAY65900CE</t>
  </si>
  <si>
    <t>BANKNIFTY26MAY65900PE</t>
  </si>
  <si>
    <t>BANKNIFTY26MAY66000CE</t>
  </si>
  <si>
    <t>BANKNIFTY26MAY66000PE</t>
  </si>
  <si>
    <t>BANKNIFTY26MAY66100CE</t>
  </si>
  <si>
    <t>BANKNIFTY26MAY66100PE</t>
  </si>
  <si>
    <t>BANKNIFTY26MAY66200CE</t>
  </si>
  <si>
    <t>BANKNIFTY26MAY66200PE</t>
  </si>
  <si>
    <t>BANKNIFTY26MAY66500CE</t>
  </si>
  <si>
    <t>BANKNIFTY26MAY66500PE</t>
  </si>
  <si>
    <t>BANKNIFTY26MAY67000CE</t>
  </si>
  <si>
    <t>BANKNIFTY26MAY67000PE</t>
  </si>
  <si>
    <t>BANKNIFTY26MAY67500CE</t>
  </si>
  <si>
    <t>BANKNIFTY26MAY67500PE</t>
  </si>
  <si>
    <t>BANKNIFTY26MAY68000CE</t>
  </si>
  <si>
    <t>BANKNIFTY26MAY68000PE</t>
  </si>
  <si>
    <t>BANKNIFTY26MAY68500CE</t>
  </si>
  <si>
    <t>BANKNIFTY26MAY68500PE</t>
  </si>
  <si>
    <t>Streaming live ticks for BANKNIFTY 2026-05-26</t>
  </si>
  <si>
    <t>Streaming live ticks for SENSEX 2026-05-07</t>
  </si>
  <si>
    <t>NIFTY2651221200CE</t>
  </si>
  <si>
    <t>NIFTY2651221200PE</t>
  </si>
  <si>
    <t>NIFTY2651221250CE</t>
  </si>
  <si>
    <t>NIFTY2651221250PE</t>
  </si>
  <si>
    <t>NIFTY2651221300CE</t>
  </si>
  <si>
    <t>NIFTY2651221300PE</t>
  </si>
  <si>
    <t>NIFTY2651221350CE</t>
  </si>
  <si>
    <t>NIFTY2651221350PE</t>
  </si>
  <si>
    <t>NIFTY2651221400CE</t>
  </si>
  <si>
    <t>NIFTY2651221400PE</t>
  </si>
  <si>
    <t>NIFTY2651221450CE</t>
  </si>
  <si>
    <t>NIFTY2651221450PE</t>
  </si>
  <si>
    <t>NIFTY2651221500CE</t>
  </si>
  <si>
    <t>NIFTY2651221500PE</t>
  </si>
  <si>
    <t>NIFTY2651221550CE</t>
  </si>
  <si>
    <t>NIFTY2651221550PE</t>
  </si>
  <si>
    <t>NIFTY2651221600CE</t>
  </si>
  <si>
    <t>NIFTY2651221600PE</t>
  </si>
  <si>
    <t>NIFTY2651221650CE</t>
  </si>
  <si>
    <t>NIFTY2651221650PE</t>
  </si>
  <si>
    <t>NIFTY2651221700CE</t>
  </si>
  <si>
    <t>NIFTY2651221700PE</t>
  </si>
  <si>
    <t>NIFTY2651221750CE</t>
  </si>
  <si>
    <t>NIFTY2651221750PE</t>
  </si>
  <si>
    <t>NIFTY2651221800CE</t>
  </si>
  <si>
    <t>NIFTY2651221800PE</t>
  </si>
  <si>
    <t>NIFTY2651221850CE</t>
  </si>
  <si>
    <t>NIFTY2651221850PE</t>
  </si>
  <si>
    <t>NIFTY2651221900CE</t>
  </si>
  <si>
    <t>NIFTY2651221900PE</t>
  </si>
  <si>
    <t>NIFTY2651221950CE</t>
  </si>
  <si>
    <t>NIFTY2651221950PE</t>
  </si>
  <si>
    <t>NIFTY2651222000CE</t>
  </si>
  <si>
    <t>NIFTY2651222000PE</t>
  </si>
  <si>
    <t>NIFTY2651222050CE</t>
  </si>
  <si>
    <t>NIFTY2651222050PE</t>
  </si>
  <si>
    <t>NIFTY2651222100CE</t>
  </si>
  <si>
    <t>NIFTY2651222100PE</t>
  </si>
  <si>
    <t>NIFTY2651222150CE</t>
  </si>
  <si>
    <t>NIFTY2651222150PE</t>
  </si>
  <si>
    <t>NIFTY2651222200CE</t>
  </si>
  <si>
    <t>NIFTY2651222200PE</t>
  </si>
  <si>
    <t>NIFTY2651222250CE</t>
  </si>
  <si>
    <t>NIFTY2651222250PE</t>
  </si>
  <si>
    <t>NIFTY2651222300CE</t>
  </si>
  <si>
    <t>NIFTY2651222300PE</t>
  </si>
  <si>
    <t>NIFTY2651222350CE</t>
  </si>
  <si>
    <t>NIFTY2651222350PE</t>
  </si>
  <si>
    <t>NIFTY2651222400CE</t>
  </si>
  <si>
    <t>NIFTY2651222400PE</t>
  </si>
  <si>
    <t>NIFTY2651222450CE</t>
  </si>
  <si>
    <t>NIFTY2651222450PE</t>
  </si>
  <si>
    <t>NIFTY2651222500CE</t>
  </si>
  <si>
    <t>NIFTY2651222500PE</t>
  </si>
  <si>
    <t>NIFTY2651222550CE</t>
  </si>
  <si>
    <t>NIFTY2651222550PE</t>
  </si>
  <si>
    <t>NIFTY2651222600CE</t>
  </si>
  <si>
    <t>NIFTY2651222600PE</t>
  </si>
  <si>
    <t>NIFTY2651222650CE</t>
  </si>
  <si>
    <t>NIFTY2651222650PE</t>
  </si>
  <si>
    <t>NIFTY2651222700CE</t>
  </si>
  <si>
    <t>NIFTY2651222700PE</t>
  </si>
  <si>
    <t>NIFTY2651222750CE</t>
  </si>
  <si>
    <t>NIFTY2651222750PE</t>
  </si>
  <si>
    <t>NIFTY2651222800CE</t>
  </si>
  <si>
    <t>NIFTY2651222800PE</t>
  </si>
  <si>
    <t>NIFTY2651222850CE</t>
  </si>
  <si>
    <t>NIFTY2651222850PE</t>
  </si>
  <si>
    <t>NIFTY2651222900CE</t>
  </si>
  <si>
    <t>NIFTY2651222900PE</t>
  </si>
  <si>
    <t>NIFTY2651222950CE</t>
  </si>
  <si>
    <t>NIFTY2651222950PE</t>
  </si>
  <si>
    <t>NIFTY2651223000CE</t>
  </si>
  <si>
    <t>NIFTY2651223000PE</t>
  </si>
  <si>
    <t>NIFTY2651223050CE</t>
  </si>
  <si>
    <t>NIFTY2651223050PE</t>
  </si>
  <si>
    <t>NIFTY2651223100CE</t>
  </si>
  <si>
    <t>NIFTY2651223100PE</t>
  </si>
  <si>
    <t>NIFTY2651223150CE</t>
  </si>
  <si>
    <t>NIFTY2651223150PE</t>
  </si>
  <si>
    <t>NIFTY2651223200CE</t>
  </si>
  <si>
    <t>NIFTY2651223200PE</t>
  </si>
  <si>
    <t>NIFTY2651223250CE</t>
  </si>
  <si>
    <t>NIFTY2651223250PE</t>
  </si>
  <si>
    <t>NIFTY2651223300CE</t>
  </si>
  <si>
    <t>NIFTY2651223300PE</t>
  </si>
  <si>
    <t>NIFTY2651223350CE</t>
  </si>
  <si>
    <t>NIFTY2651223350PE</t>
  </si>
  <si>
    <t>NIFTY2651223400CE</t>
  </si>
  <si>
    <t>NIFTY2651223400PE</t>
  </si>
  <si>
    <t>NIFTY2651223450CE</t>
  </si>
  <si>
    <t>NIFTY2651223450PE</t>
  </si>
  <si>
    <t>NIFTY2651223500CE</t>
  </si>
  <si>
    <t>NIFTY2651223500PE</t>
  </si>
  <si>
    <t>NIFTY2651223550CE</t>
  </si>
  <si>
    <t>NIFTY2651223550PE</t>
  </si>
  <si>
    <t>NIFTY2651223600CE</t>
  </si>
  <si>
    <t>NIFTY2651223600PE</t>
  </si>
  <si>
    <t>NIFTY2651223650CE</t>
  </si>
  <si>
    <t>NIFTY2651223650PE</t>
  </si>
  <si>
    <t>NIFTY2651223700CE</t>
  </si>
  <si>
    <t>NIFTY2651223700PE</t>
  </si>
  <si>
    <t>NIFTY2651223750CE</t>
  </si>
  <si>
    <t>NIFTY2651223750PE</t>
  </si>
  <si>
    <t>NIFTY2651223800CE</t>
  </si>
  <si>
    <t>NIFTY2651223800PE</t>
  </si>
  <si>
    <t>NIFTY2651223850CE</t>
  </si>
  <si>
    <t>NIFTY2651223850PE</t>
  </si>
  <si>
    <t>NIFTY2651223900CE</t>
  </si>
  <si>
    <t>NIFTY2651223900PE</t>
  </si>
  <si>
    <t>NIFTY2651223950CE</t>
  </si>
  <si>
    <t>NIFTY2651223950PE</t>
  </si>
  <si>
    <t>NIFTY2651224000CE</t>
  </si>
  <si>
    <t>NIFTY2651224000PE</t>
  </si>
  <si>
    <t>NIFTY2651224050CE</t>
  </si>
  <si>
    <t>NIFTY2651224050PE</t>
  </si>
  <si>
    <t>NIFTY2651224100CE</t>
  </si>
  <si>
    <t>NIFTY2651224100PE</t>
  </si>
  <si>
    <t>NIFTY2651224150CE</t>
  </si>
  <si>
    <t>NIFTY2651224150PE</t>
  </si>
  <si>
    <t>NIFTY2651224200CE</t>
  </si>
  <si>
    <t>NIFTY2651224200PE</t>
  </si>
  <si>
    <t>NIFTY2651224250CE</t>
  </si>
  <si>
    <t>NIFTY2651224250PE</t>
  </si>
  <si>
    <t>NIFTY2651224300CE</t>
  </si>
  <si>
    <t>NIFTY2651224300PE</t>
  </si>
  <si>
    <t>NIFTY2651224350CE</t>
  </si>
  <si>
    <t>NIFTY2651224350PE</t>
  </si>
  <si>
    <t>NIFTY2651224400CE</t>
  </si>
  <si>
    <t>NIFTY2651224400PE</t>
  </si>
  <si>
    <t>NIFTY2651224450CE</t>
  </si>
  <si>
    <t>NIFTY2651224450PE</t>
  </si>
  <si>
    <t>NIFTY2651224500CE</t>
  </si>
  <si>
    <t>NIFTY2651224500PE</t>
  </si>
  <si>
    <t>NIFTY2651224550CE</t>
  </si>
  <si>
    <t>NIFTY2651224550PE</t>
  </si>
  <si>
    <t>NIFTY2651224600CE</t>
  </si>
  <si>
    <t>NIFTY2651224600PE</t>
  </si>
  <si>
    <t>NIFTY2651224650CE</t>
  </si>
  <si>
    <t>NIFTY2651224650PE</t>
  </si>
  <si>
    <t>NIFTY2651224700CE</t>
  </si>
  <si>
    <t>NIFTY2651224700PE</t>
  </si>
  <si>
    <t>NIFTY2651224750CE</t>
  </si>
  <si>
    <t>NIFTY2651224750PE</t>
  </si>
  <si>
    <t>NIFTY2651224800CE</t>
  </si>
  <si>
    <t>NIFTY2651224800PE</t>
  </si>
  <si>
    <t>NIFTY2651224850CE</t>
  </si>
  <si>
    <t>NIFTY2651224850PE</t>
  </si>
  <si>
    <t>NIFTY2651224900CE</t>
  </si>
  <si>
    <t>NIFTY2651224900PE</t>
  </si>
  <si>
    <t>NIFTY2651224950CE</t>
  </si>
  <si>
    <t>NIFTY2651224950PE</t>
  </si>
  <si>
    <t>NIFTY2651225000CE</t>
  </si>
  <si>
    <t>NIFTY2651225000PE</t>
  </si>
  <si>
    <t>NIFTY2651225050CE</t>
  </si>
  <si>
    <t>NIFTY2651225050PE</t>
  </si>
  <si>
    <t>NIFTY2651225100CE</t>
  </si>
  <si>
    <t>NIFTY2651225100PE</t>
  </si>
  <si>
    <t>NIFTY2651225150CE</t>
  </si>
  <si>
    <t>NIFTY2651225150PE</t>
  </si>
  <si>
    <t>NIFTY2651225200CE</t>
  </si>
  <si>
    <t>NIFTY2651225200PE</t>
  </si>
  <si>
    <t>NIFTY2651225250CE</t>
  </si>
  <si>
    <t>NIFTY2651225250PE</t>
  </si>
  <si>
    <t>NIFTY2651225300CE</t>
  </si>
  <si>
    <t>NIFTY2651225300PE</t>
  </si>
  <si>
    <t>NIFTY2651225350CE</t>
  </si>
  <si>
    <t>NIFTY2651225350PE</t>
  </si>
  <si>
    <t>NIFTY2651225400CE</t>
  </si>
  <si>
    <t>NIFTY2651225400PE</t>
  </si>
  <si>
    <t>NIFTY2651225450CE</t>
  </si>
  <si>
    <t>NIFTY2651225450PE</t>
  </si>
  <si>
    <t>NIFTY2651225500CE</t>
  </si>
  <si>
    <t>NIFTY2651225500PE</t>
  </si>
  <si>
    <t>NIFTY2651225550CE</t>
  </si>
  <si>
    <t>NIFTY2651225550PE</t>
  </si>
  <si>
    <t>NIFTY2651225600CE</t>
  </si>
  <si>
    <t>NIFTY2651225600PE</t>
  </si>
  <si>
    <t>NIFTY2651225650CE</t>
  </si>
  <si>
    <t>NIFTY2651225650PE</t>
  </si>
  <si>
    <t>NIFTY2651225700CE</t>
  </si>
  <si>
    <t>NIFTY2651225700PE</t>
  </si>
  <si>
    <t>NIFTY2651225750CE</t>
  </si>
  <si>
    <t>NIFTY2651225750PE</t>
  </si>
  <si>
    <t>NIFTY2651225800CE</t>
  </si>
  <si>
    <t>NIFTY2651225800PE</t>
  </si>
  <si>
    <t>NIFTY2651225850CE</t>
  </si>
  <si>
    <t>NIFTY2651225850PE</t>
  </si>
  <si>
    <t>NIFTY2651225900CE</t>
  </si>
  <si>
    <t>NIFTY2651225900PE</t>
  </si>
  <si>
    <t>NIFTY2651225950CE</t>
  </si>
  <si>
    <t>NIFTY2651225950PE</t>
  </si>
  <si>
    <t>NIFTY2651226000CE</t>
  </si>
  <si>
    <t>NIFTY2651226000PE</t>
  </si>
  <si>
    <t>NIFTY2651226050CE</t>
  </si>
  <si>
    <t>NIFTY2651226050PE</t>
  </si>
  <si>
    <t>NIFTY2651226100CE</t>
  </si>
  <si>
    <t>NIFTY2651226100PE</t>
  </si>
  <si>
    <t>NIFTY2651226150CE</t>
  </si>
  <si>
    <t>NIFTY2651226150PE</t>
  </si>
  <si>
    <t>NIFTY2651226200CE</t>
  </si>
  <si>
    <t>NIFTY2651226200PE</t>
  </si>
  <si>
    <t>NIFTY2651226250CE</t>
  </si>
  <si>
    <t>NIFTY2651226250PE</t>
  </si>
  <si>
    <t>NIFTY2651226300CE</t>
  </si>
  <si>
    <t>NIFTY2651226300PE</t>
  </si>
  <si>
    <t>NIFTY2651226350CE</t>
  </si>
  <si>
    <t>NIFTY2651226350PE</t>
  </si>
  <si>
    <t>NIFTY2651226400CE</t>
  </si>
  <si>
    <t>NIFTY2651226400PE</t>
  </si>
  <si>
    <t>NIFTY2651226450CE</t>
  </si>
  <si>
    <t>NIFTY2651226450PE</t>
  </si>
  <si>
    <t>NIFTY2651226500CE</t>
  </si>
  <si>
    <t>NIFTY2651226500PE</t>
  </si>
  <si>
    <t>NIFTY2651226550CE</t>
  </si>
  <si>
    <t>NIFTY2651226550PE</t>
  </si>
  <si>
    <t>Streaming live ticks for NIFTY 2026-05-12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</si>
</sst>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2" fillId="4" borderId="0" xfId="0" applyFont="1" applyFill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22" fontId="0" fillId="0" borderId="1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  <xf numFmtId="2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F1"/>
    </sheetView>
  </sheetViews>
  <sheetFormatPr defaultRowHeight="15" x14ac:dyDescent="0.25"/>
  <cols>
    <col min="1" max="1" width="16" customWidth="1"/>
    <col min="2" max="2" width="18" customWidth="1"/>
    <col min="3" max="4" width="14" customWidth="1"/>
    <col min="5" max="5" width="16" customWidth="1"/>
    <col min="6" max="6" width="40" customWidth="1"/>
  </cols>
  <sheetData>
    <row r="1" spans="1:6" ht="21" x14ac:dyDescent="0.35">
      <c r="A1" s="7" t="s">
        <v>0</v>
      </c>
      <c r="B1" s="8"/>
      <c r="C1" s="8"/>
      <c r="D1" s="8"/>
      <c r="E1" s="8"/>
      <c r="F1" s="8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7</v>
      </c>
      <c r="B4" s="5">
        <f>NIFTY!B3</f>
        <v>46154</v>
      </c>
      <c r="C4" s="2">
        <f>NIFTY!E3</f>
        <v>24104.65</v>
      </c>
      <c r="D4" s="2">
        <f>NIFTY!B4</f>
        <v>24100</v>
      </c>
      <c r="E4" s="2">
        <f>NIFTY!E4</f>
        <v>396.7</v>
      </c>
      <c r="F4" s="2" t="str">
        <f>NIFTY!E5</f>
        <v>Streaming live ticks for NIFTY 2026-05-12</v>
      </c>
    </row>
    <row r="5" spans="1:6" x14ac:dyDescent="0.25">
      <c r="A5" s="2" t="s">
        <v>8</v>
      </c>
      <c r="B5" s="5">
        <f>BANKNIFTY!B3</f>
        <v>46168</v>
      </c>
      <c r="C5" s="2">
        <f>BANKNIFTY!E3</f>
        <v>55059.05</v>
      </c>
      <c r="D5" s="2">
        <f>BANKNIFTY!B4</f>
        <v>55100</v>
      </c>
      <c r="E5" s="2">
        <f>BANKNIFTY!E4</f>
        <v>1974.3</v>
      </c>
      <c r="F5" s="2" t="str">
        <f>BANKNIFTY!E5</f>
        <v>Streaming live ticks for BANKNIFTY 2026-05-26</v>
      </c>
    </row>
    <row r="6" spans="1:6" x14ac:dyDescent="0.25">
      <c r="A6" s="2" t="s">
        <v>9</v>
      </c>
      <c r="B6" s="5">
        <f>SENSEX!B3</f>
        <v>46149</v>
      </c>
      <c r="C6" s="2">
        <f>SENSEX!E3</f>
        <v>77195.56</v>
      </c>
      <c r="D6" s="2">
        <f>SENSEX!B4</f>
        <v>77200</v>
      </c>
      <c r="E6" s="2">
        <f>SENSEX!E4</f>
        <v>679.9</v>
      </c>
      <c r="F6" s="2" t="str">
        <f>SENSEX!E5</f>
        <v>Streaming live ticks for SENSEX 2026-05-07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 t="s">
        <v>10</v>
      </c>
      <c r="B9" s="6">
        <v>46148.455451388887</v>
      </c>
      <c r="C9" s="2"/>
      <c r="D9" s="2"/>
      <c r="E9" s="2"/>
      <c r="F9" s="2"/>
    </row>
    <row r="10" spans="1:6" x14ac:dyDescent="0.25">
      <c r="A10" s="2" t="s">
        <v>11</v>
      </c>
      <c r="B10" s="2" t="s">
        <v>12</v>
      </c>
      <c r="C10" s="2"/>
      <c r="D10" s="2"/>
      <c r="E10" s="2"/>
      <c r="F10" s="2"/>
    </row>
    <row r="11" spans="1:6" x14ac:dyDescent="0.25">
      <c r="A11" t="s">
        <v>13</v>
      </c>
      <c r="B11" t="s">
        <v>14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7" t="s">
        <v>15</v>
      </c>
      <c r="B1" s="8"/>
      <c r="C1" s="8"/>
      <c r="D1" s="8"/>
      <c r="E1" s="8"/>
    </row>
    <row r="3" spans="1:5" x14ac:dyDescent="0.25">
      <c r="A3" s="2" t="s">
        <v>2</v>
      </c>
      <c r="B3" s="5">
        <v>46154</v>
      </c>
      <c r="D3" s="2" t="s">
        <v>3</v>
      </c>
      <c r="E3" s="2">
        <v>24104.65</v>
      </c>
    </row>
    <row r="4" spans="1:5" x14ac:dyDescent="0.25">
      <c r="A4" s="2" t="s">
        <v>4</v>
      </c>
      <c r="B4" s="2">
        <v>24100</v>
      </c>
      <c r="D4" s="2" t="s">
        <v>5</v>
      </c>
      <c r="E4" s="2">
        <v>396.7</v>
      </c>
    </row>
    <row r="5" spans="1:5" x14ac:dyDescent="0.25">
      <c r="A5" s="2" t="s">
        <v>10</v>
      </c>
      <c r="B5" s="6">
        <v>46148.455439814818</v>
      </c>
      <c r="D5" s="2" t="s">
        <v>6</v>
      </c>
      <c r="E5" s="2" t="s">
        <v>687</v>
      </c>
    </row>
    <row r="6" spans="1:5" x14ac:dyDescent="0.25">
      <c r="A6" s="2" t="s">
        <v>16</v>
      </c>
    </row>
    <row r="7" spans="1:5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</row>
    <row r="8" spans="1:5" x14ac:dyDescent="0.25">
      <c r="A8" t="str">
        <f>IF(B8=$B$4,"ATM","")</f>
        <v/>
      </c>
      <c r="B8">
        <v>22850</v>
      </c>
      <c r="C8">
        <f>IF(RawData!F69="","",RawData!F69)</f>
        <v>1227.5999999999999</v>
      </c>
      <c r="D8">
        <f>IF(RawData!F70="","",RawData!F70)</f>
        <v>4.45</v>
      </c>
      <c r="E8">
        <f>IF(OR(C8="",D8=""),"",C8+D8)</f>
        <v>1232.05</v>
      </c>
    </row>
    <row r="9" spans="1:5" x14ac:dyDescent="0.25">
      <c r="A9" t="str">
        <f>IF(B9=$B$4,"ATM","")</f>
        <v/>
      </c>
      <c r="B9">
        <v>22900</v>
      </c>
      <c r="C9">
        <f>IF(RawData!F71="","",RawData!F71)</f>
        <v>1280.8</v>
      </c>
      <c r="D9">
        <f>IF(RawData!F72="","",RawData!F72)</f>
        <v>5.0999999999999996</v>
      </c>
      <c r="E9">
        <f>IF(OR(C9="",D9=""),"",C9+D9)</f>
        <v>1285.8999999999999</v>
      </c>
    </row>
    <row r="10" spans="1:5" x14ac:dyDescent="0.25">
      <c r="A10" t="str">
        <f>IF(B10=$B$4,"ATM","")</f>
        <v/>
      </c>
      <c r="B10">
        <v>22950</v>
      </c>
      <c r="C10">
        <f>IF(RawData!F73="","",RawData!F73)</f>
        <v>1110</v>
      </c>
      <c r="D10">
        <f>IF(RawData!F74="","",RawData!F74)</f>
        <v>5.8</v>
      </c>
      <c r="E10">
        <f>IF(OR(C10="",D10=""),"",C10+D10)</f>
        <v>1115.8</v>
      </c>
    </row>
    <row r="11" spans="1:5" x14ac:dyDescent="0.25">
      <c r="A11" t="str">
        <f>IF(B11=$B$4,"ATM","")</f>
        <v/>
      </c>
      <c r="B11">
        <v>23000</v>
      </c>
      <c r="C11">
        <f>IF(RawData!F75="","",RawData!F75)</f>
        <v>1151.0999999999999</v>
      </c>
      <c r="D11">
        <f>IF(RawData!F76="","",RawData!F76)</f>
        <v>6.55</v>
      </c>
      <c r="E11">
        <f>IF(OR(C11="",D11=""),"",C11+D11)</f>
        <v>1157.6499999999999</v>
      </c>
    </row>
    <row r="12" spans="1:5" x14ac:dyDescent="0.25">
      <c r="A12" t="str">
        <f>IF(B12=$B$4,"ATM","")</f>
        <v/>
      </c>
      <c r="B12">
        <v>23050</v>
      </c>
      <c r="C12">
        <f>IF(RawData!F77="","",RawData!F77)</f>
        <v>1039.5999999999999</v>
      </c>
      <c r="D12">
        <f>IF(RawData!F78="","",RawData!F78)</f>
        <v>7.5</v>
      </c>
      <c r="E12">
        <f>IF(OR(C12="",D12=""),"",C12+D12)</f>
        <v>1047.0999999999999</v>
      </c>
    </row>
    <row r="13" spans="1:5" x14ac:dyDescent="0.25">
      <c r="A13" t="str">
        <f>IF(B13=$B$4,"ATM","")</f>
        <v/>
      </c>
      <c r="B13">
        <v>23100</v>
      </c>
      <c r="C13">
        <f>IF(RawData!F79="","",RawData!F79)</f>
        <v>1040</v>
      </c>
      <c r="D13">
        <f>IF(RawData!F80="","",RawData!F80)</f>
        <v>8.5</v>
      </c>
      <c r="E13">
        <f>IF(OR(C13="",D13=""),"",C13+D13)</f>
        <v>1048.5</v>
      </c>
    </row>
    <row r="14" spans="1:5" x14ac:dyDescent="0.25">
      <c r="A14" t="str">
        <f>IF(B14=$B$4,"ATM","")</f>
        <v/>
      </c>
      <c r="B14">
        <v>23150</v>
      </c>
      <c r="C14">
        <f>IF(RawData!F81="","",RawData!F81)</f>
        <v>1045.8499999999999</v>
      </c>
      <c r="D14">
        <f>IF(RawData!F82="","",RawData!F82)</f>
        <v>9.85</v>
      </c>
      <c r="E14">
        <f>IF(OR(C14="",D14=""),"",C14+D14)</f>
        <v>1055.6999999999998</v>
      </c>
    </row>
    <row r="15" spans="1:5" x14ac:dyDescent="0.25">
      <c r="A15" t="str">
        <f>IF(B15=$B$4,"ATM","")</f>
        <v/>
      </c>
      <c r="B15">
        <v>23200</v>
      </c>
      <c r="C15">
        <f>IF(RawData!F83="","",RawData!F83)</f>
        <v>952</v>
      </c>
      <c r="D15">
        <f>IF(RawData!F84="","",RawData!F84)</f>
        <v>11.45</v>
      </c>
      <c r="E15">
        <f>IF(OR(C15="",D15=""),"",C15+D15)</f>
        <v>963.45</v>
      </c>
    </row>
    <row r="16" spans="1:5" x14ac:dyDescent="0.25">
      <c r="A16" t="str">
        <f>IF(B16=$B$4,"ATM","")</f>
        <v/>
      </c>
      <c r="B16">
        <v>23250</v>
      </c>
      <c r="C16">
        <f>IF(RawData!F85="","",RawData!F85)</f>
        <v>960</v>
      </c>
      <c r="D16">
        <f>IF(RawData!F86="","",RawData!F86)</f>
        <v>13.25</v>
      </c>
      <c r="E16">
        <f>IF(OR(C16="",D16=""),"",C16+D16)</f>
        <v>973.25</v>
      </c>
    </row>
    <row r="17" spans="1:5" x14ac:dyDescent="0.25">
      <c r="A17" t="str">
        <f>IF(B17=$B$4,"ATM","")</f>
        <v/>
      </c>
      <c r="B17">
        <v>23300</v>
      </c>
      <c r="C17">
        <f>IF(RawData!F87="","",RawData!F87)</f>
        <v>854</v>
      </c>
      <c r="D17">
        <f>IF(RawData!F88="","",RawData!F88)</f>
        <v>15.55</v>
      </c>
      <c r="E17">
        <f>IF(OR(C17="",D17=""),"",C17+D17)</f>
        <v>869.55</v>
      </c>
    </row>
    <row r="18" spans="1:5" x14ac:dyDescent="0.25">
      <c r="A18" t="str">
        <f>IF(B18=$B$4,"ATM","")</f>
        <v/>
      </c>
      <c r="B18">
        <v>23350</v>
      </c>
      <c r="C18">
        <f>IF(RawData!F89="","",RawData!F89)</f>
        <v>815.25</v>
      </c>
      <c r="D18">
        <f>IF(RawData!F90="","",RawData!F90)</f>
        <v>18.2</v>
      </c>
      <c r="E18">
        <f>IF(OR(C18="",D18=""),"",C18+D18)</f>
        <v>833.45</v>
      </c>
    </row>
    <row r="19" spans="1:5" x14ac:dyDescent="0.25">
      <c r="A19" t="str">
        <f>IF(B19=$B$4,"ATM","")</f>
        <v/>
      </c>
      <c r="B19">
        <v>23400</v>
      </c>
      <c r="C19">
        <f>IF(RawData!F91="","",RawData!F91)</f>
        <v>756</v>
      </c>
      <c r="D19">
        <f>IF(RawData!F92="","",RawData!F92)</f>
        <v>21.35</v>
      </c>
      <c r="E19">
        <f>IF(OR(C19="",D19=""),"",C19+D19)</f>
        <v>777.35</v>
      </c>
    </row>
    <row r="20" spans="1:5" x14ac:dyDescent="0.25">
      <c r="A20" t="str">
        <f>IF(B20=$B$4,"ATM","")</f>
        <v/>
      </c>
      <c r="B20">
        <v>23450</v>
      </c>
      <c r="C20">
        <f>IF(RawData!F93="","",RawData!F93)</f>
        <v>742.95</v>
      </c>
      <c r="D20">
        <f>IF(RawData!F94="","",RawData!F94)</f>
        <v>25.1</v>
      </c>
      <c r="E20">
        <f>IF(OR(C20="",D20=""),"",C20+D20)</f>
        <v>768.05000000000007</v>
      </c>
    </row>
    <row r="21" spans="1:5" x14ac:dyDescent="0.25">
      <c r="A21" t="str">
        <f>IF(B21=$B$4,"ATM","")</f>
        <v/>
      </c>
      <c r="B21">
        <v>23500</v>
      </c>
      <c r="C21">
        <f>IF(RawData!F95="","",RawData!F95)</f>
        <v>672.45</v>
      </c>
      <c r="D21">
        <f>IF(RawData!F96="","",RawData!F96)</f>
        <v>29.55</v>
      </c>
      <c r="E21">
        <f>IF(OR(C21="",D21=""),"",C21+D21)</f>
        <v>702</v>
      </c>
    </row>
    <row r="22" spans="1:5" x14ac:dyDescent="0.25">
      <c r="A22" t="str">
        <f>IF(B22=$B$4,"ATM","")</f>
        <v/>
      </c>
      <c r="B22">
        <v>23550</v>
      </c>
      <c r="C22">
        <f>IF(RawData!F97="","",RawData!F97)</f>
        <v>623</v>
      </c>
      <c r="D22">
        <f>IF(RawData!F98="","",RawData!F98)</f>
        <v>34.75</v>
      </c>
      <c r="E22">
        <f>IF(OR(C22="",D22=""),"",C22+D22)</f>
        <v>657.75</v>
      </c>
    </row>
    <row r="23" spans="1:5" x14ac:dyDescent="0.25">
      <c r="A23" t="str">
        <f>IF(B23=$B$4,"ATM","")</f>
        <v/>
      </c>
      <c r="B23">
        <v>23600</v>
      </c>
      <c r="C23">
        <f>IF(RawData!F99="","",RawData!F99)</f>
        <v>583.45000000000005</v>
      </c>
      <c r="D23">
        <f>IF(RawData!F100="","",RawData!F100)</f>
        <v>40.75</v>
      </c>
      <c r="E23">
        <f>IF(OR(C23="",D23=""),"",C23+D23)</f>
        <v>624.20000000000005</v>
      </c>
    </row>
    <row r="24" spans="1:5" x14ac:dyDescent="0.25">
      <c r="A24" t="str">
        <f>IF(B24=$B$4,"ATM","")</f>
        <v/>
      </c>
      <c r="B24">
        <v>23650</v>
      </c>
      <c r="C24">
        <f>IF(RawData!F101="","",RawData!F101)</f>
        <v>542.1</v>
      </c>
      <c r="D24">
        <f>IF(RawData!F102="","",RawData!F102)</f>
        <v>47.9</v>
      </c>
      <c r="E24">
        <f>IF(OR(C24="",D24=""),"",C24+D24)</f>
        <v>590</v>
      </c>
    </row>
    <row r="25" spans="1:5" x14ac:dyDescent="0.25">
      <c r="A25" t="str">
        <f>IF(B25=$B$4,"ATM","")</f>
        <v/>
      </c>
      <c r="B25">
        <v>23700</v>
      </c>
      <c r="C25">
        <f>IF(RawData!F103="","",RawData!F103)</f>
        <v>497.75</v>
      </c>
      <c r="D25">
        <f>IF(RawData!F104="","",RawData!F104)</f>
        <v>56.1</v>
      </c>
      <c r="E25">
        <f>IF(OR(C25="",D25=""),"",C25+D25)</f>
        <v>553.85</v>
      </c>
    </row>
    <row r="26" spans="1:5" x14ac:dyDescent="0.25">
      <c r="A26" t="str">
        <f>IF(B26=$B$4,"ATM","")</f>
        <v/>
      </c>
      <c r="B26">
        <v>23750</v>
      </c>
      <c r="C26">
        <f>IF(RawData!F105="","",RawData!F105)</f>
        <v>456.7</v>
      </c>
      <c r="D26">
        <f>IF(RawData!F106="","",RawData!F106)</f>
        <v>65.8</v>
      </c>
      <c r="E26">
        <f>IF(OR(C26="",D26=""),"",C26+D26)</f>
        <v>522.5</v>
      </c>
    </row>
    <row r="27" spans="1:5" x14ac:dyDescent="0.25">
      <c r="A27" t="str">
        <f>IF(B27=$B$4,"ATM","")</f>
        <v/>
      </c>
      <c r="B27">
        <v>23800</v>
      </c>
      <c r="C27">
        <f>IF(RawData!F107="","",RawData!F107)</f>
        <v>417.8</v>
      </c>
      <c r="D27">
        <f>IF(RawData!F108="","",RawData!F108)</f>
        <v>76.45</v>
      </c>
      <c r="E27">
        <f>IF(OR(C27="",D27=""),"",C27+D27)</f>
        <v>494.25</v>
      </c>
    </row>
    <row r="28" spans="1:5" x14ac:dyDescent="0.25">
      <c r="A28" t="str">
        <f>IF(B28=$B$4,"ATM","")</f>
        <v/>
      </c>
      <c r="B28">
        <v>23850</v>
      </c>
      <c r="C28">
        <f>IF(RawData!F109="","",RawData!F109)</f>
        <v>380</v>
      </c>
      <c r="D28">
        <f>IF(RawData!F110="","",RawData!F110)</f>
        <v>88.95</v>
      </c>
      <c r="E28">
        <f>IF(OR(C28="",D28=""),"",C28+D28)</f>
        <v>468.95</v>
      </c>
    </row>
    <row r="29" spans="1:5" x14ac:dyDescent="0.25">
      <c r="A29" t="str">
        <f>IF(B29=$B$4,"ATM","")</f>
        <v/>
      </c>
      <c r="B29">
        <v>23900</v>
      </c>
      <c r="C29">
        <f>IF(RawData!F111="","",RawData!F111)</f>
        <v>343.75</v>
      </c>
      <c r="D29">
        <f>IF(RawData!F112="","",RawData!F112)</f>
        <v>102.9</v>
      </c>
      <c r="E29">
        <f>IF(OR(C29="",D29=""),"",C29+D29)</f>
        <v>446.65</v>
      </c>
    </row>
    <row r="30" spans="1:5" x14ac:dyDescent="0.25">
      <c r="A30" t="str">
        <f>IF(B30=$B$4,"ATM","")</f>
        <v/>
      </c>
      <c r="B30">
        <v>23950</v>
      </c>
      <c r="C30">
        <f>IF(RawData!F113="","",RawData!F113)</f>
        <v>308.8</v>
      </c>
      <c r="D30">
        <f>IF(RawData!F114="","",RawData!F114)</f>
        <v>118.45</v>
      </c>
      <c r="E30">
        <f>IF(OR(C30="",D30=""),"",C30+D30)</f>
        <v>427.25</v>
      </c>
    </row>
    <row r="31" spans="1:5" x14ac:dyDescent="0.25">
      <c r="A31" t="str">
        <f>IF(B31=$B$4,"ATM","")</f>
        <v/>
      </c>
      <c r="B31">
        <v>24000</v>
      </c>
      <c r="C31">
        <f>IF(RawData!F115="","",RawData!F115)</f>
        <v>277.35000000000002</v>
      </c>
      <c r="D31">
        <f>IF(RawData!F116="","",RawData!F116)</f>
        <v>136.55000000000001</v>
      </c>
      <c r="E31">
        <f>IF(OR(C31="",D31=""),"",C31+D31)</f>
        <v>413.90000000000003</v>
      </c>
    </row>
    <row r="32" spans="1:5" x14ac:dyDescent="0.25">
      <c r="A32" t="str">
        <f>IF(B32=$B$4,"ATM","")</f>
        <v/>
      </c>
      <c r="B32">
        <v>24050</v>
      </c>
      <c r="C32">
        <f>IF(RawData!F117="","",RawData!F117)</f>
        <v>246.85</v>
      </c>
      <c r="D32">
        <f>IF(RawData!F118="","",RawData!F118)</f>
        <v>156.30000000000001</v>
      </c>
      <c r="E32">
        <f>IF(OR(C32="",D32=""),"",C32+D32)</f>
        <v>403.15</v>
      </c>
    </row>
    <row r="33" spans="1:5" x14ac:dyDescent="0.25">
      <c r="A33" t="str">
        <f>IF(B33=$B$4,"ATM","")</f>
        <v>ATM</v>
      </c>
      <c r="B33">
        <v>24100</v>
      </c>
      <c r="C33">
        <f>IF(RawData!F119="","",RawData!F119)</f>
        <v>219.05</v>
      </c>
      <c r="D33">
        <f>IF(RawData!F120="","",RawData!F120)</f>
        <v>177.65</v>
      </c>
      <c r="E33">
        <f>IF(OR(C33="",D33=""),"",C33+D33)</f>
        <v>396.70000000000005</v>
      </c>
    </row>
    <row r="34" spans="1:5" x14ac:dyDescent="0.25">
      <c r="A34" t="str">
        <f>IF(B34=$B$4,"ATM","")</f>
        <v/>
      </c>
      <c r="B34">
        <v>24150</v>
      </c>
      <c r="C34">
        <f>IF(RawData!F121="","",RawData!F121)</f>
        <v>192.75</v>
      </c>
      <c r="D34">
        <f>IF(RawData!F122="","",RawData!F122)</f>
        <v>201.35</v>
      </c>
      <c r="E34">
        <f>IF(OR(C34="",D34=""),"",C34+D34)</f>
        <v>394.1</v>
      </c>
    </row>
    <row r="35" spans="1:5" x14ac:dyDescent="0.25">
      <c r="A35" t="str">
        <f>IF(B35=$B$4,"ATM","")</f>
        <v/>
      </c>
      <c r="B35">
        <v>24200</v>
      </c>
      <c r="C35">
        <f>IF(RawData!F123="","",RawData!F123)</f>
        <v>168.4</v>
      </c>
      <c r="D35">
        <f>IF(RawData!F124="","",RawData!F124)</f>
        <v>227</v>
      </c>
      <c r="E35">
        <f>IF(OR(C35="",D35=""),"",C35+D35)</f>
        <v>395.4</v>
      </c>
    </row>
    <row r="36" spans="1:5" x14ac:dyDescent="0.25">
      <c r="A36" t="str">
        <f>IF(B36=$B$4,"ATM","")</f>
        <v/>
      </c>
      <c r="B36">
        <v>24250</v>
      </c>
      <c r="C36">
        <f>IF(RawData!F125="","",RawData!F125)</f>
        <v>145.94999999999999</v>
      </c>
      <c r="D36">
        <f>IF(RawData!F126="","",RawData!F126)</f>
        <v>254.85</v>
      </c>
      <c r="E36">
        <f>IF(OR(C36="",D36=""),"",C36+D36)</f>
        <v>400.79999999999995</v>
      </c>
    </row>
    <row r="37" spans="1:5" x14ac:dyDescent="0.25">
      <c r="A37" t="str">
        <f>IF(B37=$B$4,"ATM","")</f>
        <v/>
      </c>
      <c r="B37">
        <v>24300</v>
      </c>
      <c r="C37">
        <f>IF(RawData!F127="","",RawData!F127)</f>
        <v>125.75</v>
      </c>
      <c r="D37">
        <f>IF(RawData!F128="","",RawData!F128)</f>
        <v>284.64999999999998</v>
      </c>
      <c r="E37">
        <f>IF(OR(C37="",D37=""),"",C37+D37)</f>
        <v>410.4</v>
      </c>
    </row>
    <row r="38" spans="1:5" x14ac:dyDescent="0.25">
      <c r="A38" t="str">
        <f>IF(B38=$B$4,"ATM","")</f>
        <v/>
      </c>
      <c r="B38">
        <v>24350</v>
      </c>
      <c r="C38">
        <f>IF(RawData!F129="","",RawData!F129)</f>
        <v>107.45</v>
      </c>
      <c r="D38">
        <f>IF(RawData!F130="","",RawData!F130)</f>
        <v>317</v>
      </c>
      <c r="E38">
        <f>IF(OR(C38="",D38=""),"",C38+D38)</f>
        <v>424.45</v>
      </c>
    </row>
    <row r="39" spans="1:5" x14ac:dyDescent="0.25">
      <c r="A39" t="str">
        <f>IF(B39=$B$4,"ATM","")</f>
        <v/>
      </c>
      <c r="B39">
        <v>24400</v>
      </c>
      <c r="C39">
        <f>IF(RawData!F131="","",RawData!F131)</f>
        <v>91.6</v>
      </c>
      <c r="D39">
        <f>IF(RawData!F132="","",RawData!F132)</f>
        <v>349.7</v>
      </c>
      <c r="E39">
        <f>IF(OR(C39="",D39=""),"",C39+D39)</f>
        <v>441.29999999999995</v>
      </c>
    </row>
    <row r="40" spans="1:5" x14ac:dyDescent="0.25">
      <c r="A40" t="str">
        <f>IF(B40=$B$4,"ATM","")</f>
        <v/>
      </c>
      <c r="B40">
        <v>24450</v>
      </c>
      <c r="C40">
        <f>IF(RawData!F133="","",RawData!F133)</f>
        <v>77.2</v>
      </c>
      <c r="D40">
        <f>IF(RawData!F134="","",RawData!F134)</f>
        <v>383</v>
      </c>
      <c r="E40">
        <f>IF(OR(C40="",D40=""),"",C40+D40)</f>
        <v>460.2</v>
      </c>
    </row>
    <row r="41" spans="1:5" x14ac:dyDescent="0.25">
      <c r="A41" t="str">
        <f>IF(B41=$B$4,"ATM","")</f>
        <v/>
      </c>
      <c r="B41">
        <v>24500</v>
      </c>
      <c r="C41">
        <f>IF(RawData!F135="","",RawData!F135)</f>
        <v>64.849999999999994</v>
      </c>
      <c r="D41">
        <f>IF(RawData!F136="","",RawData!F136)</f>
        <v>423.3</v>
      </c>
      <c r="E41">
        <f>IF(OR(C41="",D41=""),"",C41+D41)</f>
        <v>488.15</v>
      </c>
    </row>
    <row r="42" spans="1:5" x14ac:dyDescent="0.25">
      <c r="A42" t="str">
        <f>IF(B42=$B$4,"ATM","")</f>
        <v/>
      </c>
      <c r="B42">
        <v>24550</v>
      </c>
      <c r="C42">
        <f>IF(RawData!F137="","",RawData!F137)</f>
        <v>54.05</v>
      </c>
      <c r="D42">
        <f>IF(RawData!F138="","",RawData!F138)</f>
        <v>457.4</v>
      </c>
      <c r="E42">
        <f>IF(OR(C42="",D42=""),"",C42+D42)</f>
        <v>511.45</v>
      </c>
    </row>
    <row r="43" spans="1:5" x14ac:dyDescent="0.25">
      <c r="A43" t="str">
        <f>IF(B43=$B$4,"ATM","")</f>
        <v/>
      </c>
      <c r="B43">
        <v>24600</v>
      </c>
      <c r="C43">
        <f>IF(RawData!F139="","",RawData!F139)</f>
        <v>44.7</v>
      </c>
      <c r="D43">
        <f>IF(RawData!F140="","",RawData!F140)</f>
        <v>498.2</v>
      </c>
      <c r="E43">
        <f>IF(OR(C43="",D43=""),"",C43+D43)</f>
        <v>542.9</v>
      </c>
    </row>
    <row r="44" spans="1:5" x14ac:dyDescent="0.25">
      <c r="A44" t="str">
        <f>IF(B44=$B$4,"ATM","")</f>
        <v/>
      </c>
      <c r="B44">
        <v>24650</v>
      </c>
      <c r="C44">
        <f>IF(RawData!F141="","",RawData!F141)</f>
        <v>37.1</v>
      </c>
      <c r="D44">
        <f>IF(RawData!F142="","",RawData!F142)</f>
        <v>544.20000000000005</v>
      </c>
      <c r="E44">
        <f>IF(OR(C44="",D44=""),"",C44+D44)</f>
        <v>581.30000000000007</v>
      </c>
    </row>
    <row r="45" spans="1:5" x14ac:dyDescent="0.25">
      <c r="A45" t="str">
        <f>IF(B45=$B$4,"ATM","")</f>
        <v/>
      </c>
      <c r="B45">
        <v>24700</v>
      </c>
      <c r="C45">
        <f>IF(RawData!F143="","",RawData!F143)</f>
        <v>30.45</v>
      </c>
      <c r="D45">
        <f>IF(RawData!F144="","",RawData!F144)</f>
        <v>584.1</v>
      </c>
      <c r="E45">
        <f>IF(OR(C45="",D45=""),"",C45+D45)</f>
        <v>614.55000000000007</v>
      </c>
    </row>
    <row r="46" spans="1:5" x14ac:dyDescent="0.25">
      <c r="A46" t="str">
        <f>IF(B46=$B$4,"ATM","")</f>
        <v/>
      </c>
      <c r="B46">
        <v>24750</v>
      </c>
      <c r="C46">
        <f>IF(RawData!F145="","",RawData!F145)</f>
        <v>25</v>
      </c>
      <c r="D46">
        <f>IF(RawData!F146="","",RawData!F146)</f>
        <v>627.75</v>
      </c>
      <c r="E46">
        <f>IF(OR(C46="",D46=""),"",C46+D46)</f>
        <v>652.75</v>
      </c>
    </row>
    <row r="47" spans="1:5" x14ac:dyDescent="0.25">
      <c r="A47" t="str">
        <f>IF(B47=$B$4,"ATM","")</f>
        <v/>
      </c>
      <c r="B47">
        <v>24800</v>
      </c>
      <c r="C47">
        <f>IF(RawData!F147="","",RawData!F147)</f>
        <v>20.350000000000001</v>
      </c>
      <c r="D47">
        <f>IF(RawData!F148="","",RawData!F148)</f>
        <v>674.2</v>
      </c>
      <c r="E47">
        <f>IF(OR(C47="",D47=""),"",C47+D47)</f>
        <v>694.55000000000007</v>
      </c>
    </row>
    <row r="48" spans="1:5" x14ac:dyDescent="0.25">
      <c r="A48" t="str">
        <f>IF(B48=$B$4,"ATM","")</f>
        <v/>
      </c>
      <c r="B48">
        <v>24850</v>
      </c>
      <c r="C48">
        <f>IF(RawData!F149="","",RawData!F149)</f>
        <v>16.75</v>
      </c>
      <c r="D48">
        <f>IF(RawData!F150="","",RawData!F150)</f>
        <v>723.9</v>
      </c>
      <c r="E48">
        <f>IF(OR(C48="",D48=""),"",C48+D48)</f>
        <v>740.65</v>
      </c>
    </row>
    <row r="49" spans="1:5" x14ac:dyDescent="0.25">
      <c r="A49" t="str">
        <f>IF(B49=$B$4,"ATM","")</f>
        <v/>
      </c>
      <c r="B49">
        <v>24900</v>
      </c>
      <c r="C49">
        <f>IF(RawData!F151="","",RawData!F151)</f>
        <v>13.7</v>
      </c>
      <c r="D49">
        <f>IF(RawData!F152="","",RawData!F152)</f>
        <v>770.5</v>
      </c>
      <c r="E49">
        <f>IF(OR(C49="",D49=""),"",C49+D49)</f>
        <v>784.2</v>
      </c>
    </row>
    <row r="50" spans="1:5" x14ac:dyDescent="0.25">
      <c r="A50" t="str">
        <f>IF(B50=$B$4,"ATM","")</f>
        <v/>
      </c>
      <c r="B50">
        <v>24950</v>
      </c>
      <c r="C50">
        <f>IF(RawData!F153="","",RawData!F153)</f>
        <v>11.25</v>
      </c>
      <c r="D50">
        <f>IF(RawData!F154="","",RawData!F154)</f>
        <v>786.95</v>
      </c>
      <c r="E50">
        <f>IF(OR(C50="",D50=""),"",C50+D50)</f>
        <v>798.2</v>
      </c>
    </row>
    <row r="51" spans="1:5" x14ac:dyDescent="0.25">
      <c r="A51" t="str">
        <f>IF(B51=$B$4,"ATM","")</f>
        <v/>
      </c>
      <c r="B51">
        <v>25000</v>
      </c>
      <c r="C51">
        <f>IF(RawData!F155="","",RawData!F155)</f>
        <v>9.3000000000000007</v>
      </c>
      <c r="D51">
        <f>IF(RawData!F156="","",RawData!F156)</f>
        <v>864.3</v>
      </c>
      <c r="E51">
        <f>IF(OR(C51="",D51=""),"",C51+D51)</f>
        <v>873.59999999999991</v>
      </c>
    </row>
    <row r="52" spans="1:5" x14ac:dyDescent="0.25">
      <c r="A52" t="str">
        <f>IF(B52=$B$4,"ATM","")</f>
        <v/>
      </c>
      <c r="B52">
        <v>25050</v>
      </c>
      <c r="C52">
        <f>IF(RawData!F157="","",RawData!F157)</f>
        <v>7.85</v>
      </c>
      <c r="D52">
        <f>IF(RawData!F158="","",RawData!F158)</f>
        <v>954.1</v>
      </c>
      <c r="E52">
        <f>IF(OR(C52="",D52=""),"",C52+D52)</f>
        <v>961.95</v>
      </c>
    </row>
    <row r="53" spans="1:5" x14ac:dyDescent="0.25">
      <c r="A53" t="str">
        <f>IF(B53=$B$4,"ATM","")</f>
        <v/>
      </c>
      <c r="B53">
        <v>25100</v>
      </c>
      <c r="C53">
        <f>IF(RawData!F159="","",RawData!F159)</f>
        <v>6.45</v>
      </c>
      <c r="D53">
        <f>IF(RawData!F160="","",RawData!F160)</f>
        <v>962.4</v>
      </c>
      <c r="E53">
        <f>IF(OR(C53="",D53=""),"",C53+D53)</f>
        <v>968.85</v>
      </c>
    </row>
    <row r="54" spans="1:5" x14ac:dyDescent="0.25">
      <c r="A54" t="str">
        <f>IF(B54=$B$4,"ATM","")</f>
        <v/>
      </c>
      <c r="B54">
        <v>25150</v>
      </c>
      <c r="C54">
        <f>IF(RawData!F161="","",RawData!F161)</f>
        <v>5.5</v>
      </c>
      <c r="D54">
        <f>IF(RawData!F162="","",RawData!F162)</f>
        <v>980.55</v>
      </c>
      <c r="E54">
        <f>IF(OR(C54="",D54=""),"",C54+D54)</f>
        <v>986.05</v>
      </c>
    </row>
    <row r="55" spans="1:5" x14ac:dyDescent="0.25">
      <c r="A55" t="str">
        <f>IF(B55=$B$4,"ATM","")</f>
        <v/>
      </c>
      <c r="B55">
        <v>25200</v>
      </c>
      <c r="C55">
        <f>IF(RawData!F163="","",RawData!F163)</f>
        <v>4.75</v>
      </c>
      <c r="D55">
        <f>IF(RawData!F164="","",RawData!F164)</f>
        <v>1040</v>
      </c>
      <c r="E55">
        <f>IF(OR(C55="",D55=""),"",C55+D55)</f>
        <v>1044.75</v>
      </c>
    </row>
    <row r="56" spans="1:5" x14ac:dyDescent="0.25">
      <c r="A56" t="str">
        <f>IF(B56=$B$4,"ATM","")</f>
        <v/>
      </c>
      <c r="B56">
        <v>25250</v>
      </c>
      <c r="C56">
        <f>IF(RawData!F165="","",RawData!F165)</f>
        <v>4.0999999999999996</v>
      </c>
      <c r="D56">
        <f>IF(RawData!F166="","",RawData!F166)</f>
        <v>1115.8</v>
      </c>
      <c r="E56">
        <f>IF(OR(C56="",D56=""),"",C56+D56)</f>
        <v>1119.8999999999999</v>
      </c>
    </row>
    <row r="57" spans="1:5" x14ac:dyDescent="0.25">
      <c r="A57" t="str">
        <f>IF(B57=$B$4,"ATM","")</f>
        <v/>
      </c>
      <c r="B57">
        <v>25300</v>
      </c>
      <c r="C57">
        <f>IF(RawData!F167="","",RawData!F167)</f>
        <v>3.6</v>
      </c>
      <c r="D57">
        <f>IF(RawData!F168="","",RawData!F168)</f>
        <v>1137</v>
      </c>
      <c r="E57">
        <f>IF(OR(C57="",D57=""),"",C57+D57)</f>
        <v>1140.5999999999999</v>
      </c>
    </row>
    <row r="58" spans="1:5" x14ac:dyDescent="0.25">
      <c r="A58" t="str">
        <f>IF(B58=$B$4,"ATM","")</f>
        <v/>
      </c>
      <c r="B58">
        <v>25350</v>
      </c>
      <c r="C58">
        <f>IF(RawData!F169="","",RawData!F169)</f>
        <v>3.15</v>
      </c>
      <c r="D58">
        <f>IF(RawData!F170="","",RawData!F170)</f>
        <v>1263.45</v>
      </c>
      <c r="E58">
        <f>IF(OR(C58="",D58=""),"",C58+D58)</f>
        <v>1266.6000000000001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7" t="s">
        <v>22</v>
      </c>
      <c r="B1" s="8"/>
      <c r="C1" s="8"/>
      <c r="D1" s="8"/>
      <c r="E1" s="8"/>
    </row>
    <row r="3" spans="1:5" x14ac:dyDescent="0.25">
      <c r="A3" s="2" t="s">
        <v>2</v>
      </c>
      <c r="B3" s="5">
        <v>46168</v>
      </c>
      <c r="D3" s="2" t="s">
        <v>3</v>
      </c>
      <c r="E3" s="2">
        <v>55059.05</v>
      </c>
    </row>
    <row r="4" spans="1:5" x14ac:dyDescent="0.25">
      <c r="A4" s="2" t="s">
        <v>4</v>
      </c>
      <c r="B4" s="2">
        <v>55100</v>
      </c>
      <c r="D4" s="2" t="s">
        <v>5</v>
      </c>
      <c r="E4" s="2">
        <v>1974.3</v>
      </c>
    </row>
    <row r="5" spans="1:5" x14ac:dyDescent="0.25">
      <c r="A5" s="2" t="s">
        <v>10</v>
      </c>
      <c r="B5" s="6">
        <v>46148.455439814818</v>
      </c>
      <c r="D5" s="2" t="s">
        <v>6</v>
      </c>
      <c r="E5" s="2" t="s">
        <v>469</v>
      </c>
    </row>
    <row r="6" spans="1:5" x14ac:dyDescent="0.25">
      <c r="A6" s="2" t="s">
        <v>16</v>
      </c>
    </row>
    <row r="7" spans="1:5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</row>
    <row r="8" spans="1:5" x14ac:dyDescent="0.25">
      <c r="A8" t="str">
        <f>IF(B8=$B$4,"ATM","")</f>
        <v/>
      </c>
      <c r="B8">
        <v>52600</v>
      </c>
      <c r="C8">
        <f>IF(RawData!F376="","",RawData!F376)</f>
        <v>2600</v>
      </c>
      <c r="D8">
        <f>IF(RawData!F377="","",RawData!F377)</f>
        <v>236.4</v>
      </c>
      <c r="E8">
        <f>IF(OR(C8="",D8=""),"",C8+D8)</f>
        <v>2836.4</v>
      </c>
    </row>
    <row r="9" spans="1:5" x14ac:dyDescent="0.25">
      <c r="A9" t="str">
        <f>IF(B9=$B$4,"ATM","")</f>
        <v/>
      </c>
      <c r="B9">
        <v>52700</v>
      </c>
      <c r="C9">
        <f>IF(RawData!F378="","",RawData!F378)</f>
        <v>2850</v>
      </c>
      <c r="D9">
        <f>IF(RawData!F379="","",RawData!F379)</f>
        <v>244.75</v>
      </c>
      <c r="E9">
        <f>IF(OR(C9="",D9=""),"",C9+D9)</f>
        <v>3094.75</v>
      </c>
    </row>
    <row r="10" spans="1:5" x14ac:dyDescent="0.25">
      <c r="A10" t="str">
        <f>IF(B10=$B$4,"ATM","")</f>
        <v/>
      </c>
      <c r="B10">
        <v>52800</v>
      </c>
      <c r="C10">
        <f>IF(RawData!F380="","",RawData!F380)</f>
        <v>2561.0500000000002</v>
      </c>
      <c r="D10">
        <f>IF(RawData!F381="","",RawData!F381)</f>
        <v>263.85000000000002</v>
      </c>
      <c r="E10">
        <f>IF(OR(C10="",D10=""),"",C10+D10)</f>
        <v>2824.9</v>
      </c>
    </row>
    <row r="11" spans="1:5" x14ac:dyDescent="0.25">
      <c r="A11" t="str">
        <f>IF(B11=$B$4,"ATM","")</f>
        <v/>
      </c>
      <c r="B11">
        <v>52900</v>
      </c>
      <c r="C11">
        <f>IF(RawData!F382="","",RawData!F382)</f>
        <v>2525</v>
      </c>
      <c r="D11">
        <f>IF(RawData!F383="","",RawData!F383)</f>
        <v>277.75</v>
      </c>
      <c r="E11">
        <f>IF(OR(C11="",D11=""),"",C11+D11)</f>
        <v>2802.75</v>
      </c>
    </row>
    <row r="12" spans="1:5" x14ac:dyDescent="0.25">
      <c r="A12" t="str">
        <f>IF(B12=$B$4,"ATM","")</f>
        <v/>
      </c>
      <c r="B12">
        <v>53000</v>
      </c>
      <c r="C12">
        <f>IF(RawData!F384="","",RawData!F384)</f>
        <v>2600</v>
      </c>
      <c r="D12">
        <f>IF(RawData!F385="","",RawData!F385)</f>
        <v>297.39999999999998</v>
      </c>
      <c r="E12">
        <f>IF(OR(C12="",D12=""),"",C12+D12)</f>
        <v>2897.4</v>
      </c>
    </row>
    <row r="13" spans="1:5" x14ac:dyDescent="0.25">
      <c r="A13" t="str">
        <f>IF(B13=$B$4,"ATM","")</f>
        <v/>
      </c>
      <c r="B13">
        <v>53100</v>
      </c>
      <c r="C13">
        <f>IF(RawData!F386="","",RawData!F386)</f>
        <v>2639.35</v>
      </c>
      <c r="D13">
        <f>IF(RawData!F387="","",RawData!F387)</f>
        <v>310.05</v>
      </c>
      <c r="E13">
        <f>IF(OR(C13="",D13=""),"",C13+D13)</f>
        <v>2949.4</v>
      </c>
    </row>
    <row r="14" spans="1:5" x14ac:dyDescent="0.25">
      <c r="A14" t="str">
        <f>IF(B14=$B$4,"ATM","")</f>
        <v/>
      </c>
      <c r="B14">
        <v>53200</v>
      </c>
      <c r="C14">
        <f>IF(RawData!F388="","",RawData!F388)</f>
        <v>2308.85</v>
      </c>
      <c r="D14">
        <f>IF(RawData!F389="","",RawData!F389)</f>
        <v>323.10000000000002</v>
      </c>
      <c r="E14">
        <f>IF(OR(C14="",D14=""),"",C14+D14)</f>
        <v>2631.95</v>
      </c>
    </row>
    <row r="15" spans="1:5" x14ac:dyDescent="0.25">
      <c r="A15" t="str">
        <f>IF(B15=$B$4,"ATM","")</f>
        <v/>
      </c>
      <c r="B15">
        <v>53300</v>
      </c>
      <c r="C15">
        <f>IF(RawData!F390="","",RawData!F390)</f>
        <v>2408.85</v>
      </c>
      <c r="D15">
        <f>IF(RawData!F391="","",RawData!F391)</f>
        <v>340.45</v>
      </c>
      <c r="E15">
        <f>IF(OR(C15="",D15=""),"",C15+D15)</f>
        <v>2749.2999999999997</v>
      </c>
    </row>
    <row r="16" spans="1:5" x14ac:dyDescent="0.25">
      <c r="A16" t="str">
        <f>IF(B16=$B$4,"ATM","")</f>
        <v/>
      </c>
      <c r="B16">
        <v>53400</v>
      </c>
      <c r="C16">
        <f>IF(RawData!F392="","",RawData!F392)</f>
        <v>2090.5500000000002</v>
      </c>
      <c r="D16">
        <f>IF(RawData!F393="","",RawData!F393)</f>
        <v>365.45</v>
      </c>
      <c r="E16">
        <f>IF(OR(C16="",D16=""),"",C16+D16)</f>
        <v>2456</v>
      </c>
    </row>
    <row r="17" spans="1:5" x14ac:dyDescent="0.25">
      <c r="A17" t="str">
        <f>IF(B17=$B$4,"ATM","")</f>
        <v/>
      </c>
      <c r="B17">
        <v>53500</v>
      </c>
      <c r="C17">
        <f>IF(RawData!F394="","",RawData!F394)</f>
        <v>2230</v>
      </c>
      <c r="D17">
        <f>IF(RawData!F395="","",RawData!F395)</f>
        <v>387.6</v>
      </c>
      <c r="E17">
        <f>IF(OR(C17="",D17=""),"",C17+D17)</f>
        <v>2617.6</v>
      </c>
    </row>
    <row r="18" spans="1:5" x14ac:dyDescent="0.25">
      <c r="A18" t="str">
        <f>IF(B18=$B$4,"ATM","")</f>
        <v/>
      </c>
      <c r="B18">
        <v>53600</v>
      </c>
      <c r="C18">
        <f>IF(RawData!F396="","",RawData!F396)</f>
        <v>2247.5</v>
      </c>
      <c r="D18">
        <f>IF(RawData!F397="","",RawData!F397)</f>
        <v>407.85</v>
      </c>
      <c r="E18">
        <f>IF(OR(C18="",D18=""),"",C18+D18)</f>
        <v>2655.35</v>
      </c>
    </row>
    <row r="19" spans="1:5" x14ac:dyDescent="0.25">
      <c r="A19" t="str">
        <f>IF(B19=$B$4,"ATM","")</f>
        <v/>
      </c>
      <c r="B19">
        <v>53700</v>
      </c>
      <c r="C19">
        <f>IF(RawData!F398="","",RawData!F398)</f>
        <v>2125.4</v>
      </c>
      <c r="D19">
        <f>IF(RawData!F399="","",RawData!F399)</f>
        <v>434.65</v>
      </c>
      <c r="E19">
        <f>IF(OR(C19="",D19=""),"",C19+D19)</f>
        <v>2560.0500000000002</v>
      </c>
    </row>
    <row r="20" spans="1:5" x14ac:dyDescent="0.25">
      <c r="A20" t="str">
        <f>IF(B20=$B$4,"ATM","")</f>
        <v/>
      </c>
      <c r="B20">
        <v>53800</v>
      </c>
      <c r="C20">
        <f>IF(RawData!F400="","",RawData!F400)</f>
        <v>2013.6</v>
      </c>
      <c r="D20">
        <f>IF(RawData!F401="","",RawData!F401)</f>
        <v>452.3</v>
      </c>
      <c r="E20">
        <f>IF(OR(C20="",D20=""),"",C20+D20)</f>
        <v>2465.9</v>
      </c>
    </row>
    <row r="21" spans="1:5" x14ac:dyDescent="0.25">
      <c r="A21" t="str">
        <f>IF(B21=$B$4,"ATM","")</f>
        <v/>
      </c>
      <c r="B21">
        <v>53900</v>
      </c>
      <c r="C21">
        <f>IF(RawData!F402="","",RawData!F402)</f>
        <v>1925</v>
      </c>
      <c r="D21">
        <f>IF(RawData!F403="","",RawData!F403)</f>
        <v>475.95</v>
      </c>
      <c r="E21">
        <f>IF(OR(C21="",D21=""),"",C21+D21)</f>
        <v>2400.9499999999998</v>
      </c>
    </row>
    <row r="22" spans="1:5" x14ac:dyDescent="0.25">
      <c r="A22" t="str">
        <f>IF(B22=$B$4,"ATM","")</f>
        <v/>
      </c>
      <c r="B22">
        <v>54000</v>
      </c>
      <c r="C22">
        <f>IF(RawData!F404="","",RawData!F404)</f>
        <v>1834.35</v>
      </c>
      <c r="D22">
        <f>IF(RawData!F405="","",RawData!F405)</f>
        <v>505.95</v>
      </c>
      <c r="E22">
        <f>IF(OR(C22="",D22=""),"",C22+D22)</f>
        <v>2340.2999999999997</v>
      </c>
    </row>
    <row r="23" spans="1:5" x14ac:dyDescent="0.25">
      <c r="A23" t="str">
        <f>IF(B23=$B$4,"ATM","")</f>
        <v/>
      </c>
      <c r="B23">
        <v>54100</v>
      </c>
      <c r="C23">
        <f>IF(RawData!F406="","",RawData!F406)</f>
        <v>1782.55</v>
      </c>
      <c r="D23">
        <f>IF(RawData!F407="","",RawData!F407)</f>
        <v>533.65</v>
      </c>
      <c r="E23">
        <f>IF(OR(C23="",D23=""),"",C23+D23)</f>
        <v>2316.1999999999998</v>
      </c>
    </row>
    <row r="24" spans="1:5" x14ac:dyDescent="0.25">
      <c r="A24" t="str">
        <f>IF(B24=$B$4,"ATM","")</f>
        <v/>
      </c>
      <c r="B24">
        <v>54200</v>
      </c>
      <c r="C24">
        <f>IF(RawData!F408="","",RawData!F408)</f>
        <v>1746</v>
      </c>
      <c r="D24">
        <f>IF(RawData!F409="","",RawData!F409)</f>
        <v>559.9</v>
      </c>
      <c r="E24">
        <f>IF(OR(C24="",D24=""),"",C24+D24)</f>
        <v>2305.9</v>
      </c>
    </row>
    <row r="25" spans="1:5" x14ac:dyDescent="0.25">
      <c r="A25" t="str">
        <f>IF(B25=$B$4,"ATM","")</f>
        <v/>
      </c>
      <c r="B25">
        <v>54300</v>
      </c>
      <c r="C25">
        <f>IF(RawData!F410="","",RawData!F410)</f>
        <v>1684.35</v>
      </c>
      <c r="D25">
        <f>IF(RawData!F411="","",RawData!F411)</f>
        <v>583.20000000000005</v>
      </c>
      <c r="E25">
        <f>IF(OR(C25="",D25=""),"",C25+D25)</f>
        <v>2267.5500000000002</v>
      </c>
    </row>
    <row r="26" spans="1:5" x14ac:dyDescent="0.25">
      <c r="A26" t="str">
        <f>IF(B26=$B$4,"ATM","")</f>
        <v/>
      </c>
      <c r="B26">
        <v>54400</v>
      </c>
      <c r="C26">
        <f>IF(RawData!F412="","",RawData!F412)</f>
        <v>1552.5</v>
      </c>
      <c r="D26">
        <f>IF(RawData!F413="","",RawData!F413)</f>
        <v>616.79999999999995</v>
      </c>
      <c r="E26">
        <f>IF(OR(C26="",D26=""),"",C26+D26)</f>
        <v>2169.3000000000002</v>
      </c>
    </row>
    <row r="27" spans="1:5" x14ac:dyDescent="0.25">
      <c r="A27" t="str">
        <f>IF(B27=$B$4,"ATM","")</f>
        <v/>
      </c>
      <c r="B27">
        <v>54500</v>
      </c>
      <c r="C27">
        <f>IF(RawData!F414="","",RawData!F414)</f>
        <v>1477.1</v>
      </c>
      <c r="D27">
        <f>IF(RawData!F415="","",RawData!F415)</f>
        <v>651.79999999999995</v>
      </c>
      <c r="E27">
        <f>IF(OR(C27="",D27=""),"",C27+D27)</f>
        <v>2128.8999999999996</v>
      </c>
    </row>
    <row r="28" spans="1:5" x14ac:dyDescent="0.25">
      <c r="A28" t="str">
        <f>IF(B28=$B$4,"ATM","")</f>
        <v/>
      </c>
      <c r="B28">
        <v>54600</v>
      </c>
      <c r="C28">
        <f>IF(RawData!F416="","",RawData!F416)</f>
        <v>1409.2</v>
      </c>
      <c r="D28">
        <f>IF(RawData!F417="","",RawData!F417)</f>
        <v>675.9</v>
      </c>
      <c r="E28">
        <f>IF(OR(C28="",D28=""),"",C28+D28)</f>
        <v>2085.1</v>
      </c>
    </row>
    <row r="29" spans="1:5" x14ac:dyDescent="0.25">
      <c r="A29" t="str">
        <f>IF(B29=$B$4,"ATM","")</f>
        <v/>
      </c>
      <c r="B29">
        <v>54700</v>
      </c>
      <c r="C29">
        <f>IF(RawData!F418="","",RawData!F418)</f>
        <v>1330.5</v>
      </c>
      <c r="D29">
        <f>IF(RawData!F419="","",RawData!F419)</f>
        <v>720.65</v>
      </c>
      <c r="E29">
        <f>IF(OR(C29="",D29=""),"",C29+D29)</f>
        <v>2051.15</v>
      </c>
    </row>
    <row r="30" spans="1:5" x14ac:dyDescent="0.25">
      <c r="A30" t="str">
        <f>IF(B30=$B$4,"ATM","")</f>
        <v/>
      </c>
      <c r="B30">
        <v>54800</v>
      </c>
      <c r="C30">
        <f>IF(RawData!F420="","",RawData!F420)</f>
        <v>1278</v>
      </c>
      <c r="D30">
        <f>IF(RawData!F421="","",RawData!F421)</f>
        <v>759.1</v>
      </c>
      <c r="E30">
        <f>IF(OR(C30="",D30=""),"",C30+D30)</f>
        <v>2037.1</v>
      </c>
    </row>
    <row r="31" spans="1:5" x14ac:dyDescent="0.25">
      <c r="A31" t="str">
        <f>IF(B31=$B$4,"ATM","")</f>
        <v/>
      </c>
      <c r="B31">
        <v>54900</v>
      </c>
      <c r="C31">
        <f>IF(RawData!F422="","",RawData!F422)</f>
        <v>1212</v>
      </c>
      <c r="D31">
        <f>IF(RawData!F423="","",RawData!F423)</f>
        <v>799.95</v>
      </c>
      <c r="E31">
        <f>IF(OR(C31="",D31=""),"",C31+D31)</f>
        <v>2011.95</v>
      </c>
    </row>
    <row r="32" spans="1:5" x14ac:dyDescent="0.25">
      <c r="A32" t="str">
        <f>IF(B32=$B$4,"ATM","")</f>
        <v/>
      </c>
      <c r="B32">
        <v>55000</v>
      </c>
      <c r="C32">
        <f>IF(RawData!F424="","",RawData!F424)</f>
        <v>1152.5999999999999</v>
      </c>
      <c r="D32">
        <f>IF(RawData!F425="","",RawData!F425)</f>
        <v>840</v>
      </c>
      <c r="E32">
        <f>IF(OR(C32="",D32=""),"",C32+D32)</f>
        <v>1992.6</v>
      </c>
    </row>
    <row r="33" spans="1:5" x14ac:dyDescent="0.25">
      <c r="A33" t="str">
        <f>IF(B33=$B$4,"ATM","")</f>
        <v>ATM</v>
      </c>
      <c r="B33">
        <v>55100</v>
      </c>
      <c r="C33">
        <f>IF(RawData!F426="","",RawData!F426)</f>
        <v>1095.3</v>
      </c>
      <c r="D33">
        <f>IF(RawData!F427="","",RawData!F427)</f>
        <v>879</v>
      </c>
      <c r="E33">
        <f>IF(OR(C33="",D33=""),"",C33+D33)</f>
        <v>1974.3</v>
      </c>
    </row>
    <row r="34" spans="1:5" x14ac:dyDescent="0.25">
      <c r="A34" t="str">
        <f>IF(B34=$B$4,"ATM","")</f>
        <v/>
      </c>
      <c r="B34">
        <v>55200</v>
      </c>
      <c r="C34">
        <f>IF(RawData!F428="","",RawData!F428)</f>
        <v>1040.3</v>
      </c>
      <c r="D34">
        <f>IF(RawData!F429="","",RawData!F429)</f>
        <v>918.55</v>
      </c>
      <c r="E34">
        <f>IF(OR(C34="",D34=""),"",C34+D34)</f>
        <v>1958.85</v>
      </c>
    </row>
    <row r="35" spans="1:5" x14ac:dyDescent="0.25">
      <c r="A35" t="str">
        <f>IF(B35=$B$4,"ATM","")</f>
        <v/>
      </c>
      <c r="B35">
        <v>55300</v>
      </c>
      <c r="C35">
        <f>IF(RawData!F430="","",RawData!F430)</f>
        <v>983.9</v>
      </c>
      <c r="D35">
        <f>IF(RawData!F431="","",RawData!F431)</f>
        <v>967.75</v>
      </c>
      <c r="E35">
        <f>IF(OR(C35="",D35=""),"",C35+D35)</f>
        <v>1951.65</v>
      </c>
    </row>
    <row r="36" spans="1:5" x14ac:dyDescent="0.25">
      <c r="A36" t="str">
        <f>IF(B36=$B$4,"ATM","")</f>
        <v/>
      </c>
      <c r="B36">
        <v>55400</v>
      </c>
      <c r="C36">
        <f>IF(RawData!F432="","",RawData!F432)</f>
        <v>928.2</v>
      </c>
      <c r="D36">
        <f>IF(RawData!F433="","",RawData!F433)</f>
        <v>1004.55</v>
      </c>
      <c r="E36">
        <f>IF(OR(C36="",D36=""),"",C36+D36)</f>
        <v>1932.75</v>
      </c>
    </row>
    <row r="37" spans="1:5" x14ac:dyDescent="0.25">
      <c r="A37" t="str">
        <f>IF(B37=$B$4,"ATM","")</f>
        <v/>
      </c>
      <c r="B37">
        <v>55500</v>
      </c>
      <c r="C37">
        <f>IF(RawData!F434="","",RawData!F434)</f>
        <v>882.15</v>
      </c>
      <c r="D37">
        <f>IF(RawData!F435="","",RawData!F435)</f>
        <v>1059.25</v>
      </c>
      <c r="E37">
        <f>IF(OR(C37="",D37=""),"",C37+D37)</f>
        <v>1941.4</v>
      </c>
    </row>
    <row r="38" spans="1:5" x14ac:dyDescent="0.25">
      <c r="A38" t="str">
        <f>IF(B38=$B$4,"ATM","")</f>
        <v/>
      </c>
      <c r="B38">
        <v>55600</v>
      </c>
      <c r="C38">
        <f>IF(RawData!F436="","",RawData!F436)</f>
        <v>831.25</v>
      </c>
      <c r="D38">
        <f>IF(RawData!F437="","",RawData!F437)</f>
        <v>1100.7</v>
      </c>
      <c r="E38">
        <f>IF(OR(C38="",D38=""),"",C38+D38)</f>
        <v>1931.95</v>
      </c>
    </row>
    <row r="39" spans="1:5" x14ac:dyDescent="0.25">
      <c r="A39" t="str">
        <f>IF(B39=$B$4,"ATM","")</f>
        <v/>
      </c>
      <c r="B39">
        <v>55700</v>
      </c>
      <c r="C39">
        <f>IF(RawData!F438="","",RawData!F438)</f>
        <v>785.85</v>
      </c>
      <c r="D39">
        <f>IF(RawData!F439="","",RawData!F439)</f>
        <v>1148.25</v>
      </c>
      <c r="E39">
        <f>IF(OR(C39="",D39=""),"",C39+D39)</f>
        <v>1934.1</v>
      </c>
    </row>
    <row r="40" spans="1:5" x14ac:dyDescent="0.25">
      <c r="A40" t="str">
        <f>IF(B40=$B$4,"ATM","")</f>
        <v/>
      </c>
      <c r="B40">
        <v>55800</v>
      </c>
      <c r="C40">
        <f>IF(RawData!F440="","",RawData!F440)</f>
        <v>745.75</v>
      </c>
      <c r="D40">
        <f>IF(RawData!F441="","",RawData!F441)</f>
        <v>1206.7</v>
      </c>
      <c r="E40">
        <f>IF(OR(C40="",D40=""),"",C40+D40)</f>
        <v>1952.45</v>
      </c>
    </row>
    <row r="41" spans="1:5" x14ac:dyDescent="0.25">
      <c r="A41" t="str">
        <f>IF(B41=$B$4,"ATM","")</f>
        <v/>
      </c>
      <c r="B41">
        <v>55900</v>
      </c>
      <c r="C41">
        <f>IF(RawData!F442="","",RawData!F442)</f>
        <v>695.85</v>
      </c>
      <c r="D41">
        <f>IF(RawData!F443="","",RawData!F443)</f>
        <v>1274.5</v>
      </c>
      <c r="E41">
        <f>IF(OR(C41="",D41=""),"",C41+D41)</f>
        <v>1970.35</v>
      </c>
    </row>
    <row r="42" spans="1:5" x14ac:dyDescent="0.25">
      <c r="A42" t="str">
        <f>IF(B42=$B$4,"ATM","")</f>
        <v/>
      </c>
      <c r="B42">
        <v>56000</v>
      </c>
      <c r="C42">
        <f>IF(RawData!F444="","",RawData!F444)</f>
        <v>653.04999999999995</v>
      </c>
      <c r="D42">
        <f>IF(RawData!F445="","",RawData!F445)</f>
        <v>1325</v>
      </c>
      <c r="E42">
        <f>IF(OR(C42="",D42=""),"",C42+D42)</f>
        <v>1978.05</v>
      </c>
    </row>
    <row r="43" spans="1:5" x14ac:dyDescent="0.25">
      <c r="A43" t="str">
        <f>IF(B43=$B$4,"ATM","")</f>
        <v/>
      </c>
      <c r="B43">
        <v>56100</v>
      </c>
      <c r="C43">
        <f>IF(RawData!F446="","",RawData!F446)</f>
        <v>617.70000000000005</v>
      </c>
      <c r="D43">
        <f>IF(RawData!F447="","",RawData!F447)</f>
        <v>1336.45</v>
      </c>
      <c r="E43">
        <f>IF(OR(C43="",D43=""),"",C43+D43)</f>
        <v>1954.15</v>
      </c>
    </row>
    <row r="44" spans="1:5" x14ac:dyDescent="0.25">
      <c r="A44" t="str">
        <f>IF(B44=$B$4,"ATM","")</f>
        <v/>
      </c>
      <c r="B44">
        <v>56200</v>
      </c>
      <c r="C44">
        <f>IF(RawData!F448="","",RawData!F448)</f>
        <v>578.6</v>
      </c>
      <c r="D44">
        <f>IF(RawData!F449="","",RawData!F449)</f>
        <v>1374</v>
      </c>
      <c r="E44">
        <f>IF(OR(C44="",D44=""),"",C44+D44)</f>
        <v>1952.6</v>
      </c>
    </row>
    <row r="45" spans="1:5" x14ac:dyDescent="0.25">
      <c r="A45" t="str">
        <f>IF(B45=$B$4,"ATM","")</f>
        <v/>
      </c>
      <c r="B45">
        <v>56300</v>
      </c>
      <c r="C45">
        <f>IF(RawData!F450="","",RawData!F450)</f>
        <v>541.95000000000005</v>
      </c>
      <c r="D45">
        <f>IF(RawData!F451="","",RawData!F451)</f>
        <v>1500</v>
      </c>
      <c r="E45">
        <f>IF(OR(C45="",D45=""),"",C45+D45)</f>
        <v>2041.95</v>
      </c>
    </row>
    <row r="46" spans="1:5" x14ac:dyDescent="0.25">
      <c r="A46" t="str">
        <f>IF(B46=$B$4,"ATM","")</f>
        <v/>
      </c>
      <c r="B46">
        <v>56400</v>
      </c>
      <c r="C46">
        <f>IF(RawData!F452="","",RawData!F452)</f>
        <v>507.95</v>
      </c>
      <c r="D46">
        <f>IF(RawData!F453="","",RawData!F453)</f>
        <v>1580</v>
      </c>
      <c r="E46">
        <f>IF(OR(C46="",D46=""),"",C46+D46)</f>
        <v>2087.9499999999998</v>
      </c>
    </row>
    <row r="47" spans="1:5" x14ac:dyDescent="0.25">
      <c r="A47" t="str">
        <f>IF(B47=$B$4,"ATM","")</f>
        <v/>
      </c>
      <c r="B47">
        <v>56500</v>
      </c>
      <c r="C47">
        <f>IF(RawData!F454="","",RawData!F454)</f>
        <v>471</v>
      </c>
      <c r="D47">
        <f>IF(RawData!F455="","",RawData!F455)</f>
        <v>1625</v>
      </c>
      <c r="E47">
        <f>IF(OR(C47="",D47=""),"",C47+D47)</f>
        <v>2096</v>
      </c>
    </row>
    <row r="48" spans="1:5" x14ac:dyDescent="0.25">
      <c r="A48" t="str">
        <f>IF(B48=$B$4,"ATM","")</f>
        <v/>
      </c>
      <c r="B48">
        <v>56600</v>
      </c>
      <c r="C48">
        <f>IF(RawData!F456="","",RawData!F456)</f>
        <v>445.3</v>
      </c>
      <c r="D48">
        <f>IF(RawData!F457="","",RawData!F457)</f>
        <v>1740</v>
      </c>
      <c r="E48">
        <f>IF(OR(C48="",D48=""),"",C48+D48)</f>
        <v>2185.3000000000002</v>
      </c>
    </row>
    <row r="49" spans="1:5" x14ac:dyDescent="0.25">
      <c r="A49" t="str">
        <f>IF(B49=$B$4,"ATM","")</f>
        <v/>
      </c>
      <c r="B49">
        <v>56700</v>
      </c>
      <c r="C49">
        <f>IF(RawData!F458="","",RawData!F458)</f>
        <v>410</v>
      </c>
      <c r="D49">
        <f>IF(RawData!F459="","",RawData!F459)</f>
        <v>1746.55</v>
      </c>
      <c r="E49">
        <f>IF(OR(C49="",D49=""),"",C49+D49)</f>
        <v>2156.5500000000002</v>
      </c>
    </row>
    <row r="50" spans="1:5" x14ac:dyDescent="0.25">
      <c r="A50" t="str">
        <f>IF(B50=$B$4,"ATM","")</f>
        <v/>
      </c>
      <c r="B50">
        <v>56800</v>
      </c>
      <c r="C50">
        <f>IF(RawData!F460="","",RawData!F460)</f>
        <v>383.5</v>
      </c>
      <c r="D50">
        <f>IF(RawData!F461="","",RawData!F461)</f>
        <v>1877.75</v>
      </c>
      <c r="E50">
        <f>IF(OR(C50="",D50=""),"",C50+D50)</f>
        <v>2261.25</v>
      </c>
    </row>
    <row r="51" spans="1:5" x14ac:dyDescent="0.25">
      <c r="A51" t="str">
        <f>IF(B51=$B$4,"ATM","")</f>
        <v/>
      </c>
      <c r="B51">
        <v>56900</v>
      </c>
      <c r="C51">
        <f>IF(RawData!F462="","",RawData!F462)</f>
        <v>356.55</v>
      </c>
      <c r="D51">
        <f>IF(RawData!F463="","",RawData!F463)</f>
        <v>1799</v>
      </c>
      <c r="E51">
        <f>IF(OR(C51="",D51=""),"",C51+D51)</f>
        <v>2155.5500000000002</v>
      </c>
    </row>
    <row r="52" spans="1:5" x14ac:dyDescent="0.25">
      <c r="A52" t="str">
        <f>IF(B52=$B$4,"ATM","")</f>
        <v/>
      </c>
      <c r="B52">
        <v>57000</v>
      </c>
      <c r="C52">
        <f>IF(RawData!F464="","",RawData!F464)</f>
        <v>330.45</v>
      </c>
      <c r="D52">
        <f>IF(RawData!F465="","",RawData!F465)</f>
        <v>1998</v>
      </c>
      <c r="E52">
        <f>IF(OR(C52="",D52=""),"",C52+D52)</f>
        <v>2328.4499999999998</v>
      </c>
    </row>
    <row r="53" spans="1:5" x14ac:dyDescent="0.25">
      <c r="A53" t="str">
        <f>IF(B53=$B$4,"ATM","")</f>
        <v/>
      </c>
      <c r="B53">
        <v>57100</v>
      </c>
      <c r="C53">
        <f>IF(RawData!F466="","",RawData!F466)</f>
        <v>306.85000000000002</v>
      </c>
      <c r="D53">
        <f>IF(RawData!F467="","",RawData!F467)</f>
        <v>2550</v>
      </c>
      <c r="E53">
        <f>IF(OR(C53="",D53=""),"",C53+D53)</f>
        <v>2856.85</v>
      </c>
    </row>
    <row r="54" spans="1:5" x14ac:dyDescent="0.25">
      <c r="A54" t="str">
        <f>IF(B54=$B$4,"ATM","")</f>
        <v/>
      </c>
      <c r="B54">
        <v>57200</v>
      </c>
      <c r="C54">
        <f>IF(RawData!F468="","",RawData!F468)</f>
        <v>286.10000000000002</v>
      </c>
      <c r="D54">
        <f>IF(RawData!F469="","",RawData!F469)</f>
        <v>2005</v>
      </c>
      <c r="E54">
        <f>IF(OR(C54="",D54=""),"",C54+D54)</f>
        <v>2291.1</v>
      </c>
    </row>
    <row r="55" spans="1:5" x14ac:dyDescent="0.25">
      <c r="A55" t="str">
        <f>IF(B55=$B$4,"ATM","")</f>
        <v/>
      </c>
      <c r="B55">
        <v>57300</v>
      </c>
      <c r="C55">
        <f>IF(RawData!F470="","",RawData!F470)</f>
        <v>267.55</v>
      </c>
      <c r="D55">
        <f>IF(RawData!F471="","",RawData!F471)</f>
        <v>2151.1</v>
      </c>
      <c r="E55">
        <f>IF(OR(C55="",D55=""),"",C55+D55)</f>
        <v>2418.65</v>
      </c>
    </row>
    <row r="56" spans="1:5" x14ac:dyDescent="0.25">
      <c r="A56" t="str">
        <f>IF(B56=$B$4,"ATM","")</f>
        <v/>
      </c>
      <c r="B56">
        <v>57400</v>
      </c>
      <c r="C56">
        <f>IF(RawData!F472="","",RawData!F472)</f>
        <v>250</v>
      </c>
      <c r="D56">
        <f>IF(RawData!F473="","",RawData!F473)</f>
        <v>2110</v>
      </c>
      <c r="E56">
        <f>IF(OR(C56="",D56=""),"",C56+D56)</f>
        <v>2360</v>
      </c>
    </row>
    <row r="57" spans="1:5" x14ac:dyDescent="0.25">
      <c r="A57" t="str">
        <f>IF(B57=$B$4,"ATM","")</f>
        <v/>
      </c>
      <c r="B57">
        <v>57500</v>
      </c>
      <c r="C57">
        <f>IF(RawData!F474="","",RawData!F474)</f>
        <v>229.2</v>
      </c>
      <c r="D57">
        <f>IF(RawData!F475="","",RawData!F475)</f>
        <v>2300</v>
      </c>
      <c r="E57">
        <f>IF(OR(C57="",D57=""),"",C57+D57)</f>
        <v>2529.1999999999998</v>
      </c>
    </row>
    <row r="58" spans="1:5" x14ac:dyDescent="0.25">
      <c r="A58" t="str">
        <f>IF(B58=$B$4,"ATM","")</f>
        <v/>
      </c>
      <c r="B58">
        <v>57600</v>
      </c>
      <c r="C58">
        <f>IF(RawData!F476="","",RawData!F476)</f>
        <v>212.9</v>
      </c>
      <c r="D58">
        <f>IF(RawData!F477="","",RawData!F477)</f>
        <v>2302.6999999999998</v>
      </c>
      <c r="E58">
        <f>IF(OR(C58="",D58=""),"",C58+D58)</f>
        <v>2515.6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8"/>
  <sheetViews>
    <sheetView showGridLines="0" workbookViewId="0">
      <pane ySplit="7" topLeftCell="A8" activePane="bottomLeft" state="frozen"/>
      <selection pane="bottomLeft" activeCell="M27" sqref="M27"/>
    </sheetView>
  </sheetViews>
  <sheetFormatPr defaultRowHeight="15" x14ac:dyDescent="0.25"/>
  <cols>
    <col min="1" max="1" width="10" customWidth="1"/>
    <col min="2" max="2" width="17.85546875" customWidth="1"/>
    <col min="3" max="4" width="14" customWidth="1"/>
    <col min="5" max="5" width="16" customWidth="1"/>
  </cols>
  <sheetData>
    <row r="1" spans="1:15" ht="21" x14ac:dyDescent="0.35">
      <c r="A1" s="7" t="s">
        <v>23</v>
      </c>
      <c r="B1" s="8"/>
      <c r="C1" s="8"/>
      <c r="D1" s="8"/>
      <c r="E1" s="8"/>
    </row>
    <row r="3" spans="1:15" x14ac:dyDescent="0.25">
      <c r="A3" s="2" t="s">
        <v>2</v>
      </c>
      <c r="B3" s="5">
        <v>46149</v>
      </c>
      <c r="D3" s="2" t="s">
        <v>3</v>
      </c>
      <c r="E3" s="2">
        <v>77195.56</v>
      </c>
    </row>
    <row r="4" spans="1:15" x14ac:dyDescent="0.25">
      <c r="A4" s="2" t="s">
        <v>4</v>
      </c>
      <c r="B4" s="2">
        <v>77200</v>
      </c>
      <c r="D4" s="2" t="s">
        <v>5</v>
      </c>
      <c r="E4" s="2">
        <v>679.9</v>
      </c>
    </row>
    <row r="5" spans="1:15" x14ac:dyDescent="0.25">
      <c r="A5" s="2" t="s">
        <v>10</v>
      </c>
      <c r="B5" s="6">
        <v>46148.455451388887</v>
      </c>
      <c r="D5" s="2" t="s">
        <v>6</v>
      </c>
      <c r="E5" s="2" t="s">
        <v>470</v>
      </c>
    </row>
    <row r="6" spans="1:15" x14ac:dyDescent="0.25">
      <c r="A6" s="2" t="s">
        <v>16</v>
      </c>
    </row>
    <row r="7" spans="1:15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</row>
    <row r="8" spans="1:15" x14ac:dyDescent="0.25">
      <c r="A8" t="str">
        <f>IF(B8=$B$4,"ATM","")</f>
        <v/>
      </c>
      <c r="B8">
        <v>74700</v>
      </c>
      <c r="C8" t="str">
        <f>IF(RawData!F857="","",RawData!F857)</f>
        <v/>
      </c>
      <c r="D8">
        <f>IF(RawData!F858="","",RawData!F858)</f>
        <v>3.45</v>
      </c>
      <c r="E8" t="str">
        <f>IF(OR(C8="",D8=""),"",C8+D8)</f>
        <v/>
      </c>
    </row>
    <row r="9" spans="1:15" x14ac:dyDescent="0.25">
      <c r="A9" t="str">
        <f>IF(B9=$B$4,"ATM","")</f>
        <v/>
      </c>
      <c r="B9">
        <v>74800</v>
      </c>
      <c r="C9" t="str">
        <f>IF(RawData!F859="","",RawData!F859)</f>
        <v/>
      </c>
      <c r="D9">
        <f>IF(RawData!F860="","",RawData!F860)</f>
        <v>3.75</v>
      </c>
      <c r="E9" t="str">
        <f>IF(OR(C9="",D9=""),"",C9+D9)</f>
        <v/>
      </c>
    </row>
    <row r="10" spans="1:15" x14ac:dyDescent="0.25">
      <c r="A10" t="str">
        <f>IF(B10=$B$4,"ATM","")</f>
        <v/>
      </c>
      <c r="B10">
        <v>74900</v>
      </c>
      <c r="C10" t="str">
        <f>IF(RawData!F861="","",RawData!F861)</f>
        <v/>
      </c>
      <c r="D10">
        <f>IF(RawData!F862="","",RawData!F862)</f>
        <v>4.25</v>
      </c>
      <c r="E10" t="str">
        <f>IF(OR(C10="",D10=""),"",C10+D10)</f>
        <v/>
      </c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t="str">
        <f>IF(B11=$B$4,"ATM","")</f>
        <v/>
      </c>
      <c r="B11">
        <v>75000</v>
      </c>
      <c r="C11">
        <f>IF(RawData!F863="","",RawData!F863)</f>
        <v>2314.4</v>
      </c>
      <c r="D11">
        <f>IF(RawData!F864="","",RawData!F864)</f>
        <v>4.95</v>
      </c>
      <c r="E11">
        <f>IF(OR(C11="",D11=""),"",C11+D11)</f>
        <v>2319.35</v>
      </c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t="str">
        <f>IF(B12=$B$4,"ATM","")</f>
        <v/>
      </c>
      <c r="B12">
        <v>75100</v>
      </c>
      <c r="C12">
        <f>IF(RawData!F865="","",RawData!F865)</f>
        <v>1955.15</v>
      </c>
      <c r="D12">
        <f>IF(RawData!F866="","",RawData!F866)</f>
        <v>5.55</v>
      </c>
      <c r="E12">
        <f>IF(OR(C12="",D12=""),"",C12+D12)</f>
        <v>1960.7</v>
      </c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t="str">
        <f>IF(B13=$B$4,"ATM","")</f>
        <v/>
      </c>
      <c r="B13">
        <v>75200</v>
      </c>
      <c r="C13">
        <f>IF(RawData!F867="","",RawData!F867)</f>
        <v>2193.15</v>
      </c>
      <c r="D13">
        <f>IF(RawData!F868="","",RawData!F868)</f>
        <v>6.3</v>
      </c>
      <c r="E13">
        <f>IF(OR(C13="",D13=""),"",C13+D13)</f>
        <v>2199.4500000000003</v>
      </c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t="str">
        <f>IF(B14=$B$4,"ATM","")</f>
        <v/>
      </c>
      <c r="B14">
        <v>75300</v>
      </c>
      <c r="C14">
        <f>IF(RawData!F869="","",RawData!F869)</f>
        <v>1850</v>
      </c>
      <c r="D14">
        <f>IF(RawData!F870="","",RawData!F870)</f>
        <v>7.4</v>
      </c>
      <c r="E14">
        <f>IF(OR(C14="",D14=""),"",C14+D14)</f>
        <v>1857.4</v>
      </c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t="str">
        <f>IF(B15=$B$4,"ATM","")</f>
        <v/>
      </c>
      <c r="B15">
        <v>75400</v>
      </c>
      <c r="C15">
        <f>IF(RawData!F871="","",RawData!F871)</f>
        <v>1758.55</v>
      </c>
      <c r="D15">
        <f>IF(RawData!F872="","",RawData!F872)</f>
        <v>8.85</v>
      </c>
      <c r="E15">
        <f>IF(OR(C15="",D15=""),"",C15+D15)</f>
        <v>1767.3999999999999</v>
      </c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t="str">
        <f>IF(B16=$B$4,"ATM","")</f>
        <v/>
      </c>
      <c r="B16">
        <v>75500</v>
      </c>
      <c r="C16">
        <f>IF(RawData!F873="","",RawData!F873)</f>
        <v>1820</v>
      </c>
      <c r="D16">
        <f>IF(RawData!F874="","",RawData!F874)</f>
        <v>10.7</v>
      </c>
      <c r="E16">
        <f>IF(OR(C16="",D16=""),"",C16+D16)</f>
        <v>1830.7</v>
      </c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t="str">
        <f>IF(B17=$B$4,"ATM","")</f>
        <v/>
      </c>
      <c r="B17">
        <v>75600</v>
      </c>
      <c r="C17">
        <f>IF(RawData!F875="","",RawData!F875)</f>
        <v>1556.95</v>
      </c>
      <c r="D17">
        <f>IF(RawData!F876="","",RawData!F876)</f>
        <v>13.4</v>
      </c>
      <c r="E17">
        <f>IF(OR(C17="",D17=""),"",C17+D17)</f>
        <v>1570.3500000000001</v>
      </c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t="str">
        <f>IF(B18=$B$4,"ATM","")</f>
        <v/>
      </c>
      <c r="B18">
        <v>75700</v>
      </c>
      <c r="C18">
        <f>IF(RawData!F877="","",RawData!F877)</f>
        <v>1643.7</v>
      </c>
      <c r="D18">
        <f>IF(RawData!F878="","",RawData!F878)</f>
        <v>16.350000000000001</v>
      </c>
      <c r="E18">
        <f>IF(OR(C18="",D18=""),"",C18+D18)</f>
        <v>1660.05</v>
      </c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t="str">
        <f>IF(B19=$B$4,"ATM","")</f>
        <v/>
      </c>
      <c r="B19">
        <v>75800</v>
      </c>
      <c r="C19">
        <f>IF(RawData!F879="","",RawData!F879)</f>
        <v>1546.55</v>
      </c>
      <c r="D19">
        <f>IF(RawData!F880="","",RawData!F880)</f>
        <v>20.2</v>
      </c>
      <c r="E19">
        <f>IF(OR(C19="",D19=""),"",C19+D19)</f>
        <v>1566.75</v>
      </c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t="str">
        <f>IF(B20=$B$4,"ATM","")</f>
        <v/>
      </c>
      <c r="B20">
        <v>75900</v>
      </c>
      <c r="C20">
        <f>IF(RawData!F881="","",RawData!F881)</f>
        <v>1436.4</v>
      </c>
      <c r="D20">
        <f>IF(RawData!F882="","",RawData!F882)</f>
        <v>25.05</v>
      </c>
      <c r="E20">
        <f>IF(OR(C20="",D20=""),"",C20+D20)</f>
        <v>1461.45</v>
      </c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t="str">
        <f>IF(B21=$B$4,"ATM","")</f>
        <v/>
      </c>
      <c r="B21">
        <v>76000</v>
      </c>
      <c r="C21">
        <f>IF(RawData!F883="","",RawData!F883)</f>
        <v>1328.05</v>
      </c>
      <c r="D21">
        <f>IF(RawData!F884="","",RawData!F884)</f>
        <v>30.6</v>
      </c>
      <c r="E21">
        <f>IF(OR(C21="",D21=""),"",C21+D21)</f>
        <v>1358.6499999999999</v>
      </c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t="str">
        <f>IF(B22=$B$4,"ATM","")</f>
        <v/>
      </c>
      <c r="B22">
        <v>76100</v>
      </c>
      <c r="C22">
        <f>IF(RawData!F885="","",RawData!F885)</f>
        <v>1245.6500000000001</v>
      </c>
      <c r="D22">
        <f>IF(RawData!F886="","",RawData!F886)</f>
        <v>38.049999999999997</v>
      </c>
      <c r="E22">
        <f>IF(OR(C22="",D22=""),"",C22+D22)</f>
        <v>1283.7</v>
      </c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t="str">
        <f>IF(B23=$B$4,"ATM","")</f>
        <v/>
      </c>
      <c r="B23">
        <v>76200</v>
      </c>
      <c r="C23">
        <f>IF(RawData!F887="","",RawData!F887)</f>
        <v>1150</v>
      </c>
      <c r="D23">
        <f>IF(RawData!F888="","",RawData!F888)</f>
        <v>46.8</v>
      </c>
      <c r="E23">
        <f>IF(OR(C23="",D23=""),"",C23+D23)</f>
        <v>1196.8</v>
      </c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t="str">
        <f>IF(B24=$B$4,"ATM","")</f>
        <v/>
      </c>
      <c r="B24">
        <v>76300</v>
      </c>
      <c r="C24">
        <f>IF(RawData!F889="","",RawData!F889)</f>
        <v>1048.75</v>
      </c>
      <c r="D24">
        <f>IF(RawData!F890="","",RawData!F890)</f>
        <v>57.35</v>
      </c>
      <c r="E24">
        <f>IF(OR(C24="",D24=""),"",C24+D24)</f>
        <v>1106.0999999999999</v>
      </c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t="str">
        <f>IF(B25=$B$4,"ATM","")</f>
        <v/>
      </c>
      <c r="B25">
        <v>76400</v>
      </c>
      <c r="C25">
        <f>IF(RawData!F891="","",RawData!F891)</f>
        <v>973.85</v>
      </c>
      <c r="D25">
        <f>IF(RawData!F892="","",RawData!F892)</f>
        <v>69.95</v>
      </c>
      <c r="E25">
        <f>IF(OR(C25="",D25=""),"",C25+D25)</f>
        <v>1043.8</v>
      </c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t="str">
        <f>IF(B26=$B$4,"ATM","")</f>
        <v/>
      </c>
      <c r="B26">
        <v>76500</v>
      </c>
      <c r="C26">
        <f>IF(RawData!F893="","",RawData!F893)</f>
        <v>877.75</v>
      </c>
      <c r="D26">
        <f>IF(RawData!F894="","",RawData!F894)</f>
        <v>85.35</v>
      </c>
      <c r="E26">
        <f>IF(OR(C26="",D26=""),"",C26+D26)</f>
        <v>963.1</v>
      </c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t="str">
        <f>IF(B27=$B$4,"ATM","")</f>
        <v/>
      </c>
      <c r="B27">
        <v>76600</v>
      </c>
      <c r="C27">
        <f>IF(RawData!F895="","",RawData!F895)</f>
        <v>804.8</v>
      </c>
      <c r="D27">
        <f>IF(RawData!F896="","",RawData!F896)</f>
        <v>103.4</v>
      </c>
      <c r="E27">
        <f>IF(OR(C27="",D27=""),"",C27+D27)</f>
        <v>908.19999999999993</v>
      </c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t="str">
        <f>IF(B28=$B$4,"ATM","")</f>
        <v/>
      </c>
      <c r="B28">
        <v>76700</v>
      </c>
      <c r="C28">
        <f>IF(RawData!F897="","",RawData!F897)</f>
        <v>717.65</v>
      </c>
      <c r="D28">
        <f>IF(RawData!F898="","",RawData!F898)</f>
        <v>124.9</v>
      </c>
      <c r="E28">
        <f>IF(OR(C28="",D28=""),"",C28+D28)</f>
        <v>842.55</v>
      </c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t="str">
        <f>IF(B29=$B$4,"ATM","")</f>
        <v/>
      </c>
      <c r="B29">
        <v>76800</v>
      </c>
      <c r="C29">
        <f>IF(RawData!F899="","",RawData!F899)</f>
        <v>643.6</v>
      </c>
      <c r="D29">
        <f>IF(RawData!F900="","",RawData!F900)</f>
        <v>149.5</v>
      </c>
      <c r="E29">
        <f>IF(OR(C29="",D29=""),"",C29+D29)</f>
        <v>793.1</v>
      </c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t="str">
        <f>IF(B30=$B$4,"ATM","")</f>
        <v/>
      </c>
      <c r="B30">
        <v>76900</v>
      </c>
      <c r="C30">
        <f>IF(RawData!F901="","",RawData!F901)</f>
        <v>571.29999999999995</v>
      </c>
      <c r="D30">
        <f>IF(RawData!F902="","",RawData!F902)</f>
        <v>178.75</v>
      </c>
      <c r="E30">
        <f>IF(OR(C30="",D30=""),"",C30+D30)</f>
        <v>750.05</v>
      </c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t="str">
        <f>IF(B31=$B$4,"ATM","")</f>
        <v/>
      </c>
      <c r="B31">
        <v>77000</v>
      </c>
      <c r="C31">
        <f>IF(RawData!F903="","",RawData!F903)</f>
        <v>505</v>
      </c>
      <c r="D31">
        <f>IF(RawData!F904="","",RawData!F904)</f>
        <v>212.7</v>
      </c>
      <c r="E31">
        <f>IF(OR(C31="",D31=""),"",C31+D31)</f>
        <v>717.7</v>
      </c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t="str">
        <f>IF(B32=$B$4,"ATM","")</f>
        <v/>
      </c>
      <c r="B32">
        <v>77100</v>
      </c>
      <c r="C32">
        <f>IF(RawData!F905="","",RawData!F905)</f>
        <v>442.35</v>
      </c>
      <c r="D32">
        <f>IF(RawData!F906="","",RawData!F906)</f>
        <v>250.05</v>
      </c>
      <c r="E32">
        <f>IF(OR(C32="",D32=""),"",C32+D32)</f>
        <v>692.40000000000009</v>
      </c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t="str">
        <f>IF(B33=$B$4,"ATM","")</f>
        <v>ATM</v>
      </c>
      <c r="B33">
        <v>77200</v>
      </c>
      <c r="C33">
        <f>IF(RawData!F907="","",RawData!F907)</f>
        <v>386.85</v>
      </c>
      <c r="D33">
        <f>IF(RawData!F908="","",RawData!F908)</f>
        <v>293.05</v>
      </c>
      <c r="E33">
        <f>IF(OR(C33="",D33=""),"",C33+D33)</f>
        <v>679.90000000000009</v>
      </c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t="str">
        <f>IF(B34=$B$4,"ATM","")</f>
        <v/>
      </c>
      <c r="B34">
        <v>77300</v>
      </c>
      <c r="C34">
        <f>IF(RawData!F909="","",RawData!F909)</f>
        <v>336.05</v>
      </c>
      <c r="D34">
        <f>IF(RawData!F910="","",RawData!F910)</f>
        <v>343.4</v>
      </c>
      <c r="E34">
        <f>IF(OR(C34="",D34=""),"",C34+D34)</f>
        <v>679.45</v>
      </c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t="str">
        <f>IF(B35=$B$4,"ATM","")</f>
        <v/>
      </c>
      <c r="B35">
        <v>77400</v>
      </c>
      <c r="C35">
        <f>IF(RawData!F911="","",RawData!F911)</f>
        <v>289.25</v>
      </c>
      <c r="D35">
        <f>IF(RawData!F912="","",RawData!F912)</f>
        <v>395.8</v>
      </c>
      <c r="E35">
        <f>IF(OR(C35="",D35=""),"",C35+D35)</f>
        <v>685.05</v>
      </c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t="str">
        <f>IF(B36=$B$4,"ATM","")</f>
        <v/>
      </c>
      <c r="B36">
        <v>77500</v>
      </c>
      <c r="C36">
        <f>IF(RawData!F913="","",RawData!F913)</f>
        <v>247.5</v>
      </c>
      <c r="D36">
        <f>IF(RawData!F914="","",RawData!F914)</f>
        <v>454.55</v>
      </c>
      <c r="E36">
        <f>IF(OR(C36="",D36=""),"",C36+D36)</f>
        <v>702.05</v>
      </c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t="str">
        <f>IF(B37=$B$4,"ATM","")</f>
        <v/>
      </c>
      <c r="B37">
        <v>77600</v>
      </c>
      <c r="C37">
        <f>IF(RawData!F915="","",RawData!F915)</f>
        <v>211.15</v>
      </c>
      <c r="D37">
        <f>IF(RawData!F916="","",RawData!F916)</f>
        <v>516.70000000000005</v>
      </c>
      <c r="E37">
        <f>IF(OR(C37="",D37=""),"",C37+D37)</f>
        <v>727.85</v>
      </c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t="str">
        <f>IF(B38=$B$4,"ATM","")</f>
        <v/>
      </c>
      <c r="B38">
        <v>77700</v>
      </c>
      <c r="C38">
        <f>IF(RawData!F917="","",RawData!F917)</f>
        <v>180.35</v>
      </c>
      <c r="D38">
        <f>IF(RawData!F918="","",RawData!F918)</f>
        <v>588</v>
      </c>
      <c r="E38">
        <f>IF(OR(C38="",D38=""),"",C38+D38)</f>
        <v>768.35</v>
      </c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t="str">
        <f>IF(B39=$B$4,"ATM","")</f>
        <v/>
      </c>
      <c r="B39">
        <v>77800</v>
      </c>
      <c r="C39">
        <f>IF(RawData!F919="","",RawData!F919)</f>
        <v>152.5</v>
      </c>
      <c r="D39">
        <f>IF(RawData!F920="","",RawData!F920)</f>
        <v>660.7</v>
      </c>
      <c r="E39">
        <f>IF(OR(C39="",D39=""),"",C39+D39)</f>
        <v>813.2</v>
      </c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t="str">
        <f>IF(B40=$B$4,"ATM","")</f>
        <v/>
      </c>
      <c r="B40">
        <v>77900</v>
      </c>
      <c r="C40">
        <f>IF(RawData!F921="","",RawData!F921)</f>
        <v>129.35</v>
      </c>
      <c r="D40">
        <f>IF(RawData!F922="","",RawData!F922)</f>
        <v>732</v>
      </c>
      <c r="E40">
        <f>IF(OR(C40="",D40=""),"",C40+D40)</f>
        <v>861.35</v>
      </c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t="str">
        <f>IF(B41=$B$4,"ATM","")</f>
        <v/>
      </c>
      <c r="B41">
        <v>78000</v>
      </c>
      <c r="C41">
        <f>IF(RawData!F923="","",RawData!F923)</f>
        <v>109.5</v>
      </c>
      <c r="D41">
        <f>IF(RawData!F924="","",RawData!F924)</f>
        <v>814.85</v>
      </c>
      <c r="E41">
        <f>IF(OR(C41="",D41=""),"",C41+D41)</f>
        <v>924.35</v>
      </c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t="str">
        <f>IF(B42=$B$4,"ATM","")</f>
        <v/>
      </c>
      <c r="B42">
        <v>78100</v>
      </c>
      <c r="C42">
        <f>IF(RawData!F925="","",RawData!F925)</f>
        <v>90.25</v>
      </c>
      <c r="D42">
        <f>IF(RawData!F926="","",RawData!F926)</f>
        <v>890</v>
      </c>
      <c r="E42">
        <f>IF(OR(C42="",D42=""),"",C42+D42)</f>
        <v>980.25</v>
      </c>
    </row>
    <row r="43" spans="1:15" x14ac:dyDescent="0.25">
      <c r="A43" t="str">
        <f>IF(B43=$B$4,"ATM","")</f>
        <v/>
      </c>
      <c r="B43">
        <v>78200</v>
      </c>
      <c r="C43">
        <f>IF(RawData!F927="","",RawData!F927)</f>
        <v>74.75</v>
      </c>
      <c r="D43">
        <f>IF(RawData!F928="","",RawData!F928)</f>
        <v>965.65</v>
      </c>
      <c r="E43">
        <f>IF(OR(C43="",D43=""),"",C43+D43)</f>
        <v>1040.4000000000001</v>
      </c>
    </row>
    <row r="44" spans="1:15" x14ac:dyDescent="0.25">
      <c r="A44" t="str">
        <f>IF(B44=$B$4,"ATM","")</f>
        <v/>
      </c>
      <c r="B44">
        <v>78300</v>
      </c>
      <c r="C44">
        <f>IF(RawData!F929="","",RawData!F929)</f>
        <v>61.95</v>
      </c>
      <c r="D44">
        <f>IF(RawData!F930="","",RawData!F930)</f>
        <v>1059.55</v>
      </c>
      <c r="E44">
        <f>IF(OR(C44="",D44=""),"",C44+D44)</f>
        <v>1121.5</v>
      </c>
    </row>
    <row r="45" spans="1:15" x14ac:dyDescent="0.25">
      <c r="A45" t="str">
        <f>IF(B45=$B$4,"ATM","")</f>
        <v/>
      </c>
      <c r="B45">
        <v>78400</v>
      </c>
      <c r="C45">
        <f>IF(RawData!F931="","",RawData!F931)</f>
        <v>51</v>
      </c>
      <c r="D45">
        <f>IF(RawData!F932="","",RawData!F932)</f>
        <v>1144.8</v>
      </c>
      <c r="E45">
        <f>IF(OR(C45="",D45=""),"",C45+D45)</f>
        <v>1195.8</v>
      </c>
    </row>
    <row r="46" spans="1:15" x14ac:dyDescent="0.25">
      <c r="A46" t="str">
        <f>IF(B46=$B$4,"ATM","")</f>
        <v/>
      </c>
      <c r="B46">
        <v>78500</v>
      </c>
      <c r="C46">
        <f>IF(RawData!F933="","",RawData!F933)</f>
        <v>42.15</v>
      </c>
      <c r="D46">
        <f>IF(RawData!F934="","",RawData!F934)</f>
        <v>1241.8499999999999</v>
      </c>
      <c r="E46">
        <f>IF(OR(C46="",D46=""),"",C46+D46)</f>
        <v>1284</v>
      </c>
    </row>
    <row r="47" spans="1:15" x14ac:dyDescent="0.25">
      <c r="A47" t="str">
        <f>IF(B47=$B$4,"ATM","")</f>
        <v/>
      </c>
      <c r="B47">
        <v>78600</v>
      </c>
      <c r="C47">
        <f>IF(RawData!F935="","",RawData!F935)</f>
        <v>34.65</v>
      </c>
      <c r="D47">
        <f>IF(RawData!F936="","",RawData!F936)</f>
        <v>1321.25</v>
      </c>
      <c r="E47">
        <f>IF(OR(C47="",D47=""),"",C47+D47)</f>
        <v>1355.9</v>
      </c>
    </row>
    <row r="48" spans="1:15" x14ac:dyDescent="0.25">
      <c r="A48" t="str">
        <f>IF(B48=$B$4,"ATM","")</f>
        <v/>
      </c>
      <c r="B48">
        <v>78700</v>
      </c>
      <c r="C48">
        <f>IF(RawData!F937="","",RawData!F937)</f>
        <v>28.3</v>
      </c>
      <c r="D48">
        <f>IF(RawData!F938="","",RawData!F938)</f>
        <v>1414.15</v>
      </c>
      <c r="E48">
        <f>IF(OR(C48="",D48=""),"",C48+D48)</f>
        <v>1442.45</v>
      </c>
    </row>
    <row r="49" spans="1:5" x14ac:dyDescent="0.25">
      <c r="A49" t="str">
        <f>IF(B49=$B$4,"ATM","")</f>
        <v/>
      </c>
      <c r="B49">
        <v>78800</v>
      </c>
      <c r="C49">
        <f>IF(RawData!F939="","",RawData!F939)</f>
        <v>23.45</v>
      </c>
      <c r="D49">
        <f>IF(RawData!F940="","",RawData!F940)</f>
        <v>1548.05</v>
      </c>
      <c r="E49">
        <f>IF(OR(C49="",D49=""),"",C49+D49)</f>
        <v>1571.5</v>
      </c>
    </row>
    <row r="50" spans="1:5" x14ac:dyDescent="0.25">
      <c r="A50" t="str">
        <f>IF(B50=$B$4,"ATM","")</f>
        <v/>
      </c>
      <c r="B50">
        <v>78900</v>
      </c>
      <c r="C50">
        <f>IF(RawData!F941="","",RawData!F941)</f>
        <v>19.850000000000001</v>
      </c>
      <c r="D50">
        <f>IF(RawData!F942="","",RawData!F942)</f>
        <v>1507.85</v>
      </c>
      <c r="E50">
        <f>IF(OR(C50="",D50=""),"",C50+D50)</f>
        <v>1527.6999999999998</v>
      </c>
    </row>
    <row r="51" spans="1:5" x14ac:dyDescent="0.25">
      <c r="A51" t="str">
        <f>IF(B51=$B$4,"ATM","")</f>
        <v/>
      </c>
      <c r="B51">
        <v>79000</v>
      </c>
      <c r="C51">
        <f>IF(RawData!F943="","",RawData!F943)</f>
        <v>16.75</v>
      </c>
      <c r="D51">
        <f>IF(RawData!F944="","",RawData!F944)</f>
        <v>1707.05</v>
      </c>
      <c r="E51">
        <f>IF(OR(C51="",D51=""),"",C51+D51)</f>
        <v>1723.8</v>
      </c>
    </row>
    <row r="52" spans="1:5" x14ac:dyDescent="0.25">
      <c r="A52" t="str">
        <f>IF(B52=$B$4,"ATM","")</f>
        <v/>
      </c>
      <c r="B52">
        <v>79100</v>
      </c>
      <c r="C52">
        <f>IF(RawData!F945="","",RawData!F945)</f>
        <v>14.45</v>
      </c>
      <c r="D52">
        <f>IF(RawData!F946="","",RawData!F946)</f>
        <v>1700.95</v>
      </c>
      <c r="E52">
        <f>IF(OR(C52="",D52=""),"",C52+D52)</f>
        <v>1715.4</v>
      </c>
    </row>
    <row r="53" spans="1:5" x14ac:dyDescent="0.25">
      <c r="A53" t="str">
        <f>IF(B53=$B$4,"ATM","")</f>
        <v/>
      </c>
      <c r="B53">
        <v>79200</v>
      </c>
      <c r="C53">
        <f>IF(RawData!F947="","",RawData!F947)</f>
        <v>12.55</v>
      </c>
      <c r="D53">
        <f>IF(RawData!F948="","",RawData!F948)</f>
        <v>1824.65</v>
      </c>
      <c r="E53">
        <f>IF(OR(C53="",D53=""),"",C53+D53)</f>
        <v>1837.2</v>
      </c>
    </row>
    <row r="54" spans="1:5" x14ac:dyDescent="0.25">
      <c r="A54" t="str">
        <f>IF(B54=$B$4,"ATM","")</f>
        <v/>
      </c>
      <c r="B54">
        <v>79300</v>
      </c>
      <c r="C54">
        <f>IF(RawData!F949="","",RawData!F949)</f>
        <v>10.75</v>
      </c>
      <c r="D54">
        <f>IF(RawData!F950="","",RawData!F950)</f>
        <v>1915.35</v>
      </c>
      <c r="E54">
        <f>IF(OR(C54="",D54=""),"",C54+D54)</f>
        <v>1926.1</v>
      </c>
    </row>
    <row r="55" spans="1:5" x14ac:dyDescent="0.25">
      <c r="A55" t="str">
        <f>IF(B55=$B$4,"ATM","")</f>
        <v/>
      </c>
      <c r="B55">
        <v>79400</v>
      </c>
      <c r="C55">
        <f>IF(RawData!F951="","",RawData!F951)</f>
        <v>9.3000000000000007</v>
      </c>
      <c r="D55">
        <f>IF(RawData!F952="","",RawData!F952)</f>
        <v>2371.9</v>
      </c>
      <c r="E55">
        <f>IF(OR(C55="",D55=""),"",C55+D55)</f>
        <v>2381.2000000000003</v>
      </c>
    </row>
    <row r="56" spans="1:5" x14ac:dyDescent="0.25">
      <c r="A56" t="str">
        <f>IF(B56=$B$4,"ATM","")</f>
        <v/>
      </c>
      <c r="B56">
        <v>79500</v>
      </c>
      <c r="C56">
        <f>IF(RawData!F953="","",RawData!F953)</f>
        <v>7.95</v>
      </c>
      <c r="D56">
        <f>IF(RawData!F954="","",RawData!F954)</f>
        <v>2225</v>
      </c>
      <c r="E56">
        <f>IF(OR(C56="",D56=""),"",C56+D56)</f>
        <v>2232.9499999999998</v>
      </c>
    </row>
    <row r="57" spans="1:5" x14ac:dyDescent="0.25">
      <c r="A57" t="str">
        <f>IF(B57=$B$4,"ATM","")</f>
        <v/>
      </c>
      <c r="B57">
        <v>79600</v>
      </c>
      <c r="C57">
        <f>IF(RawData!F955="","",RawData!F955)</f>
        <v>7.15</v>
      </c>
      <c r="D57">
        <f>IF(RawData!F956="","",RawData!F956)</f>
        <v>2251.5</v>
      </c>
      <c r="E57">
        <f>IF(OR(C57="",D57=""),"",C57+D57)</f>
        <v>2258.65</v>
      </c>
    </row>
    <row r="58" spans="1:5" x14ac:dyDescent="0.25">
      <c r="A58" t="str">
        <f>IF(B58=$B$4,"ATM","")</f>
        <v/>
      </c>
      <c r="B58">
        <v>79700</v>
      </c>
      <c r="C58">
        <f>IF(RawData!F957="","",RawData!F957)</f>
        <v>6.35</v>
      </c>
      <c r="D58" t="str">
        <f>IF(RawData!F958="","",RawData!F958)</f>
        <v/>
      </c>
      <c r="E58" t="str">
        <f>IF(OR(C58="",D58=""),"",C58+D58)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14"/>
  <sheetViews>
    <sheetView showGridLines="0" tabSelected="1" workbookViewId="0">
      <pane ySplit="1" topLeftCell="A695" activePane="bottomLeft" state="frozen"/>
      <selection pane="bottomLeft" activeCell="E659" sqref="E659"/>
    </sheetView>
  </sheetViews>
  <sheetFormatPr defaultRowHeight="15" x14ac:dyDescent="0.25"/>
  <cols>
    <col min="1" max="2" width="14" customWidth="1"/>
    <col min="3" max="3" width="22" customWidth="1"/>
    <col min="4" max="5" width="12" customWidth="1"/>
    <col min="6" max="15" width="14" customWidth="1"/>
    <col min="16" max="16" width="22" customWidth="1"/>
  </cols>
  <sheetData>
    <row r="1" spans="1:16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t="s">
        <v>7</v>
      </c>
      <c r="B2" s="4">
        <v>46154</v>
      </c>
      <c r="C2" t="s">
        <v>25</v>
      </c>
      <c r="F2">
        <v>24104.65</v>
      </c>
      <c r="K2">
        <v>24171</v>
      </c>
      <c r="L2">
        <v>24250.85</v>
      </c>
      <c r="M2">
        <v>24091.15</v>
      </c>
      <c r="N2">
        <v>24032.799999999999</v>
      </c>
    </row>
    <row r="3" spans="1:16" x14ac:dyDescent="0.25">
      <c r="A3" t="s">
        <v>7</v>
      </c>
      <c r="B3" s="4">
        <v>46154</v>
      </c>
      <c r="C3" t="s">
        <v>471</v>
      </c>
      <c r="D3">
        <v>21200</v>
      </c>
      <c r="E3" t="s">
        <v>26</v>
      </c>
      <c r="F3">
        <v>2069.9499999999998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2069.9499999999998</v>
      </c>
      <c r="O3">
        <v>2880</v>
      </c>
      <c r="P3" s="9">
        <v>25569.229166666668</v>
      </c>
    </row>
    <row r="4" spans="1:16" x14ac:dyDescent="0.25">
      <c r="A4" t="s">
        <v>7</v>
      </c>
      <c r="B4" s="4">
        <v>46154</v>
      </c>
      <c r="C4" t="s">
        <v>472</v>
      </c>
      <c r="D4">
        <v>21200</v>
      </c>
      <c r="E4" t="s">
        <v>27</v>
      </c>
      <c r="F4">
        <v>1.05</v>
      </c>
      <c r="G4">
        <v>3173430</v>
      </c>
      <c r="H4">
        <v>3797560</v>
      </c>
      <c r="I4">
        <v>3813810</v>
      </c>
      <c r="J4">
        <v>3384680</v>
      </c>
      <c r="K4">
        <v>1.5</v>
      </c>
      <c r="L4">
        <v>1.6</v>
      </c>
      <c r="M4">
        <v>0.95</v>
      </c>
      <c r="N4">
        <v>1.5</v>
      </c>
      <c r="O4">
        <v>1</v>
      </c>
      <c r="P4" s="9">
        <v>46148.454988425925</v>
      </c>
    </row>
    <row r="5" spans="1:16" x14ac:dyDescent="0.25">
      <c r="A5" t="s">
        <v>7</v>
      </c>
      <c r="B5" s="4">
        <v>46154</v>
      </c>
      <c r="C5" t="s">
        <v>473</v>
      </c>
      <c r="D5">
        <v>21250</v>
      </c>
      <c r="E5" t="s">
        <v>26</v>
      </c>
      <c r="F5">
        <v>2022.35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2022.35</v>
      </c>
      <c r="O5">
        <v>2683.95</v>
      </c>
      <c r="P5" s="9">
        <v>25569.229166666668</v>
      </c>
    </row>
    <row r="6" spans="1:16" x14ac:dyDescent="0.25">
      <c r="A6" t="s">
        <v>7</v>
      </c>
      <c r="B6" s="4">
        <v>46154</v>
      </c>
      <c r="C6" t="s">
        <v>474</v>
      </c>
      <c r="D6">
        <v>21250</v>
      </c>
      <c r="E6" t="s">
        <v>27</v>
      </c>
      <c r="F6">
        <v>1.05</v>
      </c>
      <c r="G6">
        <v>250120</v>
      </c>
      <c r="H6">
        <v>127855</v>
      </c>
      <c r="I6">
        <v>127855</v>
      </c>
      <c r="J6">
        <v>19240</v>
      </c>
      <c r="K6">
        <v>1.65</v>
      </c>
      <c r="L6">
        <v>1.65</v>
      </c>
      <c r="M6">
        <v>1.05</v>
      </c>
      <c r="N6">
        <v>1.65</v>
      </c>
      <c r="O6">
        <v>1</v>
      </c>
      <c r="P6" s="9">
        <v>46148.455046296294</v>
      </c>
    </row>
    <row r="7" spans="1:16" x14ac:dyDescent="0.25">
      <c r="A7" t="s">
        <v>7</v>
      </c>
      <c r="B7" s="4">
        <v>46154</v>
      </c>
      <c r="C7" t="s">
        <v>475</v>
      </c>
      <c r="D7">
        <v>21300</v>
      </c>
      <c r="E7" t="s">
        <v>26</v>
      </c>
      <c r="F7">
        <v>1974.9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1974.9</v>
      </c>
      <c r="O7">
        <v>2653.85</v>
      </c>
      <c r="P7" s="9">
        <v>25569.229166666668</v>
      </c>
    </row>
    <row r="8" spans="1:16" x14ac:dyDescent="0.25">
      <c r="A8" t="s">
        <v>7</v>
      </c>
      <c r="B8" s="4">
        <v>46154</v>
      </c>
      <c r="C8" t="s">
        <v>476</v>
      </c>
      <c r="D8">
        <v>21300</v>
      </c>
      <c r="E8" t="s">
        <v>27</v>
      </c>
      <c r="F8">
        <v>1.2</v>
      </c>
      <c r="G8">
        <v>287495</v>
      </c>
      <c r="H8">
        <v>444405</v>
      </c>
      <c r="I8">
        <v>444405</v>
      </c>
      <c r="J8">
        <v>396045</v>
      </c>
      <c r="K8">
        <v>1.55</v>
      </c>
      <c r="L8">
        <v>1.6</v>
      </c>
      <c r="M8">
        <v>1.1499999999999999</v>
      </c>
      <c r="N8">
        <v>1.65</v>
      </c>
      <c r="O8">
        <v>1.1499999999999999</v>
      </c>
      <c r="P8" s="9">
        <v>46148.453773148147</v>
      </c>
    </row>
    <row r="9" spans="1:16" x14ac:dyDescent="0.25">
      <c r="A9" t="s">
        <v>7</v>
      </c>
      <c r="B9" s="4">
        <v>46154</v>
      </c>
      <c r="C9" t="s">
        <v>477</v>
      </c>
      <c r="D9">
        <v>21350</v>
      </c>
      <c r="E9" t="s">
        <v>26</v>
      </c>
      <c r="F9">
        <v>1927.7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1927.7</v>
      </c>
      <c r="O9">
        <v>2590.65</v>
      </c>
      <c r="P9" s="9">
        <v>25569.229166666668</v>
      </c>
    </row>
    <row r="10" spans="1:16" x14ac:dyDescent="0.25">
      <c r="A10" t="s">
        <v>7</v>
      </c>
      <c r="B10" s="4">
        <v>46154</v>
      </c>
      <c r="C10" t="s">
        <v>478</v>
      </c>
      <c r="D10">
        <v>21350</v>
      </c>
      <c r="E10" t="s">
        <v>27</v>
      </c>
      <c r="F10">
        <v>1.1499999999999999</v>
      </c>
      <c r="G10">
        <v>72930</v>
      </c>
      <c r="H10">
        <v>32890</v>
      </c>
      <c r="I10">
        <v>39910</v>
      </c>
      <c r="J10">
        <v>8125</v>
      </c>
      <c r="K10">
        <v>1.85</v>
      </c>
      <c r="L10">
        <v>1.85</v>
      </c>
      <c r="M10">
        <v>1.1499999999999999</v>
      </c>
      <c r="N10">
        <v>1.7</v>
      </c>
      <c r="O10">
        <v>1.1499999999999999</v>
      </c>
      <c r="P10" s="9">
        <v>46148.455011574071</v>
      </c>
    </row>
    <row r="11" spans="1:16" x14ac:dyDescent="0.25">
      <c r="A11" t="s">
        <v>7</v>
      </c>
      <c r="B11" s="4">
        <v>46154</v>
      </c>
      <c r="C11" t="s">
        <v>479</v>
      </c>
      <c r="D11">
        <v>21400</v>
      </c>
      <c r="E11" t="s">
        <v>26</v>
      </c>
      <c r="F11">
        <v>2653.25</v>
      </c>
      <c r="G11">
        <v>0</v>
      </c>
      <c r="H11">
        <v>65</v>
      </c>
      <c r="I11">
        <v>65</v>
      </c>
      <c r="J11">
        <v>65</v>
      </c>
      <c r="K11">
        <v>0</v>
      </c>
      <c r="L11">
        <v>0</v>
      </c>
      <c r="M11">
        <v>0</v>
      </c>
      <c r="N11">
        <v>2653.25</v>
      </c>
      <c r="O11">
        <v>2547.1999999999998</v>
      </c>
      <c r="P11" s="9">
        <v>46147.639386574076</v>
      </c>
    </row>
    <row r="12" spans="1:16" x14ac:dyDescent="0.25">
      <c r="A12" t="s">
        <v>7</v>
      </c>
      <c r="B12" s="4">
        <v>46154</v>
      </c>
      <c r="C12" t="s">
        <v>480</v>
      </c>
      <c r="D12">
        <v>21400</v>
      </c>
      <c r="E12" t="s">
        <v>27</v>
      </c>
      <c r="F12">
        <v>1.25</v>
      </c>
      <c r="G12">
        <v>231270</v>
      </c>
      <c r="H12">
        <v>64610</v>
      </c>
      <c r="I12">
        <v>75140</v>
      </c>
      <c r="J12">
        <v>30745</v>
      </c>
      <c r="K12">
        <v>1.6</v>
      </c>
      <c r="L12">
        <v>1.85</v>
      </c>
      <c r="M12">
        <v>1.1499999999999999</v>
      </c>
      <c r="N12">
        <v>1.75</v>
      </c>
      <c r="O12">
        <v>1.25</v>
      </c>
      <c r="P12" s="9">
        <v>46148.454988425925</v>
      </c>
    </row>
    <row r="13" spans="1:16" x14ac:dyDescent="0.25">
      <c r="A13" t="s">
        <v>7</v>
      </c>
      <c r="B13" s="4">
        <v>46154</v>
      </c>
      <c r="C13" t="s">
        <v>481</v>
      </c>
      <c r="D13">
        <v>21450</v>
      </c>
      <c r="E13" t="s">
        <v>26</v>
      </c>
      <c r="F13">
        <v>1834.05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1834.05</v>
      </c>
      <c r="O13">
        <v>2511.1999999999998</v>
      </c>
      <c r="P13" s="9">
        <v>25569.229166666668</v>
      </c>
    </row>
    <row r="14" spans="1:16" x14ac:dyDescent="0.25">
      <c r="A14" t="s">
        <v>7</v>
      </c>
      <c r="B14" s="4">
        <v>46154</v>
      </c>
      <c r="C14" t="s">
        <v>482</v>
      </c>
      <c r="D14">
        <v>21450</v>
      </c>
      <c r="E14" t="s">
        <v>27</v>
      </c>
      <c r="F14">
        <v>1.25</v>
      </c>
      <c r="G14">
        <v>213200</v>
      </c>
      <c r="H14">
        <v>58955</v>
      </c>
      <c r="I14">
        <v>77350</v>
      </c>
      <c r="J14">
        <v>12155</v>
      </c>
      <c r="K14">
        <v>2.2999999999999998</v>
      </c>
      <c r="L14">
        <v>2.35</v>
      </c>
      <c r="M14">
        <v>1.25</v>
      </c>
      <c r="N14">
        <v>1.8</v>
      </c>
      <c r="O14">
        <v>1.25</v>
      </c>
      <c r="P14" s="9">
        <v>46148.455023148148</v>
      </c>
    </row>
    <row r="15" spans="1:16" x14ac:dyDescent="0.25">
      <c r="A15" t="s">
        <v>7</v>
      </c>
      <c r="B15" s="4">
        <v>46154</v>
      </c>
      <c r="C15" t="s">
        <v>483</v>
      </c>
      <c r="D15">
        <v>21500</v>
      </c>
      <c r="E15" t="s">
        <v>26</v>
      </c>
      <c r="F15">
        <v>2552</v>
      </c>
      <c r="G15">
        <v>0</v>
      </c>
      <c r="H15">
        <v>780</v>
      </c>
      <c r="I15">
        <v>780</v>
      </c>
      <c r="J15">
        <v>780</v>
      </c>
      <c r="K15">
        <v>0</v>
      </c>
      <c r="L15">
        <v>0</v>
      </c>
      <c r="M15">
        <v>0</v>
      </c>
      <c r="N15">
        <v>2552</v>
      </c>
      <c r="O15">
        <v>2581.4</v>
      </c>
      <c r="P15" s="9">
        <v>46147.562858796293</v>
      </c>
    </row>
    <row r="16" spans="1:16" x14ac:dyDescent="0.25">
      <c r="A16" t="s">
        <v>7</v>
      </c>
      <c r="B16" s="4">
        <v>46154</v>
      </c>
      <c r="C16" t="s">
        <v>484</v>
      </c>
      <c r="D16">
        <v>21500</v>
      </c>
      <c r="E16" t="s">
        <v>27</v>
      </c>
      <c r="F16">
        <v>1.4</v>
      </c>
      <c r="G16">
        <v>2218580</v>
      </c>
      <c r="H16">
        <v>3796910</v>
      </c>
      <c r="I16">
        <v>3809455</v>
      </c>
      <c r="J16">
        <v>3636230</v>
      </c>
      <c r="K16">
        <v>1.6</v>
      </c>
      <c r="L16">
        <v>1.75</v>
      </c>
      <c r="M16">
        <v>1.3</v>
      </c>
      <c r="N16">
        <v>1.85</v>
      </c>
      <c r="O16">
        <v>1.35</v>
      </c>
      <c r="P16" s="9">
        <v>46148.455208333333</v>
      </c>
    </row>
    <row r="17" spans="1:16" x14ac:dyDescent="0.25">
      <c r="A17" t="s">
        <v>7</v>
      </c>
      <c r="B17" s="4">
        <v>46154</v>
      </c>
      <c r="C17" t="s">
        <v>485</v>
      </c>
      <c r="D17">
        <v>21550</v>
      </c>
      <c r="E17" t="s">
        <v>26</v>
      </c>
      <c r="F17">
        <v>1741.5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1741.5</v>
      </c>
      <c r="O17">
        <v>2352.9499999999998</v>
      </c>
      <c r="P17" s="9">
        <v>25569.229166666668</v>
      </c>
    </row>
    <row r="18" spans="1:16" x14ac:dyDescent="0.25">
      <c r="A18" t="s">
        <v>7</v>
      </c>
      <c r="B18" s="4">
        <v>46154</v>
      </c>
      <c r="C18" t="s">
        <v>486</v>
      </c>
      <c r="D18">
        <v>21550</v>
      </c>
      <c r="E18" t="s">
        <v>27</v>
      </c>
      <c r="F18">
        <v>1.3</v>
      </c>
      <c r="G18">
        <v>74685</v>
      </c>
      <c r="H18">
        <v>32435</v>
      </c>
      <c r="I18">
        <v>32890</v>
      </c>
      <c r="J18">
        <v>7735</v>
      </c>
      <c r="K18">
        <v>2</v>
      </c>
      <c r="L18">
        <v>2</v>
      </c>
      <c r="M18">
        <v>1.3</v>
      </c>
      <c r="N18">
        <v>1.9</v>
      </c>
      <c r="O18">
        <v>1.3</v>
      </c>
      <c r="P18" s="9">
        <v>46148.455023148148</v>
      </c>
    </row>
    <row r="19" spans="1:16" x14ac:dyDescent="0.25">
      <c r="A19" t="s">
        <v>7</v>
      </c>
      <c r="B19" s="4">
        <v>46154</v>
      </c>
      <c r="C19" t="s">
        <v>487</v>
      </c>
      <c r="D19">
        <v>21600</v>
      </c>
      <c r="E19" t="s">
        <v>26</v>
      </c>
      <c r="F19">
        <v>2386.1999999999998</v>
      </c>
      <c r="G19">
        <v>0</v>
      </c>
      <c r="H19">
        <v>65</v>
      </c>
      <c r="I19">
        <v>65</v>
      </c>
      <c r="J19">
        <v>65</v>
      </c>
      <c r="K19">
        <v>0</v>
      </c>
      <c r="L19">
        <v>0</v>
      </c>
      <c r="M19">
        <v>0</v>
      </c>
      <c r="N19">
        <v>2386.1999999999998</v>
      </c>
      <c r="O19">
        <v>2342.35</v>
      </c>
      <c r="P19" s="9">
        <v>46147.432453703703</v>
      </c>
    </row>
    <row r="20" spans="1:16" x14ac:dyDescent="0.25">
      <c r="A20" t="s">
        <v>7</v>
      </c>
      <c r="B20" s="4">
        <v>46154</v>
      </c>
      <c r="C20" t="s">
        <v>488</v>
      </c>
      <c r="D20">
        <v>21600</v>
      </c>
      <c r="E20" t="s">
        <v>27</v>
      </c>
      <c r="F20">
        <v>1.35</v>
      </c>
      <c r="G20">
        <v>304200</v>
      </c>
      <c r="H20">
        <v>212810</v>
      </c>
      <c r="I20">
        <v>212810</v>
      </c>
      <c r="J20">
        <v>176540</v>
      </c>
      <c r="K20">
        <v>1.7</v>
      </c>
      <c r="L20">
        <v>1.8</v>
      </c>
      <c r="M20">
        <v>1.3</v>
      </c>
      <c r="N20">
        <v>1.95</v>
      </c>
      <c r="O20">
        <v>1.35</v>
      </c>
      <c r="P20" s="9">
        <v>46148.454421296294</v>
      </c>
    </row>
    <row r="21" spans="1:16" x14ac:dyDescent="0.25">
      <c r="A21" t="s">
        <v>7</v>
      </c>
      <c r="B21" s="4">
        <v>46154</v>
      </c>
      <c r="C21" t="s">
        <v>489</v>
      </c>
      <c r="D21">
        <v>21650</v>
      </c>
      <c r="E21" t="s">
        <v>26</v>
      </c>
      <c r="F21">
        <v>1650.15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1650.15</v>
      </c>
      <c r="O21">
        <v>2312.5500000000002</v>
      </c>
      <c r="P21" s="9">
        <v>25569.229166666668</v>
      </c>
    </row>
    <row r="22" spans="1:16" x14ac:dyDescent="0.25">
      <c r="A22" t="s">
        <v>7</v>
      </c>
      <c r="B22" s="4">
        <v>46154</v>
      </c>
      <c r="C22" t="s">
        <v>490</v>
      </c>
      <c r="D22">
        <v>21650</v>
      </c>
      <c r="E22" t="s">
        <v>27</v>
      </c>
      <c r="F22">
        <v>1.45</v>
      </c>
      <c r="G22">
        <v>55120</v>
      </c>
      <c r="H22">
        <v>19045</v>
      </c>
      <c r="I22">
        <v>20670</v>
      </c>
      <c r="J22">
        <v>6045</v>
      </c>
      <c r="K22">
        <v>1.75</v>
      </c>
      <c r="L22">
        <v>2</v>
      </c>
      <c r="M22">
        <v>1.35</v>
      </c>
      <c r="N22">
        <v>1.95</v>
      </c>
      <c r="O22">
        <v>1.35</v>
      </c>
      <c r="P22" s="9">
        <v>46148.455000000002</v>
      </c>
    </row>
    <row r="23" spans="1:16" x14ac:dyDescent="0.25">
      <c r="A23" t="s">
        <v>7</v>
      </c>
      <c r="B23" s="4">
        <v>46154</v>
      </c>
      <c r="C23" t="s">
        <v>491</v>
      </c>
      <c r="D23">
        <v>21700</v>
      </c>
      <c r="E23" t="s">
        <v>26</v>
      </c>
      <c r="F23">
        <v>1605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1605</v>
      </c>
      <c r="O23">
        <v>2264.25</v>
      </c>
      <c r="P23" s="9">
        <v>25569.229166666668</v>
      </c>
    </row>
    <row r="24" spans="1:16" x14ac:dyDescent="0.25">
      <c r="A24" t="s">
        <v>7</v>
      </c>
      <c r="B24" s="4">
        <v>46154</v>
      </c>
      <c r="C24" t="s">
        <v>492</v>
      </c>
      <c r="D24">
        <v>21700</v>
      </c>
      <c r="E24" t="s">
        <v>27</v>
      </c>
      <c r="F24">
        <v>1.45</v>
      </c>
      <c r="G24">
        <v>522990</v>
      </c>
      <c r="H24">
        <v>137800</v>
      </c>
      <c r="I24">
        <v>142610</v>
      </c>
      <c r="J24">
        <v>80080</v>
      </c>
      <c r="K24">
        <v>2.2999999999999998</v>
      </c>
      <c r="L24">
        <v>2.4</v>
      </c>
      <c r="M24">
        <v>1.4</v>
      </c>
      <c r="N24">
        <v>2</v>
      </c>
      <c r="O24">
        <v>1.45</v>
      </c>
      <c r="P24" s="9">
        <v>46148.454421296294</v>
      </c>
    </row>
    <row r="25" spans="1:16" x14ac:dyDescent="0.25">
      <c r="A25" t="s">
        <v>7</v>
      </c>
      <c r="B25" s="4">
        <v>46154</v>
      </c>
      <c r="C25" t="s">
        <v>493</v>
      </c>
      <c r="D25">
        <v>21750</v>
      </c>
      <c r="E25" t="s">
        <v>26</v>
      </c>
      <c r="F25">
        <v>2278.1999999999998</v>
      </c>
      <c r="G25">
        <v>0</v>
      </c>
      <c r="H25">
        <v>65</v>
      </c>
      <c r="I25">
        <v>65</v>
      </c>
      <c r="J25">
        <v>65</v>
      </c>
      <c r="K25">
        <v>0</v>
      </c>
      <c r="L25">
        <v>0</v>
      </c>
      <c r="M25">
        <v>0</v>
      </c>
      <c r="N25">
        <v>2278.1999999999998</v>
      </c>
      <c r="O25">
        <v>2345.3000000000002</v>
      </c>
      <c r="P25" s="9">
        <v>46147.392465277779</v>
      </c>
    </row>
    <row r="26" spans="1:16" x14ac:dyDescent="0.25">
      <c r="A26" t="s">
        <v>7</v>
      </c>
      <c r="B26" s="4">
        <v>46154</v>
      </c>
      <c r="C26" t="s">
        <v>494</v>
      </c>
      <c r="D26">
        <v>21750</v>
      </c>
      <c r="E26" t="s">
        <v>27</v>
      </c>
      <c r="F26">
        <v>1.55</v>
      </c>
      <c r="G26">
        <v>92820</v>
      </c>
      <c r="H26">
        <v>46345</v>
      </c>
      <c r="I26">
        <v>46345</v>
      </c>
      <c r="J26">
        <v>17485</v>
      </c>
      <c r="K26">
        <v>2</v>
      </c>
      <c r="L26">
        <v>2</v>
      </c>
      <c r="M26">
        <v>1.4</v>
      </c>
      <c r="N26">
        <v>2.0499999999999998</v>
      </c>
      <c r="O26">
        <v>1.45</v>
      </c>
      <c r="P26" s="9">
        <v>46148.451550925929</v>
      </c>
    </row>
    <row r="27" spans="1:16" x14ac:dyDescent="0.25">
      <c r="A27" t="s">
        <v>7</v>
      </c>
      <c r="B27" s="4">
        <v>46154</v>
      </c>
      <c r="C27" t="s">
        <v>495</v>
      </c>
      <c r="D27">
        <v>21800</v>
      </c>
      <c r="E27" t="s">
        <v>26</v>
      </c>
      <c r="F27">
        <v>2216.15</v>
      </c>
      <c r="G27">
        <v>0</v>
      </c>
      <c r="H27">
        <v>65</v>
      </c>
      <c r="I27">
        <v>65</v>
      </c>
      <c r="J27">
        <v>65</v>
      </c>
      <c r="K27">
        <v>0</v>
      </c>
      <c r="L27">
        <v>0</v>
      </c>
      <c r="M27">
        <v>0</v>
      </c>
      <c r="N27">
        <v>2216.15</v>
      </c>
      <c r="O27">
        <v>2158.3000000000002</v>
      </c>
      <c r="P27" s="9">
        <v>46147.393321759257</v>
      </c>
    </row>
    <row r="28" spans="1:16" x14ac:dyDescent="0.25">
      <c r="A28" t="s">
        <v>7</v>
      </c>
      <c r="B28" s="4">
        <v>46154</v>
      </c>
      <c r="C28" t="s">
        <v>496</v>
      </c>
      <c r="D28">
        <v>21800</v>
      </c>
      <c r="E28" t="s">
        <v>27</v>
      </c>
      <c r="F28">
        <v>1.55</v>
      </c>
      <c r="G28">
        <v>1482845</v>
      </c>
      <c r="H28">
        <v>552110</v>
      </c>
      <c r="I28">
        <v>559195</v>
      </c>
      <c r="J28">
        <v>530400</v>
      </c>
      <c r="K28">
        <v>2</v>
      </c>
      <c r="L28">
        <v>2</v>
      </c>
      <c r="M28">
        <v>1.5</v>
      </c>
      <c r="N28">
        <v>2.1</v>
      </c>
      <c r="O28">
        <v>1.55</v>
      </c>
      <c r="P28" s="9">
        <v>46148.454398148147</v>
      </c>
    </row>
    <row r="29" spans="1:16" x14ac:dyDescent="0.25">
      <c r="A29" t="s">
        <v>7</v>
      </c>
      <c r="B29" s="4">
        <v>46154</v>
      </c>
      <c r="C29" t="s">
        <v>497</v>
      </c>
      <c r="D29">
        <v>21850</v>
      </c>
      <c r="E29" t="s">
        <v>26</v>
      </c>
      <c r="F29">
        <v>1471.9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1471.9</v>
      </c>
      <c r="O29">
        <v>2142</v>
      </c>
      <c r="P29" s="9">
        <v>25569.229166666668</v>
      </c>
    </row>
    <row r="30" spans="1:16" x14ac:dyDescent="0.25">
      <c r="A30" t="s">
        <v>7</v>
      </c>
      <c r="B30" s="4">
        <v>46154</v>
      </c>
      <c r="C30" t="s">
        <v>498</v>
      </c>
      <c r="D30">
        <v>21850</v>
      </c>
      <c r="E30" t="s">
        <v>27</v>
      </c>
      <c r="F30">
        <v>1.6</v>
      </c>
      <c r="G30">
        <v>82615</v>
      </c>
      <c r="H30">
        <v>36205</v>
      </c>
      <c r="I30">
        <v>44655</v>
      </c>
      <c r="J30">
        <v>31720</v>
      </c>
      <c r="K30">
        <v>2.25</v>
      </c>
      <c r="L30">
        <v>2.25</v>
      </c>
      <c r="M30">
        <v>1.45</v>
      </c>
      <c r="N30">
        <v>2.0499999999999998</v>
      </c>
      <c r="O30">
        <v>1.55</v>
      </c>
      <c r="P30" s="9">
        <v>46148.450706018521</v>
      </c>
    </row>
    <row r="31" spans="1:16" x14ac:dyDescent="0.25">
      <c r="A31" t="s">
        <v>7</v>
      </c>
      <c r="B31" s="4">
        <v>46154</v>
      </c>
      <c r="C31" t="s">
        <v>499</v>
      </c>
      <c r="D31">
        <v>21900</v>
      </c>
      <c r="E31" t="s">
        <v>26</v>
      </c>
      <c r="F31">
        <v>2114.5</v>
      </c>
      <c r="G31">
        <v>0</v>
      </c>
      <c r="H31">
        <v>65</v>
      </c>
      <c r="I31">
        <v>65</v>
      </c>
      <c r="J31">
        <v>65</v>
      </c>
      <c r="K31">
        <v>0</v>
      </c>
      <c r="L31">
        <v>0</v>
      </c>
      <c r="M31">
        <v>0</v>
      </c>
      <c r="N31">
        <v>2114.5</v>
      </c>
      <c r="O31">
        <v>2194.9499999999998</v>
      </c>
      <c r="P31" s="9">
        <v>46147.39335648148</v>
      </c>
    </row>
    <row r="32" spans="1:16" x14ac:dyDescent="0.25">
      <c r="A32" t="s">
        <v>7</v>
      </c>
      <c r="B32" s="4">
        <v>46154</v>
      </c>
      <c r="C32" t="s">
        <v>500</v>
      </c>
      <c r="D32">
        <v>21900</v>
      </c>
      <c r="E32" t="s">
        <v>27</v>
      </c>
      <c r="F32">
        <v>1.6</v>
      </c>
      <c r="G32">
        <v>472485</v>
      </c>
      <c r="H32">
        <v>114855</v>
      </c>
      <c r="I32">
        <v>126945</v>
      </c>
      <c r="J32">
        <v>97890</v>
      </c>
      <c r="K32">
        <v>2.15</v>
      </c>
      <c r="L32">
        <v>2.2000000000000002</v>
      </c>
      <c r="M32">
        <v>1.5</v>
      </c>
      <c r="N32">
        <v>2.25</v>
      </c>
      <c r="O32">
        <v>1.6</v>
      </c>
      <c r="P32" s="9">
        <v>46148.455034722225</v>
      </c>
    </row>
    <row r="33" spans="1:16" x14ac:dyDescent="0.25">
      <c r="A33" t="s">
        <v>7</v>
      </c>
      <c r="B33" s="4">
        <v>46154</v>
      </c>
      <c r="C33" t="s">
        <v>501</v>
      </c>
      <c r="D33">
        <v>21950</v>
      </c>
      <c r="E33" t="s">
        <v>26</v>
      </c>
      <c r="F33">
        <v>2075.65</v>
      </c>
      <c r="G33">
        <v>0</v>
      </c>
      <c r="H33">
        <v>65</v>
      </c>
      <c r="I33">
        <v>65</v>
      </c>
      <c r="J33">
        <v>65</v>
      </c>
      <c r="K33">
        <v>0</v>
      </c>
      <c r="L33">
        <v>0</v>
      </c>
      <c r="M33">
        <v>0</v>
      </c>
      <c r="N33">
        <v>2075.65</v>
      </c>
      <c r="O33">
        <v>2137.6999999999998</v>
      </c>
      <c r="P33" s="9">
        <v>46147.393287037034</v>
      </c>
    </row>
    <row r="34" spans="1:16" x14ac:dyDescent="0.25">
      <c r="A34" t="s">
        <v>7</v>
      </c>
      <c r="B34" s="4">
        <v>46154</v>
      </c>
      <c r="C34" t="s">
        <v>502</v>
      </c>
      <c r="D34">
        <v>21950</v>
      </c>
      <c r="E34" t="s">
        <v>27</v>
      </c>
      <c r="F34">
        <v>1.6</v>
      </c>
      <c r="G34">
        <v>344305</v>
      </c>
      <c r="H34">
        <v>75660</v>
      </c>
      <c r="I34">
        <v>91715</v>
      </c>
      <c r="J34">
        <v>35490</v>
      </c>
      <c r="K34">
        <v>2.1</v>
      </c>
      <c r="L34">
        <v>2.2999999999999998</v>
      </c>
      <c r="M34">
        <v>1.5</v>
      </c>
      <c r="N34">
        <v>2.2000000000000002</v>
      </c>
      <c r="O34">
        <v>1.6</v>
      </c>
      <c r="P34" s="9">
        <v>46148.454398148147</v>
      </c>
    </row>
    <row r="35" spans="1:16" x14ac:dyDescent="0.25">
      <c r="A35" t="s">
        <v>7</v>
      </c>
      <c r="B35" s="4">
        <v>46154</v>
      </c>
      <c r="C35" t="s">
        <v>503</v>
      </c>
      <c r="D35">
        <v>22000</v>
      </c>
      <c r="E35" t="s">
        <v>26</v>
      </c>
      <c r="F35">
        <v>2072.5500000000002</v>
      </c>
      <c r="G35">
        <v>0</v>
      </c>
      <c r="H35">
        <v>29510</v>
      </c>
      <c r="I35">
        <v>29510</v>
      </c>
      <c r="J35">
        <v>29510</v>
      </c>
      <c r="K35">
        <v>0</v>
      </c>
      <c r="L35">
        <v>0</v>
      </c>
      <c r="M35">
        <v>0</v>
      </c>
      <c r="N35">
        <v>2072.5500000000002</v>
      </c>
      <c r="O35">
        <v>2113.3000000000002</v>
      </c>
      <c r="P35" s="9">
        <v>46147.645462962966</v>
      </c>
    </row>
    <row r="36" spans="1:16" x14ac:dyDescent="0.25">
      <c r="A36" t="s">
        <v>7</v>
      </c>
      <c r="B36" s="4">
        <v>46154</v>
      </c>
      <c r="C36" t="s">
        <v>504</v>
      </c>
      <c r="D36">
        <v>22000</v>
      </c>
      <c r="E36" t="s">
        <v>27</v>
      </c>
      <c r="F36">
        <v>1.65</v>
      </c>
      <c r="G36">
        <v>4942990</v>
      </c>
      <c r="H36">
        <v>3492580</v>
      </c>
      <c r="I36">
        <v>3492580</v>
      </c>
      <c r="J36">
        <v>2979210</v>
      </c>
      <c r="K36">
        <v>2.25</v>
      </c>
      <c r="L36">
        <v>2.25</v>
      </c>
      <c r="M36">
        <v>1.55</v>
      </c>
      <c r="N36">
        <v>2.4</v>
      </c>
      <c r="O36">
        <v>1.65</v>
      </c>
      <c r="P36" s="9">
        <v>46148.455023148148</v>
      </c>
    </row>
    <row r="37" spans="1:16" x14ac:dyDescent="0.25">
      <c r="A37" t="s">
        <v>7</v>
      </c>
      <c r="B37" s="4">
        <v>46154</v>
      </c>
      <c r="C37" t="s">
        <v>505</v>
      </c>
      <c r="D37">
        <v>22050</v>
      </c>
      <c r="E37" t="s">
        <v>26</v>
      </c>
      <c r="F37">
        <v>1300.5999999999999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1300.5999999999999</v>
      </c>
      <c r="O37">
        <v>1951.1</v>
      </c>
      <c r="P37" s="9">
        <v>25569.229166666668</v>
      </c>
    </row>
    <row r="38" spans="1:16" x14ac:dyDescent="0.25">
      <c r="A38" t="s">
        <v>7</v>
      </c>
      <c r="B38" s="4">
        <v>46154</v>
      </c>
      <c r="C38" t="s">
        <v>506</v>
      </c>
      <c r="D38">
        <v>22050</v>
      </c>
      <c r="E38" t="s">
        <v>27</v>
      </c>
      <c r="F38">
        <v>1.7</v>
      </c>
      <c r="G38">
        <v>61490</v>
      </c>
      <c r="H38">
        <v>22100</v>
      </c>
      <c r="I38">
        <v>29120</v>
      </c>
      <c r="J38">
        <v>21255</v>
      </c>
      <c r="K38">
        <v>2.35</v>
      </c>
      <c r="L38">
        <v>2.35</v>
      </c>
      <c r="M38">
        <v>1.55</v>
      </c>
      <c r="N38">
        <v>2.4500000000000002</v>
      </c>
      <c r="O38">
        <v>1.6</v>
      </c>
      <c r="P38" s="9">
        <v>46148.450949074075</v>
      </c>
    </row>
    <row r="39" spans="1:16" x14ac:dyDescent="0.25">
      <c r="A39" t="s">
        <v>7</v>
      </c>
      <c r="B39" s="4">
        <v>46154</v>
      </c>
      <c r="C39" t="s">
        <v>507</v>
      </c>
      <c r="D39">
        <v>22100</v>
      </c>
      <c r="E39" t="s">
        <v>26</v>
      </c>
      <c r="F39">
        <v>1259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1259</v>
      </c>
      <c r="O39">
        <v>1908.5</v>
      </c>
      <c r="P39" s="9">
        <v>25569.229166666668</v>
      </c>
    </row>
    <row r="40" spans="1:16" x14ac:dyDescent="0.25">
      <c r="A40" t="s">
        <v>7</v>
      </c>
      <c r="B40" s="4">
        <v>46154</v>
      </c>
      <c r="C40" t="s">
        <v>508</v>
      </c>
      <c r="D40">
        <v>22100</v>
      </c>
      <c r="E40" t="s">
        <v>27</v>
      </c>
      <c r="F40">
        <v>1.7</v>
      </c>
      <c r="G40">
        <v>882765</v>
      </c>
      <c r="H40">
        <v>195715</v>
      </c>
      <c r="I40">
        <v>212160</v>
      </c>
      <c r="J40">
        <v>158145</v>
      </c>
      <c r="K40">
        <v>2.5499999999999998</v>
      </c>
      <c r="L40">
        <v>2.5499999999999998</v>
      </c>
      <c r="M40">
        <v>1.6</v>
      </c>
      <c r="N40">
        <v>2.4500000000000002</v>
      </c>
      <c r="O40">
        <v>1.7</v>
      </c>
      <c r="P40" s="9">
        <v>46148.454664351855</v>
      </c>
    </row>
    <row r="41" spans="1:16" x14ac:dyDescent="0.25">
      <c r="A41" t="s">
        <v>7</v>
      </c>
      <c r="B41" s="4">
        <v>46154</v>
      </c>
      <c r="C41" t="s">
        <v>509</v>
      </c>
      <c r="D41">
        <v>22150</v>
      </c>
      <c r="E41" t="s">
        <v>26</v>
      </c>
      <c r="F41">
        <v>1217.95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1217.95</v>
      </c>
      <c r="O41">
        <v>1854.65</v>
      </c>
      <c r="P41" s="9">
        <v>25569.229166666668</v>
      </c>
    </row>
    <row r="42" spans="1:16" x14ac:dyDescent="0.25">
      <c r="A42" t="s">
        <v>7</v>
      </c>
      <c r="B42" s="4">
        <v>46154</v>
      </c>
      <c r="C42" t="s">
        <v>510</v>
      </c>
      <c r="D42">
        <v>22150</v>
      </c>
      <c r="E42" t="s">
        <v>27</v>
      </c>
      <c r="F42">
        <v>1.8</v>
      </c>
      <c r="G42">
        <v>131950</v>
      </c>
      <c r="H42">
        <v>53495</v>
      </c>
      <c r="I42">
        <v>58500</v>
      </c>
      <c r="J42">
        <v>31460</v>
      </c>
      <c r="K42">
        <v>2.2999999999999998</v>
      </c>
      <c r="L42">
        <v>2.4500000000000002</v>
      </c>
      <c r="M42">
        <v>1.5</v>
      </c>
      <c r="N42">
        <v>2.7</v>
      </c>
      <c r="O42">
        <v>1.75</v>
      </c>
      <c r="P42" s="9">
        <v>46148.455231481479</v>
      </c>
    </row>
    <row r="43" spans="1:16" x14ac:dyDescent="0.25">
      <c r="A43" t="s">
        <v>7</v>
      </c>
      <c r="B43" s="4">
        <v>46154</v>
      </c>
      <c r="C43" t="s">
        <v>511</v>
      </c>
      <c r="D43">
        <v>22200</v>
      </c>
      <c r="E43" t="s">
        <v>26</v>
      </c>
      <c r="F43">
        <v>1850</v>
      </c>
      <c r="G43">
        <v>0</v>
      </c>
      <c r="H43">
        <v>260</v>
      </c>
      <c r="I43">
        <v>260</v>
      </c>
      <c r="J43">
        <v>260</v>
      </c>
      <c r="K43">
        <v>0</v>
      </c>
      <c r="L43">
        <v>0</v>
      </c>
      <c r="M43">
        <v>0</v>
      </c>
      <c r="N43">
        <v>1850</v>
      </c>
      <c r="O43">
        <v>1888.8</v>
      </c>
      <c r="P43" s="9">
        <v>46146.566689814812</v>
      </c>
    </row>
    <row r="44" spans="1:16" x14ac:dyDescent="0.25">
      <c r="A44" t="s">
        <v>7</v>
      </c>
      <c r="B44" s="4">
        <v>46154</v>
      </c>
      <c r="C44" t="s">
        <v>512</v>
      </c>
      <c r="D44">
        <v>22200</v>
      </c>
      <c r="E44" t="s">
        <v>27</v>
      </c>
      <c r="F44">
        <v>1.85</v>
      </c>
      <c r="G44">
        <v>1743040</v>
      </c>
      <c r="H44">
        <v>405210</v>
      </c>
      <c r="I44">
        <v>492440</v>
      </c>
      <c r="J44">
        <v>291980</v>
      </c>
      <c r="K44">
        <v>2.5</v>
      </c>
      <c r="L44">
        <v>2.5499999999999998</v>
      </c>
      <c r="M44">
        <v>1.65</v>
      </c>
      <c r="N44">
        <v>2.7</v>
      </c>
      <c r="O44">
        <v>1.8</v>
      </c>
      <c r="P44" s="9">
        <v>46148.455023148148</v>
      </c>
    </row>
    <row r="45" spans="1:16" x14ac:dyDescent="0.25">
      <c r="A45" t="s">
        <v>7</v>
      </c>
      <c r="B45" s="4">
        <v>46154</v>
      </c>
      <c r="C45" t="s">
        <v>513</v>
      </c>
      <c r="D45">
        <v>22250</v>
      </c>
      <c r="E45" t="s">
        <v>26</v>
      </c>
      <c r="F45">
        <v>1794.15</v>
      </c>
      <c r="G45">
        <v>0</v>
      </c>
      <c r="H45">
        <v>65</v>
      </c>
      <c r="I45">
        <v>65</v>
      </c>
      <c r="J45">
        <v>65</v>
      </c>
      <c r="K45">
        <v>0</v>
      </c>
      <c r="L45">
        <v>0</v>
      </c>
      <c r="M45">
        <v>0</v>
      </c>
      <c r="N45">
        <v>1794.15</v>
      </c>
      <c r="O45">
        <v>1842.25</v>
      </c>
      <c r="P45" s="9">
        <v>46147.392256944448</v>
      </c>
    </row>
    <row r="46" spans="1:16" x14ac:dyDescent="0.25">
      <c r="A46" t="s">
        <v>7</v>
      </c>
      <c r="B46" s="4">
        <v>46154</v>
      </c>
      <c r="C46" t="s">
        <v>514</v>
      </c>
      <c r="D46">
        <v>22250</v>
      </c>
      <c r="E46" t="s">
        <v>27</v>
      </c>
      <c r="F46">
        <v>1.9</v>
      </c>
      <c r="G46">
        <v>484250</v>
      </c>
      <c r="H46">
        <v>114075</v>
      </c>
      <c r="I46">
        <v>121225</v>
      </c>
      <c r="J46">
        <v>55770</v>
      </c>
      <c r="K46">
        <v>2.4500000000000002</v>
      </c>
      <c r="L46">
        <v>2.5499999999999998</v>
      </c>
      <c r="M46">
        <v>1.75</v>
      </c>
      <c r="N46">
        <v>2.75</v>
      </c>
      <c r="O46">
        <v>1.9</v>
      </c>
      <c r="P46" s="9">
        <v>46148.455023148148</v>
      </c>
    </row>
    <row r="47" spans="1:16" x14ac:dyDescent="0.25">
      <c r="A47" t="s">
        <v>7</v>
      </c>
      <c r="B47" s="4">
        <v>46154</v>
      </c>
      <c r="C47" t="s">
        <v>515</v>
      </c>
      <c r="D47">
        <v>22300</v>
      </c>
      <c r="E47" t="s">
        <v>26</v>
      </c>
      <c r="F47">
        <v>1763.3</v>
      </c>
      <c r="G47">
        <v>0</v>
      </c>
      <c r="H47">
        <v>195</v>
      </c>
      <c r="I47">
        <v>195</v>
      </c>
      <c r="J47">
        <v>195</v>
      </c>
      <c r="K47">
        <v>0</v>
      </c>
      <c r="L47">
        <v>0</v>
      </c>
      <c r="M47">
        <v>0</v>
      </c>
      <c r="N47">
        <v>1763.3</v>
      </c>
      <c r="O47">
        <v>1794.55</v>
      </c>
      <c r="P47" s="9">
        <v>46147.63958333333</v>
      </c>
    </row>
    <row r="48" spans="1:16" x14ac:dyDescent="0.25">
      <c r="A48" t="s">
        <v>7</v>
      </c>
      <c r="B48" s="4">
        <v>46154</v>
      </c>
      <c r="C48" t="s">
        <v>516</v>
      </c>
      <c r="D48">
        <v>22300</v>
      </c>
      <c r="E48" t="s">
        <v>27</v>
      </c>
      <c r="F48">
        <v>1.95</v>
      </c>
      <c r="G48">
        <v>2691780</v>
      </c>
      <c r="H48">
        <v>921245</v>
      </c>
      <c r="I48">
        <v>928590</v>
      </c>
      <c r="J48">
        <v>530595</v>
      </c>
      <c r="K48">
        <v>2.5499999999999998</v>
      </c>
      <c r="L48">
        <v>2.6</v>
      </c>
      <c r="M48">
        <v>1.75</v>
      </c>
      <c r="N48">
        <v>2.95</v>
      </c>
      <c r="O48">
        <v>1.95</v>
      </c>
      <c r="P48" s="9">
        <v>46148.455277777779</v>
      </c>
    </row>
    <row r="49" spans="1:16" x14ac:dyDescent="0.25">
      <c r="A49" t="s">
        <v>7</v>
      </c>
      <c r="B49" s="4">
        <v>46154</v>
      </c>
      <c r="C49" t="s">
        <v>517</v>
      </c>
      <c r="D49">
        <v>22350</v>
      </c>
      <c r="E49" t="s">
        <v>26</v>
      </c>
      <c r="F49">
        <v>1683.2</v>
      </c>
      <c r="G49">
        <v>0</v>
      </c>
      <c r="H49">
        <v>65</v>
      </c>
      <c r="I49">
        <v>65</v>
      </c>
      <c r="J49">
        <v>65</v>
      </c>
      <c r="K49">
        <v>0</v>
      </c>
      <c r="L49">
        <v>0</v>
      </c>
      <c r="M49">
        <v>0</v>
      </c>
      <c r="N49">
        <v>1683.2</v>
      </c>
      <c r="O49">
        <v>1746.1</v>
      </c>
      <c r="P49" s="9">
        <v>46147.392465277779</v>
      </c>
    </row>
    <row r="50" spans="1:16" x14ac:dyDescent="0.25">
      <c r="A50" t="s">
        <v>7</v>
      </c>
      <c r="B50" s="4">
        <v>46154</v>
      </c>
      <c r="C50" t="s">
        <v>518</v>
      </c>
      <c r="D50">
        <v>22350</v>
      </c>
      <c r="E50" t="s">
        <v>27</v>
      </c>
      <c r="F50">
        <v>2.1</v>
      </c>
      <c r="G50">
        <v>870935</v>
      </c>
      <c r="H50">
        <v>150540</v>
      </c>
      <c r="I50">
        <v>155285</v>
      </c>
      <c r="J50">
        <v>55770</v>
      </c>
      <c r="K50">
        <v>2.75</v>
      </c>
      <c r="L50">
        <v>2.8</v>
      </c>
      <c r="M50">
        <v>1.9</v>
      </c>
      <c r="N50">
        <v>3.1</v>
      </c>
      <c r="O50">
        <v>2.1</v>
      </c>
      <c r="P50" s="9">
        <v>46148.455057870371</v>
      </c>
    </row>
    <row r="51" spans="1:16" x14ac:dyDescent="0.25">
      <c r="A51" t="s">
        <v>7</v>
      </c>
      <c r="B51" s="4">
        <v>46154</v>
      </c>
      <c r="C51" t="s">
        <v>519</v>
      </c>
      <c r="D51">
        <v>22400</v>
      </c>
      <c r="E51" t="s">
        <v>26</v>
      </c>
      <c r="F51">
        <v>1579.75</v>
      </c>
      <c r="G51">
        <v>0</v>
      </c>
      <c r="H51">
        <v>65</v>
      </c>
      <c r="I51">
        <v>65</v>
      </c>
      <c r="J51">
        <v>65</v>
      </c>
      <c r="K51">
        <v>0</v>
      </c>
      <c r="L51">
        <v>0</v>
      </c>
      <c r="M51">
        <v>0</v>
      </c>
      <c r="N51">
        <v>1579.75</v>
      </c>
      <c r="O51">
        <v>1612.9</v>
      </c>
      <c r="P51" s="9">
        <v>46147.434699074074</v>
      </c>
    </row>
    <row r="52" spans="1:16" x14ac:dyDescent="0.25">
      <c r="A52" t="s">
        <v>7</v>
      </c>
      <c r="B52" s="4">
        <v>46154</v>
      </c>
      <c r="C52" t="s">
        <v>520</v>
      </c>
      <c r="D52">
        <v>22400</v>
      </c>
      <c r="E52" t="s">
        <v>27</v>
      </c>
      <c r="F52">
        <v>2.2999999999999998</v>
      </c>
      <c r="G52">
        <v>2524860</v>
      </c>
      <c r="H52">
        <v>986765</v>
      </c>
      <c r="I52">
        <v>1251315</v>
      </c>
      <c r="J52">
        <v>975455</v>
      </c>
      <c r="K52">
        <v>2.8</v>
      </c>
      <c r="L52">
        <v>2.8</v>
      </c>
      <c r="M52">
        <v>2.0499999999999998</v>
      </c>
      <c r="N52">
        <v>3.3</v>
      </c>
      <c r="O52">
        <v>2.25</v>
      </c>
      <c r="P52" s="9">
        <v>46148.455347222225</v>
      </c>
    </row>
    <row r="53" spans="1:16" x14ac:dyDescent="0.25">
      <c r="A53" t="s">
        <v>7</v>
      </c>
      <c r="B53" s="4">
        <v>46154</v>
      </c>
      <c r="C53" t="s">
        <v>521</v>
      </c>
      <c r="D53">
        <v>22450</v>
      </c>
      <c r="E53" t="s">
        <v>26</v>
      </c>
      <c r="F53">
        <v>1578.1</v>
      </c>
      <c r="G53">
        <v>0</v>
      </c>
      <c r="H53">
        <v>65</v>
      </c>
      <c r="I53">
        <v>65</v>
      </c>
      <c r="J53">
        <v>65</v>
      </c>
      <c r="K53">
        <v>0</v>
      </c>
      <c r="L53">
        <v>0</v>
      </c>
      <c r="M53">
        <v>0</v>
      </c>
      <c r="N53">
        <v>1578.1</v>
      </c>
      <c r="O53">
        <v>1644.1</v>
      </c>
      <c r="P53" s="9">
        <v>46147.39329861111</v>
      </c>
    </row>
    <row r="54" spans="1:16" x14ac:dyDescent="0.25">
      <c r="A54" t="s">
        <v>7</v>
      </c>
      <c r="B54" s="4">
        <v>46154</v>
      </c>
      <c r="C54" t="s">
        <v>522</v>
      </c>
      <c r="D54">
        <v>22450</v>
      </c>
      <c r="E54" t="s">
        <v>27</v>
      </c>
      <c r="F54">
        <v>2.4</v>
      </c>
      <c r="G54">
        <v>1136395</v>
      </c>
      <c r="H54">
        <v>163475</v>
      </c>
      <c r="I54">
        <v>204490</v>
      </c>
      <c r="J54">
        <v>145665</v>
      </c>
      <c r="K54">
        <v>3.3</v>
      </c>
      <c r="L54">
        <v>3.8</v>
      </c>
      <c r="M54">
        <v>2.2000000000000002</v>
      </c>
      <c r="N54">
        <v>3.5</v>
      </c>
      <c r="O54">
        <v>2.4</v>
      </c>
      <c r="P54" s="9">
        <v>46148.455254629633</v>
      </c>
    </row>
    <row r="55" spans="1:16" x14ac:dyDescent="0.25">
      <c r="A55" t="s">
        <v>7</v>
      </c>
      <c r="B55" s="4">
        <v>46154</v>
      </c>
      <c r="C55" t="s">
        <v>523</v>
      </c>
      <c r="D55">
        <v>22500</v>
      </c>
      <c r="E55" t="s">
        <v>26</v>
      </c>
      <c r="F55">
        <v>1652</v>
      </c>
      <c r="G55">
        <v>65</v>
      </c>
      <c r="H55">
        <v>12935</v>
      </c>
      <c r="I55">
        <v>12935</v>
      </c>
      <c r="J55">
        <v>12935</v>
      </c>
      <c r="K55">
        <v>1652</v>
      </c>
      <c r="L55">
        <v>1652</v>
      </c>
      <c r="M55">
        <v>1652</v>
      </c>
      <c r="N55">
        <v>1578.85</v>
      </c>
      <c r="O55">
        <v>1632.3</v>
      </c>
      <c r="P55" s="9">
        <v>46148.423761574071</v>
      </c>
    </row>
    <row r="56" spans="1:16" x14ac:dyDescent="0.25">
      <c r="A56" t="s">
        <v>7</v>
      </c>
      <c r="B56" s="4">
        <v>46154</v>
      </c>
      <c r="C56" t="s">
        <v>524</v>
      </c>
      <c r="D56">
        <v>22500</v>
      </c>
      <c r="E56" t="s">
        <v>27</v>
      </c>
      <c r="F56">
        <v>2.65</v>
      </c>
      <c r="G56">
        <v>8983000</v>
      </c>
      <c r="H56">
        <v>4283240</v>
      </c>
      <c r="I56">
        <v>4317755</v>
      </c>
      <c r="J56">
        <v>3629860</v>
      </c>
      <c r="K56">
        <v>2.85</v>
      </c>
      <c r="L56">
        <v>3.05</v>
      </c>
      <c r="M56">
        <v>2.35</v>
      </c>
      <c r="N56">
        <v>3.75</v>
      </c>
      <c r="O56">
        <v>2.6</v>
      </c>
      <c r="P56" s="9">
        <v>46148.455370370371</v>
      </c>
    </row>
    <row r="57" spans="1:16" x14ac:dyDescent="0.25">
      <c r="A57" t="s">
        <v>7</v>
      </c>
      <c r="B57" s="4">
        <v>46154</v>
      </c>
      <c r="C57" t="s">
        <v>525</v>
      </c>
      <c r="D57">
        <v>22550</v>
      </c>
      <c r="E57" t="s">
        <v>26</v>
      </c>
      <c r="F57">
        <v>1645.75</v>
      </c>
      <c r="G57">
        <v>65</v>
      </c>
      <c r="H57">
        <v>65</v>
      </c>
      <c r="I57">
        <v>65</v>
      </c>
      <c r="J57">
        <v>65</v>
      </c>
      <c r="K57">
        <v>1645.75</v>
      </c>
      <c r="L57">
        <v>1645.75</v>
      </c>
      <c r="M57">
        <v>1645.75</v>
      </c>
      <c r="N57">
        <v>1476.25</v>
      </c>
      <c r="O57">
        <v>1570.2</v>
      </c>
      <c r="P57" s="9">
        <v>46148.402453703704</v>
      </c>
    </row>
    <row r="58" spans="1:16" x14ac:dyDescent="0.25">
      <c r="A58" t="s">
        <v>7</v>
      </c>
      <c r="B58" s="4">
        <v>46154</v>
      </c>
      <c r="C58" t="s">
        <v>526</v>
      </c>
      <c r="D58">
        <v>22550</v>
      </c>
      <c r="E58" t="s">
        <v>27</v>
      </c>
      <c r="F58">
        <v>2.75</v>
      </c>
      <c r="G58">
        <v>1190605</v>
      </c>
      <c r="H58">
        <v>201760</v>
      </c>
      <c r="I58">
        <v>245440</v>
      </c>
      <c r="J58">
        <v>193830</v>
      </c>
      <c r="K58">
        <v>3.4</v>
      </c>
      <c r="L58">
        <v>3.4</v>
      </c>
      <c r="M58">
        <v>2.2000000000000002</v>
      </c>
      <c r="N58">
        <v>3.95</v>
      </c>
      <c r="O58">
        <v>2.7</v>
      </c>
      <c r="P58" s="9">
        <v>46148.455254629633</v>
      </c>
    </row>
    <row r="59" spans="1:16" x14ac:dyDescent="0.25">
      <c r="A59" t="s">
        <v>7</v>
      </c>
      <c r="B59" s="4">
        <v>46154</v>
      </c>
      <c r="C59" t="s">
        <v>527</v>
      </c>
      <c r="D59">
        <v>22600</v>
      </c>
      <c r="E59" t="s">
        <v>26</v>
      </c>
      <c r="F59">
        <v>1567.05</v>
      </c>
      <c r="G59">
        <v>0</v>
      </c>
      <c r="H59">
        <v>390</v>
      </c>
      <c r="I59">
        <v>390</v>
      </c>
      <c r="J59">
        <v>390</v>
      </c>
      <c r="K59">
        <v>0</v>
      </c>
      <c r="L59">
        <v>0</v>
      </c>
      <c r="M59">
        <v>0</v>
      </c>
      <c r="N59">
        <v>1567.05</v>
      </c>
      <c r="O59">
        <v>1493.7</v>
      </c>
      <c r="P59" s="9">
        <v>46146.638321759259</v>
      </c>
    </row>
    <row r="60" spans="1:16" x14ac:dyDescent="0.25">
      <c r="A60" t="s">
        <v>7</v>
      </c>
      <c r="B60" s="4">
        <v>46154</v>
      </c>
      <c r="C60" t="s">
        <v>528</v>
      </c>
      <c r="D60">
        <v>22600</v>
      </c>
      <c r="E60" t="s">
        <v>27</v>
      </c>
      <c r="F60">
        <v>3</v>
      </c>
      <c r="G60">
        <v>6448585</v>
      </c>
      <c r="H60">
        <v>1339260</v>
      </c>
      <c r="I60">
        <v>1986140</v>
      </c>
      <c r="J60">
        <v>1339260</v>
      </c>
      <c r="K60">
        <v>3.75</v>
      </c>
      <c r="L60">
        <v>3.75</v>
      </c>
      <c r="M60">
        <v>2.5499999999999998</v>
      </c>
      <c r="N60">
        <v>4.25</v>
      </c>
      <c r="O60">
        <v>2.95</v>
      </c>
      <c r="P60" s="9">
        <v>46148.455358796295</v>
      </c>
    </row>
    <row r="61" spans="1:16" x14ac:dyDescent="0.25">
      <c r="A61" t="s">
        <v>7</v>
      </c>
      <c r="B61" s="4">
        <v>46154</v>
      </c>
      <c r="C61" t="s">
        <v>529</v>
      </c>
      <c r="D61">
        <v>22650</v>
      </c>
      <c r="E61" t="s">
        <v>26</v>
      </c>
      <c r="F61">
        <v>1600.6</v>
      </c>
      <c r="G61">
        <v>0</v>
      </c>
      <c r="H61">
        <v>65</v>
      </c>
      <c r="I61">
        <v>65</v>
      </c>
      <c r="J61">
        <v>65</v>
      </c>
      <c r="K61">
        <v>0</v>
      </c>
      <c r="L61">
        <v>0</v>
      </c>
      <c r="M61">
        <v>0</v>
      </c>
      <c r="N61">
        <v>1600.6</v>
      </c>
      <c r="O61">
        <v>1469.35</v>
      </c>
      <c r="P61" s="9">
        <v>46146.388831018521</v>
      </c>
    </row>
    <row r="62" spans="1:16" x14ac:dyDescent="0.25">
      <c r="A62" t="s">
        <v>7</v>
      </c>
      <c r="B62" s="4">
        <v>46154</v>
      </c>
      <c r="C62" t="s">
        <v>530</v>
      </c>
      <c r="D62">
        <v>22650</v>
      </c>
      <c r="E62" t="s">
        <v>27</v>
      </c>
      <c r="F62">
        <v>3.15</v>
      </c>
      <c r="G62">
        <v>1575275</v>
      </c>
      <c r="H62">
        <v>289640</v>
      </c>
      <c r="I62">
        <v>289640</v>
      </c>
      <c r="J62">
        <v>168935</v>
      </c>
      <c r="K62">
        <v>3.9</v>
      </c>
      <c r="L62">
        <v>3.9</v>
      </c>
      <c r="M62">
        <v>2.4</v>
      </c>
      <c r="N62">
        <v>4.5</v>
      </c>
      <c r="O62">
        <v>3.1</v>
      </c>
      <c r="P62" s="9">
        <v>46148.455347222225</v>
      </c>
    </row>
    <row r="63" spans="1:16" x14ac:dyDescent="0.25">
      <c r="A63" t="s">
        <v>7</v>
      </c>
      <c r="B63" s="4">
        <v>46154</v>
      </c>
      <c r="C63" t="s">
        <v>531</v>
      </c>
      <c r="D63">
        <v>22700</v>
      </c>
      <c r="E63" t="s">
        <v>26</v>
      </c>
      <c r="F63">
        <v>1455</v>
      </c>
      <c r="G63">
        <v>520</v>
      </c>
      <c r="H63">
        <v>2990</v>
      </c>
      <c r="I63">
        <v>2990</v>
      </c>
      <c r="J63">
        <v>2990</v>
      </c>
      <c r="K63">
        <v>1512.35</v>
      </c>
      <c r="L63">
        <v>1512.4</v>
      </c>
      <c r="M63">
        <v>1455</v>
      </c>
      <c r="N63">
        <v>1373.75</v>
      </c>
      <c r="O63">
        <v>1433.45</v>
      </c>
      <c r="P63" s="9">
        <v>46148.419502314813</v>
      </c>
    </row>
    <row r="64" spans="1:16" x14ac:dyDescent="0.25">
      <c r="A64" t="s">
        <v>7</v>
      </c>
      <c r="B64" s="4">
        <v>46154</v>
      </c>
      <c r="C64" t="s">
        <v>532</v>
      </c>
      <c r="D64">
        <v>22700</v>
      </c>
      <c r="E64" t="s">
        <v>27</v>
      </c>
      <c r="F64">
        <v>3.45</v>
      </c>
      <c r="G64">
        <v>5074095</v>
      </c>
      <c r="H64">
        <v>1341015</v>
      </c>
      <c r="I64">
        <v>1346215</v>
      </c>
      <c r="J64">
        <v>1009450</v>
      </c>
      <c r="K64">
        <v>3.5</v>
      </c>
      <c r="L64">
        <v>3.95</v>
      </c>
      <c r="M64">
        <v>2.65</v>
      </c>
      <c r="N64">
        <v>4.8499999999999996</v>
      </c>
      <c r="O64">
        <v>3.4</v>
      </c>
      <c r="P64" s="9">
        <v>46148.455335648148</v>
      </c>
    </row>
    <row r="65" spans="1:16" x14ac:dyDescent="0.25">
      <c r="A65" t="s">
        <v>7</v>
      </c>
      <c r="B65" s="4">
        <v>46154</v>
      </c>
      <c r="C65" t="s">
        <v>533</v>
      </c>
      <c r="D65">
        <v>22750</v>
      </c>
      <c r="E65" t="s">
        <v>26</v>
      </c>
      <c r="F65">
        <v>1318.6</v>
      </c>
      <c r="G65">
        <v>0</v>
      </c>
      <c r="H65">
        <v>260</v>
      </c>
      <c r="I65">
        <v>260</v>
      </c>
      <c r="J65">
        <v>260</v>
      </c>
      <c r="K65">
        <v>0</v>
      </c>
      <c r="L65">
        <v>0</v>
      </c>
      <c r="M65">
        <v>0</v>
      </c>
      <c r="N65">
        <v>1318.6</v>
      </c>
      <c r="O65">
        <v>1299.8499999999999</v>
      </c>
      <c r="P65" s="9">
        <v>46147.389409722222</v>
      </c>
    </row>
    <row r="66" spans="1:16" x14ac:dyDescent="0.25">
      <c r="A66" t="s">
        <v>7</v>
      </c>
      <c r="B66" s="4">
        <v>46154</v>
      </c>
      <c r="C66" t="s">
        <v>534</v>
      </c>
      <c r="D66">
        <v>22750</v>
      </c>
      <c r="E66" t="s">
        <v>27</v>
      </c>
      <c r="F66">
        <v>3.7</v>
      </c>
      <c r="G66">
        <v>1482780</v>
      </c>
      <c r="H66">
        <v>331890</v>
      </c>
      <c r="I66">
        <v>358930</v>
      </c>
      <c r="J66">
        <v>298220</v>
      </c>
      <c r="K66">
        <v>4</v>
      </c>
      <c r="L66">
        <v>4.3</v>
      </c>
      <c r="M66">
        <v>3.05</v>
      </c>
      <c r="N66">
        <v>5.3</v>
      </c>
      <c r="O66">
        <v>3.7</v>
      </c>
      <c r="P66" s="9">
        <v>46148.455335648148</v>
      </c>
    </row>
    <row r="67" spans="1:16" x14ac:dyDescent="0.25">
      <c r="A67" t="s">
        <v>7</v>
      </c>
      <c r="B67" s="4">
        <v>46154</v>
      </c>
      <c r="C67" t="s">
        <v>535</v>
      </c>
      <c r="D67">
        <v>22800</v>
      </c>
      <c r="E67" t="s">
        <v>26</v>
      </c>
      <c r="F67">
        <v>1392</v>
      </c>
      <c r="G67">
        <v>845</v>
      </c>
      <c r="H67">
        <v>11440</v>
      </c>
      <c r="I67">
        <v>12025</v>
      </c>
      <c r="J67">
        <v>11375</v>
      </c>
      <c r="K67">
        <v>1450</v>
      </c>
      <c r="L67">
        <v>1450</v>
      </c>
      <c r="M67">
        <v>1376.9</v>
      </c>
      <c r="N67">
        <v>1276.5999999999999</v>
      </c>
      <c r="O67">
        <v>1336.1</v>
      </c>
      <c r="P67" s="9">
        <v>46148.416562500002</v>
      </c>
    </row>
    <row r="68" spans="1:16" x14ac:dyDescent="0.25">
      <c r="A68" t="s">
        <v>7</v>
      </c>
      <c r="B68" s="4">
        <v>46154</v>
      </c>
      <c r="C68" t="s">
        <v>536</v>
      </c>
      <c r="D68">
        <v>22800</v>
      </c>
      <c r="E68" t="s">
        <v>27</v>
      </c>
      <c r="F68">
        <v>4.0999999999999996</v>
      </c>
      <c r="G68">
        <v>8631805</v>
      </c>
      <c r="H68">
        <v>2635295</v>
      </c>
      <c r="I68">
        <v>3019250</v>
      </c>
      <c r="J68">
        <v>2134665</v>
      </c>
      <c r="K68">
        <v>4.8</v>
      </c>
      <c r="L68">
        <v>4.8</v>
      </c>
      <c r="M68">
        <v>3.25</v>
      </c>
      <c r="N68">
        <v>5.95</v>
      </c>
      <c r="O68">
        <v>4.05</v>
      </c>
      <c r="P68" s="9">
        <v>46148.455370370371</v>
      </c>
    </row>
    <row r="69" spans="1:16" x14ac:dyDescent="0.25">
      <c r="A69" t="s">
        <v>7</v>
      </c>
      <c r="B69" s="4">
        <v>46154</v>
      </c>
      <c r="C69" t="s">
        <v>537</v>
      </c>
      <c r="D69">
        <v>22850</v>
      </c>
      <c r="E69" t="s">
        <v>26</v>
      </c>
      <c r="F69">
        <v>1227.5999999999999</v>
      </c>
      <c r="G69">
        <v>0</v>
      </c>
      <c r="H69">
        <v>195</v>
      </c>
      <c r="I69">
        <v>195</v>
      </c>
      <c r="J69">
        <v>195</v>
      </c>
      <c r="K69">
        <v>0</v>
      </c>
      <c r="L69">
        <v>0</v>
      </c>
      <c r="M69">
        <v>0</v>
      </c>
      <c r="N69">
        <v>1227.5999999999999</v>
      </c>
      <c r="O69">
        <v>1271.7</v>
      </c>
      <c r="P69" s="9">
        <v>46147.637615740743</v>
      </c>
    </row>
    <row r="70" spans="1:16" x14ac:dyDescent="0.25">
      <c r="A70" t="s">
        <v>7</v>
      </c>
      <c r="B70" s="4">
        <v>46154</v>
      </c>
      <c r="C70" t="s">
        <v>538</v>
      </c>
      <c r="D70">
        <v>22850</v>
      </c>
      <c r="E70" t="s">
        <v>27</v>
      </c>
      <c r="F70">
        <v>4.45</v>
      </c>
      <c r="G70">
        <v>2204085</v>
      </c>
      <c r="H70">
        <v>559780</v>
      </c>
      <c r="I70">
        <v>567970</v>
      </c>
      <c r="J70">
        <v>469365</v>
      </c>
      <c r="K70">
        <v>5.75</v>
      </c>
      <c r="L70">
        <v>5.75</v>
      </c>
      <c r="M70">
        <v>3.55</v>
      </c>
      <c r="N70">
        <v>6.75</v>
      </c>
      <c r="O70">
        <v>4.45</v>
      </c>
      <c r="P70" s="9">
        <v>46148.455347222225</v>
      </c>
    </row>
    <row r="71" spans="1:16" x14ac:dyDescent="0.25">
      <c r="A71" t="s">
        <v>7</v>
      </c>
      <c r="B71" s="4">
        <v>46154</v>
      </c>
      <c r="C71" t="s">
        <v>539</v>
      </c>
      <c r="D71">
        <v>22900</v>
      </c>
      <c r="E71" t="s">
        <v>26</v>
      </c>
      <c r="F71">
        <v>1280.8</v>
      </c>
      <c r="G71">
        <v>325</v>
      </c>
      <c r="H71">
        <v>1820</v>
      </c>
      <c r="I71">
        <v>1820</v>
      </c>
      <c r="J71">
        <v>1820</v>
      </c>
      <c r="K71">
        <v>1314.45</v>
      </c>
      <c r="L71">
        <v>1314.45</v>
      </c>
      <c r="M71">
        <v>1280.8</v>
      </c>
      <c r="N71">
        <v>1153.8499999999999</v>
      </c>
      <c r="O71">
        <v>1236.75</v>
      </c>
      <c r="P71" s="9">
        <v>46148.418090277781</v>
      </c>
    </row>
    <row r="72" spans="1:16" x14ac:dyDescent="0.25">
      <c r="A72" t="s">
        <v>7</v>
      </c>
      <c r="B72" s="4">
        <v>46154</v>
      </c>
      <c r="C72" t="s">
        <v>540</v>
      </c>
      <c r="D72">
        <v>22900</v>
      </c>
      <c r="E72" t="s">
        <v>27</v>
      </c>
      <c r="F72">
        <v>5.0999999999999996</v>
      </c>
      <c r="G72">
        <v>6881940</v>
      </c>
      <c r="H72">
        <v>1799590</v>
      </c>
      <c r="I72">
        <v>1807715</v>
      </c>
      <c r="J72">
        <v>1475045</v>
      </c>
      <c r="K72">
        <v>4.2</v>
      </c>
      <c r="L72">
        <v>5.75</v>
      </c>
      <c r="M72">
        <v>3.8</v>
      </c>
      <c r="N72">
        <v>7.5</v>
      </c>
      <c r="O72">
        <v>5.0999999999999996</v>
      </c>
      <c r="P72" s="9">
        <v>46148.455335648148</v>
      </c>
    </row>
    <row r="73" spans="1:16" x14ac:dyDescent="0.25">
      <c r="A73" t="s">
        <v>7</v>
      </c>
      <c r="B73" s="4">
        <v>46154</v>
      </c>
      <c r="C73" t="s">
        <v>541</v>
      </c>
      <c r="D73">
        <v>22950</v>
      </c>
      <c r="E73" t="s">
        <v>26</v>
      </c>
      <c r="F73">
        <v>1110</v>
      </c>
      <c r="G73">
        <v>0</v>
      </c>
      <c r="H73">
        <v>520</v>
      </c>
      <c r="I73">
        <v>520</v>
      </c>
      <c r="J73">
        <v>520</v>
      </c>
      <c r="K73">
        <v>0</v>
      </c>
      <c r="L73">
        <v>0</v>
      </c>
      <c r="M73">
        <v>0</v>
      </c>
      <c r="N73">
        <v>1110</v>
      </c>
      <c r="O73">
        <v>1144.8</v>
      </c>
      <c r="P73" s="9">
        <v>46147.633483796293</v>
      </c>
    </row>
    <row r="74" spans="1:16" x14ac:dyDescent="0.25">
      <c r="A74" t="s">
        <v>7</v>
      </c>
      <c r="B74" s="4">
        <v>46154</v>
      </c>
      <c r="C74" t="s">
        <v>542</v>
      </c>
      <c r="D74">
        <v>22950</v>
      </c>
      <c r="E74" t="s">
        <v>27</v>
      </c>
      <c r="F74">
        <v>5.8</v>
      </c>
      <c r="G74">
        <v>3083470</v>
      </c>
      <c r="H74">
        <v>474695</v>
      </c>
      <c r="I74">
        <v>518180</v>
      </c>
      <c r="J74">
        <v>441545</v>
      </c>
      <c r="K74">
        <v>5.9</v>
      </c>
      <c r="L74">
        <v>6.5</v>
      </c>
      <c r="M74">
        <v>4.1500000000000004</v>
      </c>
      <c r="N74">
        <v>8.5500000000000007</v>
      </c>
      <c r="O74">
        <v>5.8</v>
      </c>
      <c r="P74" s="9">
        <v>46148.455370370371</v>
      </c>
    </row>
    <row r="75" spans="1:16" x14ac:dyDescent="0.25">
      <c r="A75" t="s">
        <v>7</v>
      </c>
      <c r="B75" s="4">
        <v>46154</v>
      </c>
      <c r="C75" t="s">
        <v>543</v>
      </c>
      <c r="D75">
        <v>23000</v>
      </c>
      <c r="E75" t="s">
        <v>26</v>
      </c>
      <c r="F75">
        <v>1151.0999999999999</v>
      </c>
      <c r="G75">
        <v>33670</v>
      </c>
      <c r="H75">
        <v>150995</v>
      </c>
      <c r="I75">
        <v>150995</v>
      </c>
      <c r="J75">
        <v>149955</v>
      </c>
      <c r="K75">
        <v>1201</v>
      </c>
      <c r="L75">
        <v>1293.5</v>
      </c>
      <c r="M75">
        <v>1141.4000000000001</v>
      </c>
      <c r="N75">
        <v>1072.4000000000001</v>
      </c>
      <c r="O75">
        <v>1142.05</v>
      </c>
      <c r="P75" s="9">
        <v>46148.45521990741</v>
      </c>
    </row>
    <row r="76" spans="1:16" x14ac:dyDescent="0.25">
      <c r="A76" t="s">
        <v>7</v>
      </c>
      <c r="B76" s="4">
        <v>46154</v>
      </c>
      <c r="C76" t="s">
        <v>544</v>
      </c>
      <c r="D76">
        <v>23000</v>
      </c>
      <c r="E76" t="s">
        <v>27</v>
      </c>
      <c r="F76">
        <v>6.55</v>
      </c>
      <c r="G76">
        <v>15359890</v>
      </c>
      <c r="H76">
        <v>6018480</v>
      </c>
      <c r="I76">
        <v>6200610</v>
      </c>
      <c r="J76">
        <v>4180930</v>
      </c>
      <c r="K76">
        <v>7.75</v>
      </c>
      <c r="L76">
        <v>7.75</v>
      </c>
      <c r="M76">
        <v>4.5999999999999996</v>
      </c>
      <c r="N76">
        <v>10</v>
      </c>
      <c r="O76">
        <v>6.55</v>
      </c>
      <c r="P76" s="9">
        <v>46148.455358796295</v>
      </c>
    </row>
    <row r="77" spans="1:16" x14ac:dyDescent="0.25">
      <c r="A77" t="s">
        <v>7</v>
      </c>
      <c r="B77" s="4">
        <v>46154</v>
      </c>
      <c r="C77" t="s">
        <v>545</v>
      </c>
      <c r="D77">
        <v>23050</v>
      </c>
      <c r="E77" t="s">
        <v>26</v>
      </c>
      <c r="F77">
        <v>1039.5999999999999</v>
      </c>
      <c r="G77">
        <v>0</v>
      </c>
      <c r="H77">
        <v>1950</v>
      </c>
      <c r="I77">
        <v>1950</v>
      </c>
      <c r="J77">
        <v>1950</v>
      </c>
      <c r="K77">
        <v>0</v>
      </c>
      <c r="L77">
        <v>0</v>
      </c>
      <c r="M77">
        <v>0</v>
      </c>
      <c r="N77">
        <v>1039.5999999999999</v>
      </c>
      <c r="O77">
        <v>1080.3499999999999</v>
      </c>
      <c r="P77" s="9">
        <v>46147.636354166665</v>
      </c>
    </row>
    <row r="78" spans="1:16" x14ac:dyDescent="0.25">
      <c r="A78" t="s">
        <v>7</v>
      </c>
      <c r="B78" s="4">
        <v>46154</v>
      </c>
      <c r="C78" t="s">
        <v>546</v>
      </c>
      <c r="D78">
        <v>23050</v>
      </c>
      <c r="E78" t="s">
        <v>27</v>
      </c>
      <c r="F78">
        <v>7.5</v>
      </c>
      <c r="G78">
        <v>3320395</v>
      </c>
      <c r="H78">
        <v>572585</v>
      </c>
      <c r="I78">
        <v>585845</v>
      </c>
      <c r="J78">
        <v>358150</v>
      </c>
      <c r="K78">
        <v>10</v>
      </c>
      <c r="L78">
        <v>10</v>
      </c>
      <c r="M78">
        <v>5.15</v>
      </c>
      <c r="N78">
        <v>11.25</v>
      </c>
      <c r="O78">
        <v>7.5</v>
      </c>
      <c r="P78" s="9">
        <v>46148.455335648148</v>
      </c>
    </row>
    <row r="79" spans="1:16" x14ac:dyDescent="0.25">
      <c r="A79" t="s">
        <v>7</v>
      </c>
      <c r="B79" s="4">
        <v>46154</v>
      </c>
      <c r="C79" t="s">
        <v>547</v>
      </c>
      <c r="D79">
        <v>23100</v>
      </c>
      <c r="E79" t="s">
        <v>26</v>
      </c>
      <c r="F79">
        <v>1040</v>
      </c>
      <c r="G79">
        <v>1690</v>
      </c>
      <c r="H79">
        <v>7865</v>
      </c>
      <c r="I79">
        <v>7930</v>
      </c>
      <c r="J79">
        <v>7800</v>
      </c>
      <c r="K79">
        <v>1159.8499999999999</v>
      </c>
      <c r="L79">
        <v>1159.8499999999999</v>
      </c>
      <c r="M79">
        <v>1040</v>
      </c>
      <c r="N79">
        <v>995.55</v>
      </c>
      <c r="O79">
        <v>1043.5</v>
      </c>
      <c r="P79" s="9">
        <v>46148.454606481479</v>
      </c>
    </row>
    <row r="80" spans="1:16" x14ac:dyDescent="0.25">
      <c r="A80" t="s">
        <v>7</v>
      </c>
      <c r="B80" s="4">
        <v>46154</v>
      </c>
      <c r="C80" t="s">
        <v>548</v>
      </c>
      <c r="D80">
        <v>23100</v>
      </c>
      <c r="E80" t="s">
        <v>27</v>
      </c>
      <c r="F80">
        <v>8.5</v>
      </c>
      <c r="G80">
        <v>7827235</v>
      </c>
      <c r="H80">
        <v>1734980</v>
      </c>
      <c r="I80">
        <v>1745185</v>
      </c>
      <c r="J80">
        <v>1043250</v>
      </c>
      <c r="K80">
        <v>10</v>
      </c>
      <c r="L80">
        <v>10.1</v>
      </c>
      <c r="M80">
        <v>5.65</v>
      </c>
      <c r="N80">
        <v>13</v>
      </c>
      <c r="O80">
        <v>8.5</v>
      </c>
      <c r="P80" s="9">
        <v>46148.455347222225</v>
      </c>
    </row>
    <row r="81" spans="1:16" x14ac:dyDescent="0.25">
      <c r="A81" t="s">
        <v>7</v>
      </c>
      <c r="B81" s="4">
        <v>46154</v>
      </c>
      <c r="C81" t="s">
        <v>549</v>
      </c>
      <c r="D81">
        <v>23150</v>
      </c>
      <c r="E81" t="s">
        <v>26</v>
      </c>
      <c r="F81">
        <v>1045.8499999999999</v>
      </c>
      <c r="G81">
        <v>3900</v>
      </c>
      <c r="H81">
        <v>4420</v>
      </c>
      <c r="I81">
        <v>4420</v>
      </c>
      <c r="J81">
        <v>2470</v>
      </c>
      <c r="K81">
        <v>1029.05</v>
      </c>
      <c r="L81">
        <v>1063.05</v>
      </c>
      <c r="M81">
        <v>1017.65</v>
      </c>
      <c r="N81">
        <v>936.7</v>
      </c>
      <c r="O81">
        <v>993.05</v>
      </c>
      <c r="P81" s="9">
        <v>46148.450057870374</v>
      </c>
    </row>
    <row r="82" spans="1:16" x14ac:dyDescent="0.25">
      <c r="A82" t="s">
        <v>7</v>
      </c>
      <c r="B82" s="4">
        <v>46154</v>
      </c>
      <c r="C82" t="s">
        <v>550</v>
      </c>
      <c r="D82">
        <v>23150</v>
      </c>
      <c r="E82" t="s">
        <v>27</v>
      </c>
      <c r="F82">
        <v>9.85</v>
      </c>
      <c r="G82">
        <v>3661775</v>
      </c>
      <c r="H82">
        <v>563160</v>
      </c>
      <c r="I82">
        <v>563160</v>
      </c>
      <c r="J82">
        <v>296400</v>
      </c>
      <c r="K82">
        <v>14.45</v>
      </c>
      <c r="L82">
        <v>14.45</v>
      </c>
      <c r="M82">
        <v>6.35</v>
      </c>
      <c r="N82">
        <v>14.85</v>
      </c>
      <c r="O82">
        <v>9.85</v>
      </c>
      <c r="P82" s="9">
        <v>46148.455370370371</v>
      </c>
    </row>
    <row r="83" spans="1:16" x14ac:dyDescent="0.25">
      <c r="A83" t="s">
        <v>7</v>
      </c>
      <c r="B83" s="4">
        <v>46154</v>
      </c>
      <c r="C83" t="s">
        <v>551</v>
      </c>
      <c r="D83">
        <v>23200</v>
      </c>
      <c r="E83" t="s">
        <v>26</v>
      </c>
      <c r="F83">
        <v>952</v>
      </c>
      <c r="G83">
        <v>5460</v>
      </c>
      <c r="H83">
        <v>23660</v>
      </c>
      <c r="I83">
        <v>23855</v>
      </c>
      <c r="J83">
        <v>23400</v>
      </c>
      <c r="K83">
        <v>975</v>
      </c>
      <c r="L83">
        <v>1078</v>
      </c>
      <c r="M83">
        <v>950</v>
      </c>
      <c r="N83">
        <v>893.5</v>
      </c>
      <c r="O83">
        <v>946.85</v>
      </c>
      <c r="P83" s="9">
        <v>46148.454363425924</v>
      </c>
    </row>
    <row r="84" spans="1:16" x14ac:dyDescent="0.25">
      <c r="A84" t="s">
        <v>7</v>
      </c>
      <c r="B84" s="4">
        <v>46154</v>
      </c>
      <c r="C84" t="s">
        <v>552</v>
      </c>
      <c r="D84">
        <v>23200</v>
      </c>
      <c r="E84" t="s">
        <v>27</v>
      </c>
      <c r="F84">
        <v>11.45</v>
      </c>
      <c r="G84">
        <v>16303170</v>
      </c>
      <c r="H84">
        <v>4457960</v>
      </c>
      <c r="I84">
        <v>4457960</v>
      </c>
      <c r="J84">
        <v>2984800</v>
      </c>
      <c r="K84">
        <v>11.45</v>
      </c>
      <c r="L84">
        <v>12.4</v>
      </c>
      <c r="M84">
        <v>7.1</v>
      </c>
      <c r="N84">
        <v>17.649999999999999</v>
      </c>
      <c r="O84">
        <v>11.4</v>
      </c>
      <c r="P84" s="9">
        <v>46148.455347222225</v>
      </c>
    </row>
    <row r="85" spans="1:16" x14ac:dyDescent="0.25">
      <c r="A85" t="s">
        <v>7</v>
      </c>
      <c r="B85" s="4">
        <v>46154</v>
      </c>
      <c r="C85" t="s">
        <v>553</v>
      </c>
      <c r="D85">
        <v>23250</v>
      </c>
      <c r="E85" t="s">
        <v>26</v>
      </c>
      <c r="F85">
        <v>960</v>
      </c>
      <c r="G85">
        <v>195</v>
      </c>
      <c r="H85">
        <v>2730</v>
      </c>
      <c r="I85">
        <v>2730</v>
      </c>
      <c r="J85">
        <v>2730</v>
      </c>
      <c r="K85">
        <v>988.3</v>
      </c>
      <c r="L85">
        <v>988.3</v>
      </c>
      <c r="M85">
        <v>960</v>
      </c>
      <c r="N85">
        <v>852.05</v>
      </c>
      <c r="O85">
        <v>898.8</v>
      </c>
      <c r="P85" s="9">
        <v>46148.402303240742</v>
      </c>
    </row>
    <row r="86" spans="1:16" x14ac:dyDescent="0.25">
      <c r="A86" t="s">
        <v>7</v>
      </c>
      <c r="B86" s="4">
        <v>46154</v>
      </c>
      <c r="C86" t="s">
        <v>554</v>
      </c>
      <c r="D86">
        <v>23250</v>
      </c>
      <c r="E86" t="s">
        <v>27</v>
      </c>
      <c r="F86">
        <v>13.25</v>
      </c>
      <c r="G86">
        <v>5560230</v>
      </c>
      <c r="H86">
        <v>803140</v>
      </c>
      <c r="I86">
        <v>864630</v>
      </c>
      <c r="J86">
        <v>549900</v>
      </c>
      <c r="K86">
        <v>11.3</v>
      </c>
      <c r="L86">
        <v>14.5</v>
      </c>
      <c r="M86">
        <v>8</v>
      </c>
      <c r="N86">
        <v>20.45</v>
      </c>
      <c r="O86">
        <v>13.3</v>
      </c>
      <c r="P86" s="9">
        <v>46148.455335648148</v>
      </c>
    </row>
    <row r="87" spans="1:16" x14ac:dyDescent="0.25">
      <c r="A87" t="s">
        <v>7</v>
      </c>
      <c r="B87" s="4">
        <v>46154</v>
      </c>
      <c r="C87" t="s">
        <v>555</v>
      </c>
      <c r="D87">
        <v>23300</v>
      </c>
      <c r="E87" t="s">
        <v>26</v>
      </c>
      <c r="F87">
        <v>854</v>
      </c>
      <c r="G87">
        <v>3185</v>
      </c>
      <c r="H87">
        <v>18850</v>
      </c>
      <c r="I87">
        <v>19630</v>
      </c>
      <c r="J87">
        <v>18785</v>
      </c>
      <c r="K87">
        <v>941</v>
      </c>
      <c r="L87">
        <v>950</v>
      </c>
      <c r="M87">
        <v>854</v>
      </c>
      <c r="N87">
        <v>803.2</v>
      </c>
      <c r="O87">
        <v>851</v>
      </c>
      <c r="P87" s="9">
        <v>46148.453715277778</v>
      </c>
    </row>
    <row r="88" spans="1:16" x14ac:dyDescent="0.25">
      <c r="A88" t="s">
        <v>7</v>
      </c>
      <c r="B88" s="4">
        <v>46154</v>
      </c>
      <c r="C88" t="s">
        <v>556</v>
      </c>
      <c r="D88">
        <v>23300</v>
      </c>
      <c r="E88" t="s">
        <v>27</v>
      </c>
      <c r="F88">
        <v>15.55</v>
      </c>
      <c r="G88">
        <v>14627210</v>
      </c>
      <c r="H88">
        <v>2968095</v>
      </c>
      <c r="I88">
        <v>3376685</v>
      </c>
      <c r="J88">
        <v>1694420</v>
      </c>
      <c r="K88">
        <v>19.899999999999999</v>
      </c>
      <c r="L88">
        <v>19.899999999999999</v>
      </c>
      <c r="M88">
        <v>8.9</v>
      </c>
      <c r="N88">
        <v>24.2</v>
      </c>
      <c r="O88">
        <v>15.55</v>
      </c>
      <c r="P88" s="9">
        <v>46148.455347222225</v>
      </c>
    </row>
    <row r="89" spans="1:16" x14ac:dyDescent="0.25">
      <c r="A89" t="s">
        <v>7</v>
      </c>
      <c r="B89" s="4">
        <v>46154</v>
      </c>
      <c r="C89" t="s">
        <v>557</v>
      </c>
      <c r="D89">
        <v>23350</v>
      </c>
      <c r="E89" t="s">
        <v>26</v>
      </c>
      <c r="F89">
        <v>815.25</v>
      </c>
      <c r="G89">
        <v>910</v>
      </c>
      <c r="H89">
        <v>1625</v>
      </c>
      <c r="I89">
        <v>1950</v>
      </c>
      <c r="J89">
        <v>1625</v>
      </c>
      <c r="K89">
        <v>885.15</v>
      </c>
      <c r="L89">
        <v>896.6</v>
      </c>
      <c r="M89">
        <v>815.2</v>
      </c>
      <c r="N89">
        <v>761.2</v>
      </c>
      <c r="O89">
        <v>803.65</v>
      </c>
      <c r="P89" s="9">
        <v>46148.453819444447</v>
      </c>
    </row>
    <row r="90" spans="1:16" x14ac:dyDescent="0.25">
      <c r="A90" t="s">
        <v>7</v>
      </c>
      <c r="B90" s="4">
        <v>46154</v>
      </c>
      <c r="C90" t="s">
        <v>558</v>
      </c>
      <c r="D90">
        <v>23350</v>
      </c>
      <c r="E90" t="s">
        <v>27</v>
      </c>
      <c r="F90">
        <v>18.2</v>
      </c>
      <c r="G90">
        <v>5680740</v>
      </c>
      <c r="H90">
        <v>607750</v>
      </c>
      <c r="I90">
        <v>615030</v>
      </c>
      <c r="J90">
        <v>364130</v>
      </c>
      <c r="K90">
        <v>20</v>
      </c>
      <c r="L90">
        <v>20</v>
      </c>
      <c r="M90">
        <v>10.050000000000001</v>
      </c>
      <c r="N90">
        <v>27.55</v>
      </c>
      <c r="O90">
        <v>18.2</v>
      </c>
      <c r="P90" s="9">
        <v>46148.455347222225</v>
      </c>
    </row>
    <row r="91" spans="1:16" x14ac:dyDescent="0.25">
      <c r="A91" t="s">
        <v>7</v>
      </c>
      <c r="B91" s="4">
        <v>46154</v>
      </c>
      <c r="C91" t="s">
        <v>559</v>
      </c>
      <c r="D91">
        <v>23400</v>
      </c>
      <c r="E91" t="s">
        <v>26</v>
      </c>
      <c r="F91">
        <v>756</v>
      </c>
      <c r="G91">
        <v>11895</v>
      </c>
      <c r="H91">
        <v>21385</v>
      </c>
      <c r="I91">
        <v>21385</v>
      </c>
      <c r="J91">
        <v>20475</v>
      </c>
      <c r="K91">
        <v>879</v>
      </c>
      <c r="L91">
        <v>879</v>
      </c>
      <c r="M91">
        <v>754.9</v>
      </c>
      <c r="N91">
        <v>703.65</v>
      </c>
      <c r="O91">
        <v>758.6</v>
      </c>
      <c r="P91" s="9">
        <v>46148.454687500001</v>
      </c>
    </row>
    <row r="92" spans="1:16" x14ac:dyDescent="0.25">
      <c r="A92" t="s">
        <v>7</v>
      </c>
      <c r="B92" s="4">
        <v>46154</v>
      </c>
      <c r="C92" t="s">
        <v>560</v>
      </c>
      <c r="D92">
        <v>23400</v>
      </c>
      <c r="E92" t="s">
        <v>27</v>
      </c>
      <c r="F92">
        <v>21.35</v>
      </c>
      <c r="G92">
        <v>10445045</v>
      </c>
      <c r="H92">
        <v>2244580</v>
      </c>
      <c r="I92">
        <v>2256475</v>
      </c>
      <c r="J92">
        <v>1322035</v>
      </c>
      <c r="K92">
        <v>17.899999999999999</v>
      </c>
      <c r="L92">
        <v>22.85</v>
      </c>
      <c r="M92">
        <v>11.25</v>
      </c>
      <c r="N92">
        <v>31.85</v>
      </c>
      <c r="O92">
        <v>21.3</v>
      </c>
      <c r="P92" s="9">
        <v>46148.455370370371</v>
      </c>
    </row>
    <row r="93" spans="1:16" x14ac:dyDescent="0.25">
      <c r="A93" t="s">
        <v>7</v>
      </c>
      <c r="B93" s="4">
        <v>46154</v>
      </c>
      <c r="C93" t="s">
        <v>561</v>
      </c>
      <c r="D93">
        <v>23450</v>
      </c>
      <c r="E93" t="s">
        <v>26</v>
      </c>
      <c r="F93">
        <v>742.95</v>
      </c>
      <c r="G93">
        <v>2795</v>
      </c>
      <c r="H93">
        <v>2405</v>
      </c>
      <c r="I93">
        <v>2990</v>
      </c>
      <c r="J93">
        <v>2405</v>
      </c>
      <c r="K93">
        <v>809.6</v>
      </c>
      <c r="L93">
        <v>809.6</v>
      </c>
      <c r="M93">
        <v>712.7</v>
      </c>
      <c r="N93">
        <v>643.85</v>
      </c>
      <c r="O93">
        <v>710.9</v>
      </c>
      <c r="P93" s="9">
        <v>46148.445520833331</v>
      </c>
    </row>
    <row r="94" spans="1:16" x14ac:dyDescent="0.25">
      <c r="A94" t="s">
        <v>7</v>
      </c>
      <c r="B94" s="4">
        <v>46154</v>
      </c>
      <c r="C94" t="s">
        <v>562</v>
      </c>
      <c r="D94">
        <v>23450</v>
      </c>
      <c r="E94" t="s">
        <v>27</v>
      </c>
      <c r="F94">
        <v>25.1</v>
      </c>
      <c r="G94">
        <v>6053515</v>
      </c>
      <c r="H94">
        <v>671190</v>
      </c>
      <c r="I94">
        <v>711555</v>
      </c>
      <c r="J94">
        <v>349505</v>
      </c>
      <c r="K94">
        <v>21.1</v>
      </c>
      <c r="L94">
        <v>26.55</v>
      </c>
      <c r="M94">
        <v>13.15</v>
      </c>
      <c r="N94">
        <v>36.950000000000003</v>
      </c>
      <c r="O94">
        <v>25.1</v>
      </c>
      <c r="P94" s="9">
        <v>46148.455347222225</v>
      </c>
    </row>
    <row r="95" spans="1:16" x14ac:dyDescent="0.25">
      <c r="A95" t="s">
        <v>7</v>
      </c>
      <c r="B95" s="4">
        <v>46154</v>
      </c>
      <c r="C95" t="s">
        <v>563</v>
      </c>
      <c r="D95">
        <v>23500</v>
      </c>
      <c r="E95" t="s">
        <v>26</v>
      </c>
      <c r="F95">
        <v>672.45</v>
      </c>
      <c r="G95">
        <v>323505</v>
      </c>
      <c r="H95">
        <v>656370</v>
      </c>
      <c r="I95">
        <v>664170</v>
      </c>
      <c r="J95">
        <v>643045</v>
      </c>
      <c r="K95">
        <v>790</v>
      </c>
      <c r="L95">
        <v>809.55</v>
      </c>
      <c r="M95">
        <v>660.4</v>
      </c>
      <c r="N95">
        <v>620.15</v>
      </c>
      <c r="O95">
        <v>668.65</v>
      </c>
      <c r="P95" s="9">
        <v>46148.455277777779</v>
      </c>
    </row>
    <row r="96" spans="1:16" x14ac:dyDescent="0.25">
      <c r="A96" t="s">
        <v>7</v>
      </c>
      <c r="B96" s="4">
        <v>46154</v>
      </c>
      <c r="C96" t="s">
        <v>564</v>
      </c>
      <c r="D96">
        <v>23500</v>
      </c>
      <c r="E96" t="s">
        <v>27</v>
      </c>
      <c r="F96">
        <v>29.55</v>
      </c>
      <c r="G96">
        <v>22413040</v>
      </c>
      <c r="H96">
        <v>4196075</v>
      </c>
      <c r="I96">
        <v>4196075</v>
      </c>
      <c r="J96">
        <v>3298490</v>
      </c>
      <c r="K96">
        <v>24.8</v>
      </c>
      <c r="L96">
        <v>31.05</v>
      </c>
      <c r="M96">
        <v>15.25</v>
      </c>
      <c r="N96">
        <v>43.25</v>
      </c>
      <c r="O96">
        <v>29.4</v>
      </c>
      <c r="P96" s="9">
        <v>46148.455370370371</v>
      </c>
    </row>
    <row r="97" spans="1:16" x14ac:dyDescent="0.25">
      <c r="A97" t="s">
        <v>7</v>
      </c>
      <c r="B97" s="4">
        <v>46154</v>
      </c>
      <c r="C97" t="s">
        <v>565</v>
      </c>
      <c r="D97">
        <v>23550</v>
      </c>
      <c r="E97" t="s">
        <v>26</v>
      </c>
      <c r="F97">
        <v>623</v>
      </c>
      <c r="G97">
        <v>12545</v>
      </c>
      <c r="H97">
        <v>11245</v>
      </c>
      <c r="I97">
        <v>11245</v>
      </c>
      <c r="J97">
        <v>9360</v>
      </c>
      <c r="K97">
        <v>719.15</v>
      </c>
      <c r="L97">
        <v>733.85</v>
      </c>
      <c r="M97">
        <v>623</v>
      </c>
      <c r="N97">
        <v>563.65</v>
      </c>
      <c r="O97">
        <v>621</v>
      </c>
      <c r="P97" s="9">
        <v>46148.454502314817</v>
      </c>
    </row>
    <row r="98" spans="1:16" x14ac:dyDescent="0.25">
      <c r="A98" t="s">
        <v>7</v>
      </c>
      <c r="B98" s="4">
        <v>46154</v>
      </c>
      <c r="C98" t="s">
        <v>566</v>
      </c>
      <c r="D98">
        <v>23550</v>
      </c>
      <c r="E98" t="s">
        <v>27</v>
      </c>
      <c r="F98">
        <v>34.75</v>
      </c>
      <c r="G98">
        <v>7188805</v>
      </c>
      <c r="H98">
        <v>714675</v>
      </c>
      <c r="I98">
        <v>793780</v>
      </c>
      <c r="J98">
        <v>599495</v>
      </c>
      <c r="K98">
        <v>33.799999999999997</v>
      </c>
      <c r="L98">
        <v>36.299999999999997</v>
      </c>
      <c r="M98">
        <v>17.399999999999999</v>
      </c>
      <c r="N98">
        <v>50.3</v>
      </c>
      <c r="O98">
        <v>34.700000000000003</v>
      </c>
      <c r="P98" s="9">
        <v>46148.455358796295</v>
      </c>
    </row>
    <row r="99" spans="1:16" x14ac:dyDescent="0.25">
      <c r="A99" t="s">
        <v>7</v>
      </c>
      <c r="B99" s="4">
        <v>46154</v>
      </c>
      <c r="C99" t="s">
        <v>567</v>
      </c>
      <c r="D99">
        <v>23600</v>
      </c>
      <c r="E99" t="s">
        <v>26</v>
      </c>
      <c r="F99">
        <v>583.45000000000005</v>
      </c>
      <c r="G99">
        <v>118300</v>
      </c>
      <c r="H99">
        <v>89765</v>
      </c>
      <c r="I99">
        <v>89765</v>
      </c>
      <c r="J99">
        <v>70200</v>
      </c>
      <c r="K99">
        <v>595</v>
      </c>
      <c r="L99">
        <v>715.8</v>
      </c>
      <c r="M99">
        <v>572.35</v>
      </c>
      <c r="N99">
        <v>530.54999999999995</v>
      </c>
      <c r="O99">
        <v>580.1</v>
      </c>
      <c r="P99" s="9">
        <v>46148.455335648148</v>
      </c>
    </row>
    <row r="100" spans="1:16" x14ac:dyDescent="0.25">
      <c r="A100" t="s">
        <v>7</v>
      </c>
      <c r="B100" s="4">
        <v>46154</v>
      </c>
      <c r="C100" t="s">
        <v>568</v>
      </c>
      <c r="D100">
        <v>23600</v>
      </c>
      <c r="E100" t="s">
        <v>27</v>
      </c>
      <c r="F100">
        <v>40.75</v>
      </c>
      <c r="G100">
        <v>14064440</v>
      </c>
      <c r="H100">
        <v>2293265</v>
      </c>
      <c r="I100">
        <v>2293265</v>
      </c>
      <c r="J100">
        <v>1706575</v>
      </c>
      <c r="K100">
        <v>38</v>
      </c>
      <c r="L100">
        <v>42.35</v>
      </c>
      <c r="M100">
        <v>21.1</v>
      </c>
      <c r="N100">
        <v>58.2</v>
      </c>
      <c r="O100">
        <v>40.75</v>
      </c>
      <c r="P100" s="9">
        <v>46148.455370370371</v>
      </c>
    </row>
    <row r="101" spans="1:16" x14ac:dyDescent="0.25">
      <c r="A101" t="s">
        <v>7</v>
      </c>
      <c r="B101" s="4">
        <v>46154</v>
      </c>
      <c r="C101" t="s">
        <v>569</v>
      </c>
      <c r="D101">
        <v>23650</v>
      </c>
      <c r="E101" t="s">
        <v>26</v>
      </c>
      <c r="F101">
        <v>542.1</v>
      </c>
      <c r="G101">
        <v>36010</v>
      </c>
      <c r="H101">
        <v>25740</v>
      </c>
      <c r="I101">
        <v>27105</v>
      </c>
      <c r="J101">
        <v>25740</v>
      </c>
      <c r="K101">
        <v>635.6</v>
      </c>
      <c r="L101">
        <v>646.20000000000005</v>
      </c>
      <c r="M101">
        <v>532.75</v>
      </c>
      <c r="N101">
        <v>488.5</v>
      </c>
      <c r="O101">
        <v>536.95000000000005</v>
      </c>
      <c r="P101" s="9">
        <v>46148.45521990741</v>
      </c>
    </row>
    <row r="102" spans="1:16" x14ac:dyDescent="0.25">
      <c r="A102" t="s">
        <v>7</v>
      </c>
      <c r="B102" s="4">
        <v>46154</v>
      </c>
      <c r="C102" t="s">
        <v>570</v>
      </c>
      <c r="D102">
        <v>23650</v>
      </c>
      <c r="E102" t="s">
        <v>27</v>
      </c>
      <c r="F102">
        <v>47.9</v>
      </c>
      <c r="G102">
        <v>7431775</v>
      </c>
      <c r="H102">
        <v>752895</v>
      </c>
      <c r="I102">
        <v>808665</v>
      </c>
      <c r="J102">
        <v>394550</v>
      </c>
      <c r="K102">
        <v>33.049999999999997</v>
      </c>
      <c r="L102">
        <v>49.9</v>
      </c>
      <c r="M102">
        <v>24.3</v>
      </c>
      <c r="N102">
        <v>67.599999999999994</v>
      </c>
      <c r="O102">
        <v>48</v>
      </c>
      <c r="P102" s="9">
        <v>46148.455347222225</v>
      </c>
    </row>
    <row r="103" spans="1:16" x14ac:dyDescent="0.25">
      <c r="A103" t="s">
        <v>7</v>
      </c>
      <c r="B103" s="4">
        <v>46154</v>
      </c>
      <c r="C103" t="s">
        <v>571</v>
      </c>
      <c r="D103">
        <v>23700</v>
      </c>
      <c r="E103" t="s">
        <v>26</v>
      </c>
      <c r="F103">
        <v>497.75</v>
      </c>
      <c r="G103">
        <v>350545</v>
      </c>
      <c r="H103">
        <v>253890</v>
      </c>
      <c r="I103">
        <v>253890</v>
      </c>
      <c r="J103">
        <v>214955</v>
      </c>
      <c r="K103">
        <v>550</v>
      </c>
      <c r="L103">
        <v>623.9</v>
      </c>
      <c r="M103">
        <v>488.35</v>
      </c>
      <c r="N103">
        <v>452.95</v>
      </c>
      <c r="O103">
        <v>495.45</v>
      </c>
      <c r="P103" s="9">
        <v>46148.455335648148</v>
      </c>
    </row>
    <row r="104" spans="1:16" x14ac:dyDescent="0.25">
      <c r="A104" t="s">
        <v>7</v>
      </c>
      <c r="B104" s="4">
        <v>46154</v>
      </c>
      <c r="C104" t="s">
        <v>572</v>
      </c>
      <c r="D104">
        <v>23700</v>
      </c>
      <c r="E104" t="s">
        <v>27</v>
      </c>
      <c r="F104">
        <v>56.1</v>
      </c>
      <c r="G104">
        <v>17894630</v>
      </c>
      <c r="H104">
        <v>3195335</v>
      </c>
      <c r="I104">
        <v>3415230</v>
      </c>
      <c r="J104">
        <v>2203110</v>
      </c>
      <c r="K104">
        <v>45</v>
      </c>
      <c r="L104">
        <v>58.2</v>
      </c>
      <c r="M104">
        <v>28.95</v>
      </c>
      <c r="N104">
        <v>77.900000000000006</v>
      </c>
      <c r="O104">
        <v>56.15</v>
      </c>
      <c r="P104" s="9">
        <v>46148.455358796295</v>
      </c>
    </row>
    <row r="105" spans="1:16" x14ac:dyDescent="0.25">
      <c r="A105" t="s">
        <v>7</v>
      </c>
      <c r="B105" s="4">
        <v>46154</v>
      </c>
      <c r="C105" t="s">
        <v>573</v>
      </c>
      <c r="D105">
        <v>23750</v>
      </c>
      <c r="E105" t="s">
        <v>26</v>
      </c>
      <c r="F105">
        <v>456.7</v>
      </c>
      <c r="G105">
        <v>200720</v>
      </c>
      <c r="H105">
        <v>63440</v>
      </c>
      <c r="I105">
        <v>66170</v>
      </c>
      <c r="J105">
        <v>40885</v>
      </c>
      <c r="K105">
        <v>563.15</v>
      </c>
      <c r="L105">
        <v>568.70000000000005</v>
      </c>
      <c r="M105">
        <v>450</v>
      </c>
      <c r="N105">
        <v>420.1</v>
      </c>
      <c r="O105">
        <v>455.2</v>
      </c>
      <c r="P105" s="9">
        <v>46148.455358796295</v>
      </c>
    </row>
    <row r="106" spans="1:16" x14ac:dyDescent="0.25">
      <c r="A106" t="s">
        <v>7</v>
      </c>
      <c r="B106" s="4">
        <v>46154</v>
      </c>
      <c r="C106" t="s">
        <v>574</v>
      </c>
      <c r="D106">
        <v>23750</v>
      </c>
      <c r="E106" t="s">
        <v>27</v>
      </c>
      <c r="F106">
        <v>65.8</v>
      </c>
      <c r="G106">
        <v>8803080</v>
      </c>
      <c r="H106">
        <v>1192555</v>
      </c>
      <c r="I106">
        <v>1206790</v>
      </c>
      <c r="J106">
        <v>427440</v>
      </c>
      <c r="K106">
        <v>49.9</v>
      </c>
      <c r="L106">
        <v>68</v>
      </c>
      <c r="M106">
        <v>34.549999999999997</v>
      </c>
      <c r="N106">
        <v>88.8</v>
      </c>
      <c r="O106">
        <v>65.599999999999994</v>
      </c>
      <c r="P106" s="9">
        <v>46148.455370370371</v>
      </c>
    </row>
    <row r="107" spans="1:16" x14ac:dyDescent="0.25">
      <c r="A107" t="s">
        <v>7</v>
      </c>
      <c r="B107" s="4">
        <v>46154</v>
      </c>
      <c r="C107" t="s">
        <v>575</v>
      </c>
      <c r="D107">
        <v>23800</v>
      </c>
      <c r="E107" t="s">
        <v>26</v>
      </c>
      <c r="F107">
        <v>417.8</v>
      </c>
      <c r="G107">
        <v>1339130</v>
      </c>
      <c r="H107">
        <v>589290</v>
      </c>
      <c r="I107">
        <v>605540</v>
      </c>
      <c r="J107">
        <v>470860</v>
      </c>
      <c r="K107">
        <v>489</v>
      </c>
      <c r="L107">
        <v>537.9</v>
      </c>
      <c r="M107">
        <v>410</v>
      </c>
      <c r="N107">
        <v>379.5</v>
      </c>
      <c r="O107">
        <v>416.55</v>
      </c>
      <c r="P107" s="9">
        <v>46148.455347222225</v>
      </c>
    </row>
    <row r="108" spans="1:16" x14ac:dyDescent="0.25">
      <c r="A108" t="s">
        <v>7</v>
      </c>
      <c r="B108" s="4">
        <v>46154</v>
      </c>
      <c r="C108" t="s">
        <v>576</v>
      </c>
      <c r="D108">
        <v>23800</v>
      </c>
      <c r="E108" t="s">
        <v>27</v>
      </c>
      <c r="F108">
        <v>76.45</v>
      </c>
      <c r="G108">
        <v>22594260</v>
      </c>
      <c r="H108">
        <v>4683770</v>
      </c>
      <c r="I108">
        <v>4847570</v>
      </c>
      <c r="J108">
        <v>1764100</v>
      </c>
      <c r="K108">
        <v>64.5</v>
      </c>
      <c r="L108">
        <v>79</v>
      </c>
      <c r="M108">
        <v>40.950000000000003</v>
      </c>
      <c r="N108">
        <v>103.55</v>
      </c>
      <c r="O108">
        <v>76.400000000000006</v>
      </c>
      <c r="P108" s="9">
        <v>46148.455358796295</v>
      </c>
    </row>
    <row r="109" spans="1:16" x14ac:dyDescent="0.25">
      <c r="A109" t="s">
        <v>7</v>
      </c>
      <c r="B109" s="4">
        <v>46154</v>
      </c>
      <c r="C109" t="s">
        <v>577</v>
      </c>
      <c r="D109">
        <v>23850</v>
      </c>
      <c r="E109" t="s">
        <v>26</v>
      </c>
      <c r="F109">
        <v>380</v>
      </c>
      <c r="G109">
        <v>276315</v>
      </c>
      <c r="H109">
        <v>100360</v>
      </c>
      <c r="I109">
        <v>101140</v>
      </c>
      <c r="J109">
        <v>73905</v>
      </c>
      <c r="K109">
        <v>456.35</v>
      </c>
      <c r="L109">
        <v>492.7</v>
      </c>
      <c r="M109">
        <v>372.3</v>
      </c>
      <c r="N109">
        <v>344.15</v>
      </c>
      <c r="O109">
        <v>379.15</v>
      </c>
      <c r="P109" s="9">
        <v>46148.455347222225</v>
      </c>
    </row>
    <row r="110" spans="1:16" x14ac:dyDescent="0.25">
      <c r="A110" t="s">
        <v>7</v>
      </c>
      <c r="B110" s="4">
        <v>46154</v>
      </c>
      <c r="C110" t="s">
        <v>578</v>
      </c>
      <c r="D110">
        <v>23850</v>
      </c>
      <c r="E110" t="s">
        <v>27</v>
      </c>
      <c r="F110">
        <v>88.95</v>
      </c>
      <c r="G110">
        <v>10164765</v>
      </c>
      <c r="H110">
        <v>1108315</v>
      </c>
      <c r="I110">
        <v>1179425</v>
      </c>
      <c r="J110">
        <v>559455</v>
      </c>
      <c r="K110">
        <v>83.75</v>
      </c>
      <c r="L110">
        <v>92</v>
      </c>
      <c r="M110">
        <v>48.05</v>
      </c>
      <c r="N110">
        <v>116.45</v>
      </c>
      <c r="O110">
        <v>88.7</v>
      </c>
      <c r="P110" s="9">
        <v>46148.455370370371</v>
      </c>
    </row>
    <row r="111" spans="1:16" x14ac:dyDescent="0.25">
      <c r="A111" t="s">
        <v>7</v>
      </c>
      <c r="B111" s="4">
        <v>46154</v>
      </c>
      <c r="C111" t="s">
        <v>579</v>
      </c>
      <c r="D111">
        <v>23900</v>
      </c>
      <c r="E111" t="s">
        <v>26</v>
      </c>
      <c r="F111">
        <v>343.75</v>
      </c>
      <c r="G111">
        <v>2381080</v>
      </c>
      <c r="H111">
        <v>734630</v>
      </c>
      <c r="I111">
        <v>734630</v>
      </c>
      <c r="J111">
        <v>558675</v>
      </c>
      <c r="K111">
        <v>412</v>
      </c>
      <c r="L111">
        <v>453.2</v>
      </c>
      <c r="M111">
        <v>335</v>
      </c>
      <c r="N111">
        <v>312</v>
      </c>
      <c r="O111">
        <v>343.1</v>
      </c>
      <c r="P111" s="9">
        <v>46148.455370370371</v>
      </c>
    </row>
    <row r="112" spans="1:16" x14ac:dyDescent="0.25">
      <c r="A112" t="s">
        <v>7</v>
      </c>
      <c r="B112" s="4">
        <v>46154</v>
      </c>
      <c r="C112" t="s">
        <v>580</v>
      </c>
      <c r="D112">
        <v>23900</v>
      </c>
      <c r="E112" t="s">
        <v>27</v>
      </c>
      <c r="F112">
        <v>102.9</v>
      </c>
      <c r="G112">
        <v>29669120</v>
      </c>
      <c r="H112">
        <v>3258905</v>
      </c>
      <c r="I112">
        <v>4914455</v>
      </c>
      <c r="J112">
        <v>1795300</v>
      </c>
      <c r="K112">
        <v>90</v>
      </c>
      <c r="L112">
        <v>106.75</v>
      </c>
      <c r="M112">
        <v>56.5</v>
      </c>
      <c r="N112">
        <v>135.30000000000001</v>
      </c>
      <c r="O112">
        <v>102.9</v>
      </c>
      <c r="P112" s="9">
        <v>46148.455370370371</v>
      </c>
    </row>
    <row r="113" spans="1:16" x14ac:dyDescent="0.25">
      <c r="A113" t="s">
        <v>7</v>
      </c>
      <c r="B113" s="4">
        <v>46154</v>
      </c>
      <c r="C113" t="s">
        <v>581</v>
      </c>
      <c r="D113">
        <v>23950</v>
      </c>
      <c r="E113" t="s">
        <v>26</v>
      </c>
      <c r="F113">
        <v>308.8</v>
      </c>
      <c r="G113">
        <v>1510470</v>
      </c>
      <c r="H113">
        <v>366080</v>
      </c>
      <c r="I113">
        <v>366080</v>
      </c>
      <c r="J113">
        <v>250705</v>
      </c>
      <c r="K113">
        <v>384.95</v>
      </c>
      <c r="L113">
        <v>413</v>
      </c>
      <c r="M113">
        <v>303.10000000000002</v>
      </c>
      <c r="N113">
        <v>280.64999999999998</v>
      </c>
      <c r="O113">
        <v>309.05</v>
      </c>
      <c r="P113" s="9">
        <v>46148.455358796295</v>
      </c>
    </row>
    <row r="114" spans="1:16" x14ac:dyDescent="0.25">
      <c r="A114" t="s">
        <v>7</v>
      </c>
      <c r="B114" s="4">
        <v>46154</v>
      </c>
      <c r="C114" t="s">
        <v>582</v>
      </c>
      <c r="D114">
        <v>23950</v>
      </c>
      <c r="E114" t="s">
        <v>27</v>
      </c>
      <c r="F114">
        <v>118.45</v>
      </c>
      <c r="G114">
        <v>14818375</v>
      </c>
      <c r="H114">
        <v>1458600</v>
      </c>
      <c r="I114">
        <v>1603420</v>
      </c>
      <c r="J114">
        <v>675220</v>
      </c>
      <c r="K114">
        <v>106.95</v>
      </c>
      <c r="L114">
        <v>122.95</v>
      </c>
      <c r="M114">
        <v>66.25</v>
      </c>
      <c r="N114">
        <v>153.30000000000001</v>
      </c>
      <c r="O114">
        <v>118.5</v>
      </c>
      <c r="P114" s="9">
        <v>46148.455370370371</v>
      </c>
    </row>
    <row r="115" spans="1:16" x14ac:dyDescent="0.25">
      <c r="A115" t="s">
        <v>7</v>
      </c>
      <c r="B115" s="4">
        <v>46154</v>
      </c>
      <c r="C115" t="s">
        <v>583</v>
      </c>
      <c r="D115">
        <v>24000</v>
      </c>
      <c r="E115" t="s">
        <v>26</v>
      </c>
      <c r="F115">
        <v>277.35000000000002</v>
      </c>
      <c r="G115">
        <v>15868905</v>
      </c>
      <c r="H115">
        <v>4452955</v>
      </c>
      <c r="I115">
        <v>4452955</v>
      </c>
      <c r="J115">
        <v>3684070</v>
      </c>
      <c r="K115">
        <v>315</v>
      </c>
      <c r="L115">
        <v>373.45</v>
      </c>
      <c r="M115">
        <v>271.14999999999998</v>
      </c>
      <c r="N115">
        <v>248.1</v>
      </c>
      <c r="O115">
        <v>276.7</v>
      </c>
      <c r="P115" s="9">
        <v>46148.455358796295</v>
      </c>
    </row>
    <row r="116" spans="1:16" x14ac:dyDescent="0.25">
      <c r="A116" t="s">
        <v>7</v>
      </c>
      <c r="B116" s="4">
        <v>46154</v>
      </c>
      <c r="C116" t="s">
        <v>584</v>
      </c>
      <c r="D116">
        <v>24000</v>
      </c>
      <c r="E116" t="s">
        <v>27</v>
      </c>
      <c r="F116">
        <v>136.55000000000001</v>
      </c>
      <c r="G116">
        <v>45031935</v>
      </c>
      <c r="H116">
        <v>6203600</v>
      </c>
      <c r="I116">
        <v>6347575</v>
      </c>
      <c r="J116">
        <v>4380090</v>
      </c>
      <c r="K116">
        <v>113</v>
      </c>
      <c r="L116">
        <v>140.80000000000001</v>
      </c>
      <c r="M116">
        <v>78.099999999999994</v>
      </c>
      <c r="N116">
        <v>175.45</v>
      </c>
      <c r="O116">
        <v>136.6</v>
      </c>
      <c r="P116" s="9">
        <v>46148.455358796295</v>
      </c>
    </row>
    <row r="117" spans="1:16" x14ac:dyDescent="0.25">
      <c r="A117" t="s">
        <v>7</v>
      </c>
      <c r="B117" s="4">
        <v>46154</v>
      </c>
      <c r="C117" t="s">
        <v>585</v>
      </c>
      <c r="D117">
        <v>24050</v>
      </c>
      <c r="E117" t="s">
        <v>26</v>
      </c>
      <c r="F117">
        <v>246.85</v>
      </c>
      <c r="G117">
        <v>6545695</v>
      </c>
      <c r="H117">
        <v>1129830</v>
      </c>
      <c r="I117">
        <v>1129830</v>
      </c>
      <c r="J117">
        <v>703885</v>
      </c>
      <c r="K117">
        <v>297.39999999999998</v>
      </c>
      <c r="L117">
        <v>339.25</v>
      </c>
      <c r="M117">
        <v>241</v>
      </c>
      <c r="N117">
        <v>223.5</v>
      </c>
      <c r="O117">
        <v>246.6</v>
      </c>
      <c r="P117" s="9">
        <v>46148.455358796295</v>
      </c>
    </row>
    <row r="118" spans="1:16" x14ac:dyDescent="0.25">
      <c r="A118" t="s">
        <v>7</v>
      </c>
      <c r="B118" s="4">
        <v>46154</v>
      </c>
      <c r="C118" t="s">
        <v>586</v>
      </c>
      <c r="D118">
        <v>24050</v>
      </c>
      <c r="E118" t="s">
        <v>27</v>
      </c>
      <c r="F118">
        <v>156.30000000000001</v>
      </c>
      <c r="G118">
        <v>19847490</v>
      </c>
      <c r="H118">
        <v>1627210</v>
      </c>
      <c r="I118">
        <v>1696435</v>
      </c>
      <c r="J118">
        <v>868595</v>
      </c>
      <c r="K118">
        <v>109</v>
      </c>
      <c r="L118">
        <v>161</v>
      </c>
      <c r="M118">
        <v>90.75</v>
      </c>
      <c r="N118">
        <v>194.5</v>
      </c>
      <c r="O118">
        <v>156.19999999999999</v>
      </c>
      <c r="P118" s="9">
        <v>46148.455358796295</v>
      </c>
    </row>
    <row r="119" spans="1:16" x14ac:dyDescent="0.25">
      <c r="A119" t="s">
        <v>7</v>
      </c>
      <c r="B119" s="4">
        <v>46154</v>
      </c>
      <c r="C119" t="s">
        <v>587</v>
      </c>
      <c r="D119">
        <v>24100</v>
      </c>
      <c r="E119" t="s">
        <v>26</v>
      </c>
      <c r="F119">
        <v>219.05</v>
      </c>
      <c r="G119">
        <v>34021585</v>
      </c>
      <c r="H119">
        <v>5487365</v>
      </c>
      <c r="I119">
        <v>5487365</v>
      </c>
      <c r="J119">
        <v>2241720</v>
      </c>
      <c r="K119">
        <v>248</v>
      </c>
      <c r="L119">
        <v>302.89999999999998</v>
      </c>
      <c r="M119">
        <v>213.6</v>
      </c>
      <c r="N119">
        <v>197</v>
      </c>
      <c r="O119">
        <v>218.75</v>
      </c>
      <c r="P119" s="9">
        <v>46148.455370370371</v>
      </c>
    </row>
    <row r="120" spans="1:16" x14ac:dyDescent="0.25">
      <c r="A120" t="s">
        <v>7</v>
      </c>
      <c r="B120" s="4">
        <v>46154</v>
      </c>
      <c r="C120" t="s">
        <v>588</v>
      </c>
      <c r="D120">
        <v>24100</v>
      </c>
      <c r="E120" t="s">
        <v>27</v>
      </c>
      <c r="F120">
        <v>177.65</v>
      </c>
      <c r="G120">
        <v>54344355</v>
      </c>
      <c r="H120">
        <v>4972175</v>
      </c>
      <c r="I120">
        <v>5319275</v>
      </c>
      <c r="J120">
        <v>1780220</v>
      </c>
      <c r="K120">
        <v>126</v>
      </c>
      <c r="L120">
        <v>183</v>
      </c>
      <c r="M120">
        <v>105.95</v>
      </c>
      <c r="N120">
        <v>217.25</v>
      </c>
      <c r="O120">
        <v>177.55</v>
      </c>
      <c r="P120" s="9">
        <v>46148.455370370371</v>
      </c>
    </row>
    <row r="121" spans="1:16" x14ac:dyDescent="0.25">
      <c r="A121" t="s">
        <v>7</v>
      </c>
      <c r="B121" s="4">
        <v>46154</v>
      </c>
      <c r="C121" t="s">
        <v>589</v>
      </c>
      <c r="D121">
        <v>24150</v>
      </c>
      <c r="E121" t="s">
        <v>26</v>
      </c>
      <c r="F121">
        <v>192.75</v>
      </c>
      <c r="G121">
        <v>38158770</v>
      </c>
      <c r="H121">
        <v>4604990</v>
      </c>
      <c r="I121">
        <v>4788355</v>
      </c>
      <c r="J121">
        <v>593125</v>
      </c>
      <c r="K121">
        <v>230</v>
      </c>
      <c r="L121">
        <v>269.64999999999998</v>
      </c>
      <c r="M121">
        <v>187.25</v>
      </c>
      <c r="N121">
        <v>173.85</v>
      </c>
      <c r="O121">
        <v>192.15</v>
      </c>
      <c r="P121" s="9">
        <v>46148.455358796295</v>
      </c>
    </row>
    <row r="122" spans="1:16" x14ac:dyDescent="0.25">
      <c r="A122" t="s">
        <v>7</v>
      </c>
      <c r="B122" s="4">
        <v>46154</v>
      </c>
      <c r="C122" t="s">
        <v>590</v>
      </c>
      <c r="D122">
        <v>24150</v>
      </c>
      <c r="E122" t="s">
        <v>27</v>
      </c>
      <c r="F122">
        <v>201.35</v>
      </c>
      <c r="G122">
        <v>50959935</v>
      </c>
      <c r="H122">
        <v>2587195</v>
      </c>
      <c r="I122">
        <v>3028025</v>
      </c>
      <c r="J122">
        <v>286000</v>
      </c>
      <c r="K122">
        <v>144</v>
      </c>
      <c r="L122">
        <v>206.9</v>
      </c>
      <c r="M122">
        <v>114.9</v>
      </c>
      <c r="N122">
        <v>241.6</v>
      </c>
      <c r="O122">
        <v>201.35</v>
      </c>
      <c r="P122" s="9">
        <v>46148.455358796295</v>
      </c>
    </row>
    <row r="123" spans="1:16" x14ac:dyDescent="0.25">
      <c r="A123" t="s">
        <v>7</v>
      </c>
      <c r="B123" s="4">
        <v>46154</v>
      </c>
      <c r="C123" t="s">
        <v>591</v>
      </c>
      <c r="D123">
        <v>24200</v>
      </c>
      <c r="E123" t="s">
        <v>26</v>
      </c>
      <c r="F123">
        <v>168.4</v>
      </c>
      <c r="G123">
        <v>70595395</v>
      </c>
      <c r="H123">
        <v>12555205</v>
      </c>
      <c r="I123">
        <v>12603305</v>
      </c>
      <c r="J123">
        <v>3107780</v>
      </c>
      <c r="K123">
        <v>200</v>
      </c>
      <c r="L123">
        <v>238.3</v>
      </c>
      <c r="M123">
        <v>164.1</v>
      </c>
      <c r="N123">
        <v>151.05000000000001</v>
      </c>
      <c r="O123">
        <v>168</v>
      </c>
      <c r="P123" s="9">
        <v>46148.455358796295</v>
      </c>
    </row>
    <row r="124" spans="1:16" x14ac:dyDescent="0.25">
      <c r="A124" t="s">
        <v>7</v>
      </c>
      <c r="B124" s="4">
        <v>46154</v>
      </c>
      <c r="C124" t="s">
        <v>592</v>
      </c>
      <c r="D124">
        <v>24200</v>
      </c>
      <c r="E124" t="s">
        <v>27</v>
      </c>
      <c r="F124">
        <v>227</v>
      </c>
      <c r="G124">
        <v>64974260</v>
      </c>
      <c r="H124">
        <v>4884100</v>
      </c>
      <c r="I124">
        <v>5380180</v>
      </c>
      <c r="J124">
        <v>1467570</v>
      </c>
      <c r="K124">
        <v>153</v>
      </c>
      <c r="L124">
        <v>233</v>
      </c>
      <c r="M124">
        <v>140.25</v>
      </c>
      <c r="N124">
        <v>272.85000000000002</v>
      </c>
      <c r="O124">
        <v>227.1</v>
      </c>
      <c r="P124" s="9">
        <v>46148.455358796295</v>
      </c>
    </row>
    <row r="125" spans="1:16" x14ac:dyDescent="0.25">
      <c r="A125" t="s">
        <v>7</v>
      </c>
      <c r="B125" s="4">
        <v>46154</v>
      </c>
      <c r="C125" t="s">
        <v>593</v>
      </c>
      <c r="D125">
        <v>24250</v>
      </c>
      <c r="E125" t="s">
        <v>26</v>
      </c>
      <c r="F125">
        <v>145.94999999999999</v>
      </c>
      <c r="G125">
        <v>28054390</v>
      </c>
      <c r="H125">
        <v>4012645</v>
      </c>
      <c r="I125">
        <v>4012645</v>
      </c>
      <c r="J125">
        <v>574405</v>
      </c>
      <c r="K125">
        <v>166.65</v>
      </c>
      <c r="L125">
        <v>209.4</v>
      </c>
      <c r="M125">
        <v>142.25</v>
      </c>
      <c r="N125">
        <v>130.1</v>
      </c>
      <c r="O125">
        <v>145.6</v>
      </c>
      <c r="P125" s="9">
        <v>46148.455370370371</v>
      </c>
    </row>
    <row r="126" spans="1:16" x14ac:dyDescent="0.25">
      <c r="A126" t="s">
        <v>7</v>
      </c>
      <c r="B126" s="4">
        <v>46154</v>
      </c>
      <c r="C126" t="s">
        <v>594</v>
      </c>
      <c r="D126">
        <v>24250</v>
      </c>
      <c r="E126" t="s">
        <v>27</v>
      </c>
      <c r="F126">
        <v>254.85</v>
      </c>
      <c r="G126">
        <v>16670160</v>
      </c>
      <c r="H126">
        <v>920790</v>
      </c>
      <c r="I126">
        <v>1387685</v>
      </c>
      <c r="J126">
        <v>123565</v>
      </c>
      <c r="K126">
        <v>226.4</v>
      </c>
      <c r="L126">
        <v>261.3</v>
      </c>
      <c r="M126">
        <v>162.55000000000001</v>
      </c>
      <c r="N126">
        <v>300.3</v>
      </c>
      <c r="O126">
        <v>254.5</v>
      </c>
      <c r="P126" s="9">
        <v>46148.455370370371</v>
      </c>
    </row>
    <row r="127" spans="1:16" x14ac:dyDescent="0.25">
      <c r="A127" t="s">
        <v>7</v>
      </c>
      <c r="B127" s="4">
        <v>46154</v>
      </c>
      <c r="C127" t="s">
        <v>595</v>
      </c>
      <c r="D127">
        <v>24300</v>
      </c>
      <c r="E127" t="s">
        <v>26</v>
      </c>
      <c r="F127">
        <v>125.75</v>
      </c>
      <c r="G127">
        <v>36882950</v>
      </c>
      <c r="H127">
        <v>7222345</v>
      </c>
      <c r="I127">
        <v>7289035</v>
      </c>
      <c r="J127">
        <v>3046420</v>
      </c>
      <c r="K127">
        <v>146.65</v>
      </c>
      <c r="L127">
        <v>182.2</v>
      </c>
      <c r="M127">
        <v>122.45</v>
      </c>
      <c r="N127">
        <v>111.65</v>
      </c>
      <c r="O127">
        <v>125.5</v>
      </c>
      <c r="P127" s="9">
        <v>46148.455370370371</v>
      </c>
    </row>
    <row r="128" spans="1:16" x14ac:dyDescent="0.25">
      <c r="A128" t="s">
        <v>7</v>
      </c>
      <c r="B128" s="4">
        <v>46154</v>
      </c>
      <c r="C128" t="s">
        <v>596</v>
      </c>
      <c r="D128">
        <v>24300</v>
      </c>
      <c r="E128" t="s">
        <v>27</v>
      </c>
      <c r="F128">
        <v>284.64999999999998</v>
      </c>
      <c r="G128">
        <v>15748785</v>
      </c>
      <c r="H128">
        <v>2024230</v>
      </c>
      <c r="I128">
        <v>2464540</v>
      </c>
      <c r="J128">
        <v>873600</v>
      </c>
      <c r="K128">
        <v>253.95</v>
      </c>
      <c r="L128">
        <v>291.45</v>
      </c>
      <c r="M128">
        <v>185.95</v>
      </c>
      <c r="N128">
        <v>333.65</v>
      </c>
      <c r="O128">
        <v>284.2</v>
      </c>
      <c r="P128" s="9">
        <v>46148.455370370371</v>
      </c>
    </row>
    <row r="129" spans="1:16" x14ac:dyDescent="0.25">
      <c r="A129" t="s">
        <v>7</v>
      </c>
      <c r="B129" s="4">
        <v>46154</v>
      </c>
      <c r="C129" t="s">
        <v>597</v>
      </c>
      <c r="D129">
        <v>24350</v>
      </c>
      <c r="E129" t="s">
        <v>26</v>
      </c>
      <c r="F129">
        <v>107.45</v>
      </c>
      <c r="G129">
        <v>14684605</v>
      </c>
      <c r="H129">
        <v>2215720</v>
      </c>
      <c r="I129">
        <v>2215720</v>
      </c>
      <c r="J129">
        <v>466960</v>
      </c>
      <c r="K129">
        <v>126.7</v>
      </c>
      <c r="L129">
        <v>157.44999999999999</v>
      </c>
      <c r="M129">
        <v>104.7</v>
      </c>
      <c r="N129">
        <v>97.1</v>
      </c>
      <c r="O129">
        <v>107.2</v>
      </c>
      <c r="P129" s="9">
        <v>46148.455358796295</v>
      </c>
    </row>
    <row r="130" spans="1:16" x14ac:dyDescent="0.25">
      <c r="A130" t="s">
        <v>7</v>
      </c>
      <c r="B130" s="4">
        <v>46154</v>
      </c>
      <c r="C130" t="s">
        <v>598</v>
      </c>
      <c r="D130">
        <v>24350</v>
      </c>
      <c r="E130" t="s">
        <v>27</v>
      </c>
      <c r="F130">
        <v>317</v>
      </c>
      <c r="G130">
        <v>3076970</v>
      </c>
      <c r="H130">
        <v>336310</v>
      </c>
      <c r="I130">
        <v>400140</v>
      </c>
      <c r="J130">
        <v>138970</v>
      </c>
      <c r="K130">
        <v>241</v>
      </c>
      <c r="L130">
        <v>323.45</v>
      </c>
      <c r="M130">
        <v>199.5</v>
      </c>
      <c r="N130">
        <v>365.25</v>
      </c>
      <c r="O130">
        <v>316.14999999999998</v>
      </c>
      <c r="P130" s="9">
        <v>46148.455358796295</v>
      </c>
    </row>
    <row r="131" spans="1:16" x14ac:dyDescent="0.25">
      <c r="A131" t="s">
        <v>7</v>
      </c>
      <c r="B131" s="4">
        <v>46154</v>
      </c>
      <c r="C131" t="s">
        <v>599</v>
      </c>
      <c r="D131">
        <v>24400</v>
      </c>
      <c r="E131" t="s">
        <v>26</v>
      </c>
      <c r="F131">
        <v>91.6</v>
      </c>
      <c r="G131">
        <v>22774570</v>
      </c>
      <c r="H131">
        <v>4935970</v>
      </c>
      <c r="I131">
        <v>4935970</v>
      </c>
      <c r="J131">
        <v>2210845</v>
      </c>
      <c r="K131">
        <v>105.5</v>
      </c>
      <c r="L131">
        <v>135.55000000000001</v>
      </c>
      <c r="M131">
        <v>89.05</v>
      </c>
      <c r="N131">
        <v>81.45</v>
      </c>
      <c r="O131">
        <v>91.3</v>
      </c>
      <c r="P131" s="9">
        <v>46148.455358796295</v>
      </c>
    </row>
    <row r="132" spans="1:16" x14ac:dyDescent="0.25">
      <c r="A132" t="s">
        <v>7</v>
      </c>
      <c r="B132" s="4">
        <v>46154</v>
      </c>
      <c r="C132" t="s">
        <v>600</v>
      </c>
      <c r="D132">
        <v>24400</v>
      </c>
      <c r="E132" t="s">
        <v>27</v>
      </c>
      <c r="F132">
        <v>349.7</v>
      </c>
      <c r="G132">
        <v>3842540</v>
      </c>
      <c r="H132">
        <v>717600</v>
      </c>
      <c r="I132">
        <v>736515</v>
      </c>
      <c r="J132">
        <v>411255</v>
      </c>
      <c r="K132">
        <v>270</v>
      </c>
      <c r="L132">
        <v>357.85</v>
      </c>
      <c r="M132">
        <v>239.95</v>
      </c>
      <c r="N132">
        <v>402.55</v>
      </c>
      <c r="O132">
        <v>349.75</v>
      </c>
      <c r="P132" s="9">
        <v>46148.455347222225</v>
      </c>
    </row>
    <row r="133" spans="1:16" x14ac:dyDescent="0.25">
      <c r="A133" t="s">
        <v>7</v>
      </c>
      <c r="B133" s="4">
        <v>46154</v>
      </c>
      <c r="C133" t="s">
        <v>601</v>
      </c>
      <c r="D133">
        <v>24450</v>
      </c>
      <c r="E133" t="s">
        <v>26</v>
      </c>
      <c r="F133">
        <v>77.2</v>
      </c>
      <c r="G133">
        <v>12847965</v>
      </c>
      <c r="H133">
        <v>1853540</v>
      </c>
      <c r="I133">
        <v>1853540</v>
      </c>
      <c r="J133">
        <v>452270</v>
      </c>
      <c r="K133">
        <v>72.25</v>
      </c>
      <c r="L133">
        <v>115.15</v>
      </c>
      <c r="M133">
        <v>72.25</v>
      </c>
      <c r="N133">
        <v>68.5</v>
      </c>
      <c r="O133">
        <v>77</v>
      </c>
      <c r="P133" s="9">
        <v>46148.455370370371</v>
      </c>
    </row>
    <row r="134" spans="1:16" x14ac:dyDescent="0.25">
      <c r="A134" t="s">
        <v>7</v>
      </c>
      <c r="B134" s="4">
        <v>46154</v>
      </c>
      <c r="C134" t="s">
        <v>602</v>
      </c>
      <c r="D134">
        <v>24450</v>
      </c>
      <c r="E134" t="s">
        <v>27</v>
      </c>
      <c r="F134">
        <v>383</v>
      </c>
      <c r="G134">
        <v>638820</v>
      </c>
      <c r="H134">
        <v>93795</v>
      </c>
      <c r="I134">
        <v>95745</v>
      </c>
      <c r="J134">
        <v>30550</v>
      </c>
      <c r="K134">
        <v>324</v>
      </c>
      <c r="L134">
        <v>393.65</v>
      </c>
      <c r="M134">
        <v>270.55</v>
      </c>
      <c r="N134">
        <v>440.25</v>
      </c>
      <c r="O134">
        <v>385.05</v>
      </c>
      <c r="P134" s="9">
        <v>46148.455324074072</v>
      </c>
    </row>
    <row r="135" spans="1:16" x14ac:dyDescent="0.25">
      <c r="A135" t="s">
        <v>7</v>
      </c>
      <c r="B135" s="4">
        <v>46154</v>
      </c>
      <c r="C135" t="s">
        <v>603</v>
      </c>
      <c r="D135">
        <v>24500</v>
      </c>
      <c r="E135" t="s">
        <v>26</v>
      </c>
      <c r="F135">
        <v>64.849999999999994</v>
      </c>
      <c r="G135">
        <v>35009585</v>
      </c>
      <c r="H135">
        <v>8265920</v>
      </c>
      <c r="I135">
        <v>8265920</v>
      </c>
      <c r="J135">
        <v>4915495</v>
      </c>
      <c r="K135">
        <v>81</v>
      </c>
      <c r="L135">
        <v>97.85</v>
      </c>
      <c r="M135">
        <v>63.05</v>
      </c>
      <c r="N135">
        <v>57.75</v>
      </c>
      <c r="O135">
        <v>64.7</v>
      </c>
      <c r="P135" s="9">
        <v>46148.455358796295</v>
      </c>
    </row>
    <row r="136" spans="1:16" x14ac:dyDescent="0.25">
      <c r="A136" t="s">
        <v>7</v>
      </c>
      <c r="B136" s="4">
        <v>46154</v>
      </c>
      <c r="C136" t="s">
        <v>604</v>
      </c>
      <c r="D136">
        <v>24500</v>
      </c>
      <c r="E136" t="s">
        <v>27</v>
      </c>
      <c r="F136">
        <v>423.3</v>
      </c>
      <c r="G136">
        <v>2309060</v>
      </c>
      <c r="H136">
        <v>845390</v>
      </c>
      <c r="I136">
        <v>888225</v>
      </c>
      <c r="J136">
        <v>670670</v>
      </c>
      <c r="K136">
        <v>330</v>
      </c>
      <c r="L136">
        <v>432.2</v>
      </c>
      <c r="M136">
        <v>301.25</v>
      </c>
      <c r="N136">
        <v>481.1</v>
      </c>
      <c r="O136">
        <v>422.5</v>
      </c>
      <c r="P136" s="9">
        <v>46148.455335648148</v>
      </c>
    </row>
    <row r="137" spans="1:16" x14ac:dyDescent="0.25">
      <c r="A137" t="s">
        <v>7</v>
      </c>
      <c r="B137" s="4">
        <v>46154</v>
      </c>
      <c r="C137" t="s">
        <v>605</v>
      </c>
      <c r="D137">
        <v>24550</v>
      </c>
      <c r="E137" t="s">
        <v>26</v>
      </c>
      <c r="F137">
        <v>54.05</v>
      </c>
      <c r="G137">
        <v>8791445</v>
      </c>
      <c r="H137">
        <v>1599520</v>
      </c>
      <c r="I137">
        <v>1599520</v>
      </c>
      <c r="J137">
        <v>654940</v>
      </c>
      <c r="K137">
        <v>75</v>
      </c>
      <c r="L137">
        <v>81.849999999999994</v>
      </c>
      <c r="M137">
        <v>52.7</v>
      </c>
      <c r="N137">
        <v>47.95</v>
      </c>
      <c r="O137">
        <v>54</v>
      </c>
      <c r="P137" s="9">
        <v>46148.455370370371</v>
      </c>
    </row>
    <row r="138" spans="1:16" x14ac:dyDescent="0.25">
      <c r="A138" t="s">
        <v>7</v>
      </c>
      <c r="B138" s="4">
        <v>46154</v>
      </c>
      <c r="C138" t="s">
        <v>606</v>
      </c>
      <c r="D138">
        <v>24550</v>
      </c>
      <c r="E138" t="s">
        <v>27</v>
      </c>
      <c r="F138">
        <v>457.4</v>
      </c>
      <c r="G138">
        <v>205335</v>
      </c>
      <c r="H138">
        <v>53170</v>
      </c>
      <c r="I138">
        <v>55250</v>
      </c>
      <c r="J138">
        <v>22165</v>
      </c>
      <c r="K138">
        <v>352.35</v>
      </c>
      <c r="L138">
        <v>469.55</v>
      </c>
      <c r="M138">
        <v>346.5</v>
      </c>
      <c r="N138">
        <v>526.85</v>
      </c>
      <c r="O138">
        <v>461.35</v>
      </c>
      <c r="P138" s="9">
        <v>46148.455243055556</v>
      </c>
    </row>
    <row r="139" spans="1:16" x14ac:dyDescent="0.25">
      <c r="A139" t="s">
        <v>7</v>
      </c>
      <c r="B139" s="4">
        <v>46154</v>
      </c>
      <c r="C139" t="s">
        <v>607</v>
      </c>
      <c r="D139">
        <v>24600</v>
      </c>
      <c r="E139" t="s">
        <v>26</v>
      </c>
      <c r="F139">
        <v>44.7</v>
      </c>
      <c r="G139">
        <v>15203630</v>
      </c>
      <c r="H139">
        <v>3532945</v>
      </c>
      <c r="I139">
        <v>3666845</v>
      </c>
      <c r="J139">
        <v>2227225</v>
      </c>
      <c r="K139">
        <v>54</v>
      </c>
      <c r="L139">
        <v>67.599999999999994</v>
      </c>
      <c r="M139">
        <v>43.6</v>
      </c>
      <c r="N139">
        <v>39.65</v>
      </c>
      <c r="O139">
        <v>44.7</v>
      </c>
      <c r="P139" s="9">
        <v>46148.455370370371</v>
      </c>
    </row>
    <row r="140" spans="1:16" x14ac:dyDescent="0.25">
      <c r="A140" t="s">
        <v>7</v>
      </c>
      <c r="B140" s="4">
        <v>46154</v>
      </c>
      <c r="C140" t="s">
        <v>608</v>
      </c>
      <c r="D140">
        <v>24600</v>
      </c>
      <c r="E140" t="s">
        <v>27</v>
      </c>
      <c r="F140">
        <v>498.2</v>
      </c>
      <c r="G140">
        <v>401245</v>
      </c>
      <c r="H140">
        <v>203060</v>
      </c>
      <c r="I140">
        <v>203060</v>
      </c>
      <c r="J140">
        <v>136955</v>
      </c>
      <c r="K140">
        <v>530.4</v>
      </c>
      <c r="L140">
        <v>530.4</v>
      </c>
      <c r="M140">
        <v>377</v>
      </c>
      <c r="N140">
        <v>559.20000000000005</v>
      </c>
      <c r="O140">
        <v>502.2</v>
      </c>
      <c r="P140" s="9">
        <v>46148.455254629633</v>
      </c>
    </row>
    <row r="141" spans="1:16" x14ac:dyDescent="0.25">
      <c r="A141" t="s">
        <v>7</v>
      </c>
      <c r="B141" s="4">
        <v>46154</v>
      </c>
      <c r="C141" t="s">
        <v>609</v>
      </c>
      <c r="D141">
        <v>24650</v>
      </c>
      <c r="E141" t="s">
        <v>26</v>
      </c>
      <c r="F141">
        <v>37.1</v>
      </c>
      <c r="G141">
        <v>7628465</v>
      </c>
      <c r="H141">
        <v>1562080</v>
      </c>
      <c r="I141">
        <v>1562080</v>
      </c>
      <c r="J141">
        <v>713375</v>
      </c>
      <c r="K141">
        <v>40</v>
      </c>
      <c r="L141">
        <v>56.45</v>
      </c>
      <c r="M141">
        <v>36</v>
      </c>
      <c r="N141">
        <v>33.75</v>
      </c>
      <c r="O141">
        <v>36.950000000000003</v>
      </c>
      <c r="P141" s="9">
        <v>46148.455370370371</v>
      </c>
    </row>
    <row r="142" spans="1:16" x14ac:dyDescent="0.25">
      <c r="A142" t="s">
        <v>7</v>
      </c>
      <c r="B142" s="4">
        <v>46154</v>
      </c>
      <c r="C142" t="s">
        <v>610</v>
      </c>
      <c r="D142">
        <v>24650</v>
      </c>
      <c r="E142" t="s">
        <v>27</v>
      </c>
      <c r="F142">
        <v>544.20000000000005</v>
      </c>
      <c r="G142">
        <v>110630</v>
      </c>
      <c r="H142">
        <v>23920</v>
      </c>
      <c r="I142">
        <v>24440</v>
      </c>
      <c r="J142">
        <v>6500</v>
      </c>
      <c r="K142">
        <v>424.05</v>
      </c>
      <c r="L142">
        <v>552.85</v>
      </c>
      <c r="M142">
        <v>422.5</v>
      </c>
      <c r="N142">
        <v>619.9</v>
      </c>
      <c r="O142">
        <v>545.25</v>
      </c>
      <c r="P142" s="9">
        <v>46148.455277777779</v>
      </c>
    </row>
    <row r="143" spans="1:16" x14ac:dyDescent="0.25">
      <c r="A143" t="s">
        <v>7</v>
      </c>
      <c r="B143" s="4">
        <v>46154</v>
      </c>
      <c r="C143" t="s">
        <v>611</v>
      </c>
      <c r="D143">
        <v>24700</v>
      </c>
      <c r="E143" t="s">
        <v>26</v>
      </c>
      <c r="F143">
        <v>30.45</v>
      </c>
      <c r="G143">
        <v>13309140</v>
      </c>
      <c r="H143">
        <v>3525210</v>
      </c>
      <c r="I143">
        <v>3525210</v>
      </c>
      <c r="J143">
        <v>1945125</v>
      </c>
      <c r="K143">
        <v>31.85</v>
      </c>
      <c r="L143">
        <v>45.9</v>
      </c>
      <c r="M143">
        <v>29.55</v>
      </c>
      <c r="N143">
        <v>27.1</v>
      </c>
      <c r="O143">
        <v>30.35</v>
      </c>
      <c r="P143" s="9">
        <v>46148.455358796295</v>
      </c>
    </row>
    <row r="144" spans="1:16" x14ac:dyDescent="0.25">
      <c r="A144" t="s">
        <v>7</v>
      </c>
      <c r="B144" s="4">
        <v>46154</v>
      </c>
      <c r="C144" t="s">
        <v>612</v>
      </c>
      <c r="D144">
        <v>24700</v>
      </c>
      <c r="E144" t="s">
        <v>27</v>
      </c>
      <c r="F144">
        <v>584.1</v>
      </c>
      <c r="G144">
        <v>234845</v>
      </c>
      <c r="H144">
        <v>112905</v>
      </c>
      <c r="I144">
        <v>116155</v>
      </c>
      <c r="J144">
        <v>60775</v>
      </c>
      <c r="K144">
        <v>511.2</v>
      </c>
      <c r="L144">
        <v>596.95000000000005</v>
      </c>
      <c r="M144">
        <v>451.45</v>
      </c>
      <c r="N144">
        <v>646.85</v>
      </c>
      <c r="O144">
        <v>587.75</v>
      </c>
      <c r="P144" s="9">
        <v>46148.455138888887</v>
      </c>
    </row>
    <row r="145" spans="1:16" x14ac:dyDescent="0.25">
      <c r="A145" t="s">
        <v>7</v>
      </c>
      <c r="B145" s="4">
        <v>46154</v>
      </c>
      <c r="C145" t="s">
        <v>613</v>
      </c>
      <c r="D145">
        <v>24750</v>
      </c>
      <c r="E145" t="s">
        <v>26</v>
      </c>
      <c r="F145">
        <v>25</v>
      </c>
      <c r="G145">
        <v>6369415</v>
      </c>
      <c r="H145">
        <v>1133340</v>
      </c>
      <c r="I145">
        <v>1187420</v>
      </c>
      <c r="J145">
        <v>653835</v>
      </c>
      <c r="K145">
        <v>24.25</v>
      </c>
      <c r="L145">
        <v>37.700000000000003</v>
      </c>
      <c r="M145">
        <v>23.75</v>
      </c>
      <c r="N145">
        <v>22.5</v>
      </c>
      <c r="O145">
        <v>24.9</v>
      </c>
      <c r="P145" s="9">
        <v>46148.455358796295</v>
      </c>
    </row>
    <row r="146" spans="1:16" x14ac:dyDescent="0.25">
      <c r="A146" t="s">
        <v>7</v>
      </c>
      <c r="B146" s="4">
        <v>46154</v>
      </c>
      <c r="C146" t="s">
        <v>614</v>
      </c>
      <c r="D146">
        <v>24750</v>
      </c>
      <c r="E146" t="s">
        <v>27</v>
      </c>
      <c r="F146">
        <v>627.75</v>
      </c>
      <c r="G146">
        <v>45045</v>
      </c>
      <c r="H146">
        <v>28015</v>
      </c>
      <c r="I146">
        <v>28015</v>
      </c>
      <c r="J146">
        <v>8450</v>
      </c>
      <c r="K146">
        <v>521.29999999999995</v>
      </c>
      <c r="L146">
        <v>639.95000000000005</v>
      </c>
      <c r="M146">
        <v>521.29999999999995</v>
      </c>
      <c r="N146">
        <v>681.9</v>
      </c>
      <c r="O146">
        <v>631.75</v>
      </c>
      <c r="P146" s="9">
        <v>46148.455057870371</v>
      </c>
    </row>
    <row r="147" spans="1:16" x14ac:dyDescent="0.25">
      <c r="A147" t="s">
        <v>7</v>
      </c>
      <c r="B147" s="4">
        <v>46154</v>
      </c>
      <c r="C147" t="s">
        <v>615</v>
      </c>
      <c r="D147">
        <v>24800</v>
      </c>
      <c r="E147" t="s">
        <v>26</v>
      </c>
      <c r="F147">
        <v>20.350000000000001</v>
      </c>
      <c r="G147">
        <v>13499850</v>
      </c>
      <c r="H147">
        <v>4306900</v>
      </c>
      <c r="I147">
        <v>4306900</v>
      </c>
      <c r="J147">
        <v>2596555</v>
      </c>
      <c r="K147">
        <v>18.2</v>
      </c>
      <c r="L147">
        <v>30.2</v>
      </c>
      <c r="M147">
        <v>18.2</v>
      </c>
      <c r="N147">
        <v>18.100000000000001</v>
      </c>
      <c r="O147">
        <v>20.350000000000001</v>
      </c>
      <c r="P147" s="9">
        <v>46148.455370370371</v>
      </c>
    </row>
    <row r="148" spans="1:16" x14ac:dyDescent="0.25">
      <c r="A148" t="s">
        <v>7</v>
      </c>
      <c r="B148" s="4">
        <v>46154</v>
      </c>
      <c r="C148" t="s">
        <v>616</v>
      </c>
      <c r="D148">
        <v>24800</v>
      </c>
      <c r="E148" t="s">
        <v>27</v>
      </c>
      <c r="F148">
        <v>674.2</v>
      </c>
      <c r="G148">
        <v>118495</v>
      </c>
      <c r="H148">
        <v>176085</v>
      </c>
      <c r="I148">
        <v>177125</v>
      </c>
      <c r="J148">
        <v>124735</v>
      </c>
      <c r="K148">
        <v>551.1</v>
      </c>
      <c r="L148">
        <v>685</v>
      </c>
      <c r="M148">
        <v>538.79999999999995</v>
      </c>
      <c r="N148">
        <v>733.2</v>
      </c>
      <c r="O148">
        <v>676.75</v>
      </c>
      <c r="P148" s="9">
        <v>46148.455231481479</v>
      </c>
    </row>
    <row r="149" spans="1:16" x14ac:dyDescent="0.25">
      <c r="A149" t="s">
        <v>7</v>
      </c>
      <c r="B149" s="4">
        <v>46154</v>
      </c>
      <c r="C149" t="s">
        <v>617</v>
      </c>
      <c r="D149">
        <v>24850</v>
      </c>
      <c r="E149" t="s">
        <v>26</v>
      </c>
      <c r="F149">
        <v>16.75</v>
      </c>
      <c r="G149">
        <v>5212740</v>
      </c>
      <c r="H149">
        <v>1051440</v>
      </c>
      <c r="I149">
        <v>1099540</v>
      </c>
      <c r="J149">
        <v>448435</v>
      </c>
      <c r="K149">
        <v>14.9</v>
      </c>
      <c r="L149">
        <v>24.7</v>
      </c>
      <c r="M149">
        <v>14.9</v>
      </c>
      <c r="N149">
        <v>14.9</v>
      </c>
      <c r="O149">
        <v>16.7</v>
      </c>
      <c r="P149" s="9">
        <v>46148.455370370371</v>
      </c>
    </row>
    <row r="150" spans="1:16" x14ac:dyDescent="0.25">
      <c r="A150" t="s">
        <v>7</v>
      </c>
      <c r="B150" s="4">
        <v>46154</v>
      </c>
      <c r="C150" t="s">
        <v>618</v>
      </c>
      <c r="D150">
        <v>24850</v>
      </c>
      <c r="E150" t="s">
        <v>27</v>
      </c>
      <c r="F150">
        <v>723.9</v>
      </c>
      <c r="G150">
        <v>5395</v>
      </c>
      <c r="H150">
        <v>4485</v>
      </c>
      <c r="I150">
        <v>4485</v>
      </c>
      <c r="J150">
        <v>1690</v>
      </c>
      <c r="K150">
        <v>621</v>
      </c>
      <c r="L150">
        <v>724.2</v>
      </c>
      <c r="M150">
        <v>616.45000000000005</v>
      </c>
      <c r="N150">
        <v>772.65</v>
      </c>
      <c r="O150">
        <v>721.1</v>
      </c>
      <c r="P150" s="9">
        <v>46148.455023148148</v>
      </c>
    </row>
    <row r="151" spans="1:16" x14ac:dyDescent="0.25">
      <c r="A151" t="s">
        <v>7</v>
      </c>
      <c r="B151" s="4">
        <v>46154</v>
      </c>
      <c r="C151" t="s">
        <v>619</v>
      </c>
      <c r="D151">
        <v>24900</v>
      </c>
      <c r="E151" t="s">
        <v>26</v>
      </c>
      <c r="F151">
        <v>13.7</v>
      </c>
      <c r="G151">
        <v>9406735</v>
      </c>
      <c r="H151">
        <v>3318705</v>
      </c>
      <c r="I151">
        <v>3318705</v>
      </c>
      <c r="J151">
        <v>2210520</v>
      </c>
      <c r="K151">
        <v>13</v>
      </c>
      <c r="L151">
        <v>19.55</v>
      </c>
      <c r="M151">
        <v>12.8</v>
      </c>
      <c r="N151">
        <v>11.95</v>
      </c>
      <c r="O151">
        <v>13.6</v>
      </c>
      <c r="P151" s="9">
        <v>46148.455370370371</v>
      </c>
    </row>
    <row r="152" spans="1:16" x14ac:dyDescent="0.25">
      <c r="A152" t="s">
        <v>7</v>
      </c>
      <c r="B152" s="4">
        <v>46154</v>
      </c>
      <c r="C152" t="s">
        <v>620</v>
      </c>
      <c r="D152">
        <v>24900</v>
      </c>
      <c r="E152" t="s">
        <v>27</v>
      </c>
      <c r="F152">
        <v>770.5</v>
      </c>
      <c r="G152">
        <v>12480</v>
      </c>
      <c r="H152">
        <v>34710</v>
      </c>
      <c r="I152">
        <v>34710</v>
      </c>
      <c r="J152">
        <v>32500</v>
      </c>
      <c r="K152">
        <v>639.70000000000005</v>
      </c>
      <c r="L152">
        <v>775.3</v>
      </c>
      <c r="M152">
        <v>634.85</v>
      </c>
      <c r="N152">
        <v>838.2</v>
      </c>
      <c r="O152">
        <v>768.4</v>
      </c>
      <c r="P152" s="9">
        <v>46148.455023148148</v>
      </c>
    </row>
    <row r="153" spans="1:16" x14ac:dyDescent="0.25">
      <c r="A153" t="s">
        <v>7</v>
      </c>
      <c r="B153" s="4">
        <v>46154</v>
      </c>
      <c r="C153" t="s">
        <v>621</v>
      </c>
      <c r="D153">
        <v>24950</v>
      </c>
      <c r="E153" t="s">
        <v>26</v>
      </c>
      <c r="F153">
        <v>11.25</v>
      </c>
      <c r="G153">
        <v>3716375</v>
      </c>
      <c r="H153">
        <v>866190</v>
      </c>
      <c r="I153">
        <v>900250</v>
      </c>
      <c r="J153">
        <v>533390</v>
      </c>
      <c r="K153">
        <v>15</v>
      </c>
      <c r="L153">
        <v>16.100000000000001</v>
      </c>
      <c r="M153">
        <v>10.45</v>
      </c>
      <c r="N153">
        <v>10.050000000000001</v>
      </c>
      <c r="O153">
        <v>11.25</v>
      </c>
      <c r="P153" s="9">
        <v>46148.455347222225</v>
      </c>
    </row>
    <row r="154" spans="1:16" x14ac:dyDescent="0.25">
      <c r="A154" t="s">
        <v>7</v>
      </c>
      <c r="B154" s="4">
        <v>46154</v>
      </c>
      <c r="C154" t="s">
        <v>622</v>
      </c>
      <c r="D154">
        <v>24950</v>
      </c>
      <c r="E154" t="s">
        <v>27</v>
      </c>
      <c r="F154">
        <v>786.95</v>
      </c>
      <c r="G154">
        <v>1430</v>
      </c>
      <c r="H154">
        <v>1300</v>
      </c>
      <c r="I154">
        <v>1300</v>
      </c>
      <c r="J154">
        <v>845</v>
      </c>
      <c r="K154">
        <v>782.3</v>
      </c>
      <c r="L154">
        <v>804.1</v>
      </c>
      <c r="M154">
        <v>752</v>
      </c>
      <c r="N154">
        <v>863.55</v>
      </c>
      <c r="O154">
        <v>814.45</v>
      </c>
      <c r="P154" s="9">
        <v>46148.445520833331</v>
      </c>
    </row>
    <row r="155" spans="1:16" x14ac:dyDescent="0.25">
      <c r="A155" t="s">
        <v>7</v>
      </c>
      <c r="B155" s="4">
        <v>46154</v>
      </c>
      <c r="C155" t="s">
        <v>623</v>
      </c>
      <c r="D155">
        <v>25000</v>
      </c>
      <c r="E155" t="s">
        <v>26</v>
      </c>
      <c r="F155">
        <v>9.3000000000000007</v>
      </c>
      <c r="G155">
        <v>14881815</v>
      </c>
      <c r="H155">
        <v>6834295</v>
      </c>
      <c r="I155">
        <v>7051460</v>
      </c>
      <c r="J155">
        <v>4930705</v>
      </c>
      <c r="K155">
        <v>8</v>
      </c>
      <c r="L155">
        <v>12.8</v>
      </c>
      <c r="M155">
        <v>8</v>
      </c>
      <c r="N155">
        <v>8.1999999999999993</v>
      </c>
      <c r="O155">
        <v>9.3000000000000007</v>
      </c>
      <c r="P155" s="9">
        <v>46148.455370370371</v>
      </c>
    </row>
    <row r="156" spans="1:16" x14ac:dyDescent="0.25">
      <c r="A156" t="s">
        <v>7</v>
      </c>
      <c r="B156" s="4">
        <v>46154</v>
      </c>
      <c r="C156" t="s">
        <v>624</v>
      </c>
      <c r="D156">
        <v>25000</v>
      </c>
      <c r="E156" t="s">
        <v>27</v>
      </c>
      <c r="F156">
        <v>864.3</v>
      </c>
      <c r="G156">
        <v>117390</v>
      </c>
      <c r="H156">
        <v>551525</v>
      </c>
      <c r="I156">
        <v>568165</v>
      </c>
      <c r="J156">
        <v>550095</v>
      </c>
      <c r="K156">
        <v>791</v>
      </c>
      <c r="L156">
        <v>875</v>
      </c>
      <c r="M156">
        <v>716.1</v>
      </c>
      <c r="N156">
        <v>928</v>
      </c>
      <c r="O156">
        <v>865.15</v>
      </c>
      <c r="P156" s="9">
        <v>46148.455358796295</v>
      </c>
    </row>
    <row r="157" spans="1:16" x14ac:dyDescent="0.25">
      <c r="A157" t="s">
        <v>7</v>
      </c>
      <c r="B157" s="4">
        <v>46154</v>
      </c>
      <c r="C157" t="s">
        <v>625</v>
      </c>
      <c r="D157">
        <v>25050</v>
      </c>
      <c r="E157" t="s">
        <v>26</v>
      </c>
      <c r="F157">
        <v>7.85</v>
      </c>
      <c r="G157">
        <v>2600910</v>
      </c>
      <c r="H157">
        <v>699335</v>
      </c>
      <c r="I157">
        <v>716365</v>
      </c>
      <c r="J157">
        <v>369785</v>
      </c>
      <c r="K157">
        <v>8</v>
      </c>
      <c r="L157">
        <v>10.45</v>
      </c>
      <c r="M157">
        <v>7.55</v>
      </c>
      <c r="N157">
        <v>6.8</v>
      </c>
      <c r="O157">
        <v>7.75</v>
      </c>
      <c r="P157" s="9">
        <v>46148.455312500002</v>
      </c>
    </row>
    <row r="158" spans="1:16" x14ac:dyDescent="0.25">
      <c r="A158" t="s">
        <v>7</v>
      </c>
      <c r="B158" s="4">
        <v>46154</v>
      </c>
      <c r="C158" t="s">
        <v>626</v>
      </c>
      <c r="D158">
        <v>25050</v>
      </c>
      <c r="E158" t="s">
        <v>27</v>
      </c>
      <c r="F158">
        <v>954.1</v>
      </c>
      <c r="G158">
        <v>0</v>
      </c>
      <c r="H158">
        <v>1495</v>
      </c>
      <c r="I158">
        <v>1495</v>
      </c>
      <c r="J158">
        <v>1495</v>
      </c>
      <c r="K158">
        <v>0</v>
      </c>
      <c r="L158">
        <v>0</v>
      </c>
      <c r="M158">
        <v>0</v>
      </c>
      <c r="N158">
        <v>954.1</v>
      </c>
      <c r="O158">
        <v>907.25</v>
      </c>
      <c r="P158" s="9">
        <v>46147.643599537034</v>
      </c>
    </row>
    <row r="159" spans="1:16" x14ac:dyDescent="0.25">
      <c r="A159" t="s">
        <v>7</v>
      </c>
      <c r="B159" s="4">
        <v>46154</v>
      </c>
      <c r="C159" t="s">
        <v>627</v>
      </c>
      <c r="D159">
        <v>25100</v>
      </c>
      <c r="E159" t="s">
        <v>26</v>
      </c>
      <c r="F159">
        <v>6.45</v>
      </c>
      <c r="G159">
        <v>4665310</v>
      </c>
      <c r="H159">
        <v>1825915</v>
      </c>
      <c r="I159">
        <v>1829295</v>
      </c>
      <c r="J159">
        <v>1088620</v>
      </c>
      <c r="K159">
        <v>6.05</v>
      </c>
      <c r="L159">
        <v>8.4499999999999993</v>
      </c>
      <c r="M159">
        <v>5.9</v>
      </c>
      <c r="N159">
        <v>5.75</v>
      </c>
      <c r="O159">
        <v>6.45</v>
      </c>
      <c r="P159" s="9">
        <v>46148.455358796295</v>
      </c>
    </row>
    <row r="160" spans="1:16" x14ac:dyDescent="0.25">
      <c r="A160" t="s">
        <v>7</v>
      </c>
      <c r="B160" s="4">
        <v>46154</v>
      </c>
      <c r="C160" t="s">
        <v>628</v>
      </c>
      <c r="D160">
        <v>25100</v>
      </c>
      <c r="E160" t="s">
        <v>27</v>
      </c>
      <c r="F160">
        <v>962.4</v>
      </c>
      <c r="G160">
        <v>11440</v>
      </c>
      <c r="H160">
        <v>34840</v>
      </c>
      <c r="I160">
        <v>35035</v>
      </c>
      <c r="J160">
        <v>28535</v>
      </c>
      <c r="K160">
        <v>865.4</v>
      </c>
      <c r="L160">
        <v>970</v>
      </c>
      <c r="M160">
        <v>851.05</v>
      </c>
      <c r="N160">
        <v>1009.85</v>
      </c>
      <c r="O160">
        <v>959.8</v>
      </c>
      <c r="P160" s="9">
        <v>46148.455023148148</v>
      </c>
    </row>
    <row r="161" spans="1:16" x14ac:dyDescent="0.25">
      <c r="A161" t="s">
        <v>7</v>
      </c>
      <c r="B161" s="4">
        <v>46154</v>
      </c>
      <c r="C161" t="s">
        <v>629</v>
      </c>
      <c r="D161">
        <v>25150</v>
      </c>
      <c r="E161" t="s">
        <v>26</v>
      </c>
      <c r="F161">
        <v>5.5</v>
      </c>
      <c r="G161">
        <v>2458170</v>
      </c>
      <c r="H161">
        <v>593775</v>
      </c>
      <c r="I161">
        <v>601770</v>
      </c>
      <c r="J161">
        <v>332085</v>
      </c>
      <c r="K161">
        <v>4.8499999999999996</v>
      </c>
      <c r="L161">
        <v>6.85</v>
      </c>
      <c r="M161">
        <v>4.7</v>
      </c>
      <c r="N161">
        <v>4.8499999999999996</v>
      </c>
      <c r="O161">
        <v>5.5</v>
      </c>
      <c r="P161" s="9">
        <v>46148.455347222225</v>
      </c>
    </row>
    <row r="162" spans="1:16" x14ac:dyDescent="0.25">
      <c r="A162" t="s">
        <v>7</v>
      </c>
      <c r="B162" s="4">
        <v>46154</v>
      </c>
      <c r="C162" t="s">
        <v>630</v>
      </c>
      <c r="D162">
        <v>25150</v>
      </c>
      <c r="E162" t="s">
        <v>27</v>
      </c>
      <c r="F162">
        <v>980.55</v>
      </c>
      <c r="G162">
        <v>325</v>
      </c>
      <c r="H162">
        <v>325</v>
      </c>
      <c r="I162">
        <v>325</v>
      </c>
      <c r="J162">
        <v>260</v>
      </c>
      <c r="K162">
        <v>981.5</v>
      </c>
      <c r="L162">
        <v>985.1</v>
      </c>
      <c r="M162">
        <v>980.55</v>
      </c>
      <c r="N162">
        <v>1046.55</v>
      </c>
      <c r="O162">
        <v>1007.4</v>
      </c>
      <c r="P162" s="9">
        <v>46148.445520833331</v>
      </c>
    </row>
    <row r="163" spans="1:16" x14ac:dyDescent="0.25">
      <c r="A163" t="s">
        <v>7</v>
      </c>
      <c r="B163" s="4">
        <v>46154</v>
      </c>
      <c r="C163" t="s">
        <v>631</v>
      </c>
      <c r="D163">
        <v>25200</v>
      </c>
      <c r="E163" t="s">
        <v>26</v>
      </c>
      <c r="F163">
        <v>4.75</v>
      </c>
      <c r="G163">
        <v>9051640</v>
      </c>
      <c r="H163">
        <v>3693040</v>
      </c>
      <c r="I163">
        <v>3693040</v>
      </c>
      <c r="J163">
        <v>1790035</v>
      </c>
      <c r="K163">
        <v>3.45</v>
      </c>
      <c r="L163">
        <v>5.55</v>
      </c>
      <c r="M163">
        <v>3.45</v>
      </c>
      <c r="N163">
        <v>4.0999999999999996</v>
      </c>
      <c r="O163">
        <v>4.75</v>
      </c>
      <c r="P163" s="9">
        <v>46148.455370370371</v>
      </c>
    </row>
    <row r="164" spans="1:16" x14ac:dyDescent="0.25">
      <c r="A164" t="s">
        <v>7</v>
      </c>
      <c r="B164" s="4">
        <v>46154</v>
      </c>
      <c r="C164" t="s">
        <v>632</v>
      </c>
      <c r="D164">
        <v>25200</v>
      </c>
      <c r="E164" t="s">
        <v>27</v>
      </c>
      <c r="F164">
        <v>1040</v>
      </c>
      <c r="G164">
        <v>9490</v>
      </c>
      <c r="H164">
        <v>69160</v>
      </c>
      <c r="I164">
        <v>69160</v>
      </c>
      <c r="J164">
        <v>67535</v>
      </c>
      <c r="K164">
        <v>922.05</v>
      </c>
      <c r="L164">
        <v>1051.45</v>
      </c>
      <c r="M164">
        <v>922.05</v>
      </c>
      <c r="N164">
        <v>1106.6500000000001</v>
      </c>
      <c r="O164">
        <v>1058.05</v>
      </c>
      <c r="P164" s="9">
        <v>46148.452534722222</v>
      </c>
    </row>
    <row r="165" spans="1:16" x14ac:dyDescent="0.25">
      <c r="A165" t="s">
        <v>7</v>
      </c>
      <c r="B165" s="4">
        <v>46154</v>
      </c>
      <c r="C165" t="s">
        <v>633</v>
      </c>
      <c r="D165">
        <v>25250</v>
      </c>
      <c r="E165" t="s">
        <v>26</v>
      </c>
      <c r="F165">
        <v>4.0999999999999996</v>
      </c>
      <c r="G165">
        <v>2144805</v>
      </c>
      <c r="H165">
        <v>785200</v>
      </c>
      <c r="I165">
        <v>790985</v>
      </c>
      <c r="J165">
        <v>409500</v>
      </c>
      <c r="K165">
        <v>3.75</v>
      </c>
      <c r="L165">
        <v>4.6500000000000004</v>
      </c>
      <c r="M165">
        <v>3.6</v>
      </c>
      <c r="N165">
        <v>3.55</v>
      </c>
      <c r="O165">
        <v>4.05</v>
      </c>
      <c r="P165" s="9">
        <v>46148.455335648148</v>
      </c>
    </row>
    <row r="166" spans="1:16" x14ac:dyDescent="0.25">
      <c r="A166" t="s">
        <v>7</v>
      </c>
      <c r="B166" s="4">
        <v>46154</v>
      </c>
      <c r="C166" t="s">
        <v>634</v>
      </c>
      <c r="D166">
        <v>25250</v>
      </c>
      <c r="E166" t="s">
        <v>27</v>
      </c>
      <c r="F166">
        <v>1115.8</v>
      </c>
      <c r="G166">
        <v>260</v>
      </c>
      <c r="H166">
        <v>715</v>
      </c>
      <c r="I166">
        <v>715</v>
      </c>
      <c r="J166">
        <v>715</v>
      </c>
      <c r="K166">
        <v>1115.8</v>
      </c>
      <c r="L166">
        <v>1115.8</v>
      </c>
      <c r="M166">
        <v>1115.8</v>
      </c>
      <c r="N166">
        <v>1146.2</v>
      </c>
      <c r="O166">
        <v>1105.6500000000001</v>
      </c>
      <c r="P166" s="9">
        <v>46148.454606481479</v>
      </c>
    </row>
    <row r="167" spans="1:16" x14ac:dyDescent="0.25">
      <c r="A167" t="s">
        <v>7</v>
      </c>
      <c r="B167" s="4">
        <v>46154</v>
      </c>
      <c r="C167" t="s">
        <v>635</v>
      </c>
      <c r="D167">
        <v>25300</v>
      </c>
      <c r="E167" t="s">
        <v>26</v>
      </c>
      <c r="F167">
        <v>3.6</v>
      </c>
      <c r="G167">
        <v>8781435</v>
      </c>
      <c r="H167">
        <v>3406975</v>
      </c>
      <c r="I167">
        <v>3440450</v>
      </c>
      <c r="J167">
        <v>2868775</v>
      </c>
      <c r="K167">
        <v>3</v>
      </c>
      <c r="L167">
        <v>4</v>
      </c>
      <c r="M167">
        <v>2.75</v>
      </c>
      <c r="N167">
        <v>3.15</v>
      </c>
      <c r="O167">
        <v>3.55</v>
      </c>
      <c r="P167" s="9">
        <v>46148.455370370371</v>
      </c>
    </row>
    <row r="168" spans="1:16" x14ac:dyDescent="0.25">
      <c r="A168" t="s">
        <v>7</v>
      </c>
      <c r="B168" s="4">
        <v>46154</v>
      </c>
      <c r="C168" t="s">
        <v>636</v>
      </c>
      <c r="D168">
        <v>25300</v>
      </c>
      <c r="E168" t="s">
        <v>27</v>
      </c>
      <c r="F168">
        <v>1137</v>
      </c>
      <c r="G168">
        <v>390</v>
      </c>
      <c r="H168">
        <v>3445</v>
      </c>
      <c r="I168">
        <v>3445</v>
      </c>
      <c r="J168">
        <v>3445</v>
      </c>
      <c r="K168">
        <v>1127.2</v>
      </c>
      <c r="L168">
        <v>1137</v>
      </c>
      <c r="M168">
        <v>1078.4000000000001</v>
      </c>
      <c r="N168">
        <v>1211.7</v>
      </c>
      <c r="O168">
        <v>1155.25</v>
      </c>
      <c r="P168" s="9">
        <v>46148.452060185184</v>
      </c>
    </row>
    <row r="169" spans="1:16" x14ac:dyDescent="0.25">
      <c r="A169" t="s">
        <v>7</v>
      </c>
      <c r="B169" s="4">
        <v>46154</v>
      </c>
      <c r="C169" t="s">
        <v>637</v>
      </c>
      <c r="D169">
        <v>25350</v>
      </c>
      <c r="E169" t="s">
        <v>26</v>
      </c>
      <c r="F169">
        <v>3.15</v>
      </c>
      <c r="G169">
        <v>3990610</v>
      </c>
      <c r="H169">
        <v>1051115</v>
      </c>
      <c r="I169">
        <v>1093300</v>
      </c>
      <c r="J169">
        <v>211055</v>
      </c>
      <c r="K169">
        <v>2.7</v>
      </c>
      <c r="L169">
        <v>3.5</v>
      </c>
      <c r="M169">
        <v>2.4500000000000002</v>
      </c>
      <c r="N169">
        <v>2.7</v>
      </c>
      <c r="O169">
        <v>3.1</v>
      </c>
      <c r="P169" s="9">
        <v>46148.455358796295</v>
      </c>
    </row>
    <row r="170" spans="1:16" x14ac:dyDescent="0.25">
      <c r="A170" t="s">
        <v>7</v>
      </c>
      <c r="B170" s="4">
        <v>46154</v>
      </c>
      <c r="C170" t="s">
        <v>638</v>
      </c>
      <c r="D170">
        <v>25350</v>
      </c>
      <c r="E170" t="s">
        <v>27</v>
      </c>
      <c r="F170">
        <v>1263.45</v>
      </c>
      <c r="G170">
        <v>0</v>
      </c>
      <c r="H170">
        <v>195</v>
      </c>
      <c r="I170">
        <v>195</v>
      </c>
      <c r="J170">
        <v>195</v>
      </c>
      <c r="K170">
        <v>0</v>
      </c>
      <c r="L170">
        <v>0</v>
      </c>
      <c r="M170">
        <v>0</v>
      </c>
      <c r="N170">
        <v>1263.45</v>
      </c>
      <c r="O170">
        <v>1201.95</v>
      </c>
      <c r="P170" s="9">
        <v>46147.633229166669</v>
      </c>
    </row>
    <row r="171" spans="1:16" x14ac:dyDescent="0.25">
      <c r="A171" t="s">
        <v>7</v>
      </c>
      <c r="B171" s="4">
        <v>46154</v>
      </c>
      <c r="C171" t="s">
        <v>639</v>
      </c>
      <c r="D171">
        <v>25400</v>
      </c>
      <c r="E171" t="s">
        <v>26</v>
      </c>
      <c r="F171">
        <v>2.85</v>
      </c>
      <c r="G171">
        <v>7859345</v>
      </c>
      <c r="H171">
        <v>2056080</v>
      </c>
      <c r="I171">
        <v>2056080</v>
      </c>
      <c r="J171">
        <v>1347320</v>
      </c>
      <c r="K171">
        <v>2.1</v>
      </c>
      <c r="L171">
        <v>3.35</v>
      </c>
      <c r="M171">
        <v>1.95</v>
      </c>
      <c r="N171">
        <v>2.2999999999999998</v>
      </c>
      <c r="O171">
        <v>2.8</v>
      </c>
      <c r="P171" s="9">
        <v>46148.455370370371</v>
      </c>
    </row>
    <row r="172" spans="1:16" x14ac:dyDescent="0.25">
      <c r="A172" t="s">
        <v>7</v>
      </c>
      <c r="B172" s="4">
        <v>46154</v>
      </c>
      <c r="C172" t="s">
        <v>640</v>
      </c>
      <c r="D172">
        <v>25400</v>
      </c>
      <c r="E172" t="s">
        <v>27</v>
      </c>
      <c r="F172">
        <v>1220</v>
      </c>
      <c r="G172">
        <v>130</v>
      </c>
      <c r="H172">
        <v>7605</v>
      </c>
      <c r="I172">
        <v>7605</v>
      </c>
      <c r="J172">
        <v>7605</v>
      </c>
      <c r="K172">
        <v>1220</v>
      </c>
      <c r="L172">
        <v>1220</v>
      </c>
      <c r="M172">
        <v>1220</v>
      </c>
      <c r="N172">
        <v>1311.4</v>
      </c>
      <c r="O172">
        <v>1249.8499999999999</v>
      </c>
      <c r="P172" s="9">
        <v>46148.417118055557</v>
      </c>
    </row>
    <row r="173" spans="1:16" x14ac:dyDescent="0.25">
      <c r="A173" t="s">
        <v>7</v>
      </c>
      <c r="B173" s="4">
        <v>46154</v>
      </c>
      <c r="C173" t="s">
        <v>641</v>
      </c>
      <c r="D173">
        <v>25450</v>
      </c>
      <c r="E173" t="s">
        <v>26</v>
      </c>
      <c r="F173">
        <v>2.6</v>
      </c>
      <c r="G173">
        <v>4066790</v>
      </c>
      <c r="H173">
        <v>1491815</v>
      </c>
      <c r="I173">
        <v>1491815</v>
      </c>
      <c r="J173">
        <v>235105</v>
      </c>
      <c r="K173">
        <v>2.5</v>
      </c>
      <c r="L173">
        <v>3</v>
      </c>
      <c r="M173">
        <v>1.75</v>
      </c>
      <c r="N173">
        <v>2.1</v>
      </c>
      <c r="O173">
        <v>2.5499999999999998</v>
      </c>
      <c r="P173" s="9">
        <v>46148.455370370371</v>
      </c>
    </row>
    <row r="174" spans="1:16" x14ac:dyDescent="0.25">
      <c r="A174" t="s">
        <v>7</v>
      </c>
      <c r="B174" s="4">
        <v>46154</v>
      </c>
      <c r="C174" t="s">
        <v>642</v>
      </c>
      <c r="D174">
        <v>25450</v>
      </c>
      <c r="E174" t="s">
        <v>27</v>
      </c>
      <c r="F174">
        <v>1375</v>
      </c>
      <c r="G174">
        <v>0</v>
      </c>
      <c r="H174">
        <v>195</v>
      </c>
      <c r="I174">
        <v>195</v>
      </c>
      <c r="J174">
        <v>195</v>
      </c>
      <c r="K174">
        <v>0</v>
      </c>
      <c r="L174">
        <v>0</v>
      </c>
      <c r="M174">
        <v>0</v>
      </c>
      <c r="N174">
        <v>1375</v>
      </c>
      <c r="O174">
        <v>1237.55</v>
      </c>
      <c r="P174" s="9">
        <v>46147.604699074072</v>
      </c>
    </row>
    <row r="175" spans="1:16" x14ac:dyDescent="0.25">
      <c r="A175" t="s">
        <v>7</v>
      </c>
      <c r="B175" s="4">
        <v>46154</v>
      </c>
      <c r="C175" t="s">
        <v>643</v>
      </c>
      <c r="D175">
        <v>25500</v>
      </c>
      <c r="E175" t="s">
        <v>26</v>
      </c>
      <c r="F175">
        <v>2.2000000000000002</v>
      </c>
      <c r="G175">
        <v>10830495</v>
      </c>
      <c r="H175">
        <v>5699265</v>
      </c>
      <c r="I175">
        <v>5699265</v>
      </c>
      <c r="J175">
        <v>3326115</v>
      </c>
      <c r="K175">
        <v>1.6</v>
      </c>
      <c r="L175">
        <v>2.7</v>
      </c>
      <c r="M175">
        <v>1.55</v>
      </c>
      <c r="N175">
        <v>1.75</v>
      </c>
      <c r="O175">
        <v>2.2000000000000002</v>
      </c>
      <c r="P175" s="9">
        <v>46148.455370370371</v>
      </c>
    </row>
    <row r="176" spans="1:16" x14ac:dyDescent="0.25">
      <c r="A176" t="s">
        <v>7</v>
      </c>
      <c r="B176" s="4">
        <v>46154</v>
      </c>
      <c r="C176" t="s">
        <v>644</v>
      </c>
      <c r="D176">
        <v>25500</v>
      </c>
      <c r="E176" t="s">
        <v>27</v>
      </c>
      <c r="F176">
        <v>1301</v>
      </c>
      <c r="G176">
        <v>10920</v>
      </c>
      <c r="H176">
        <v>164060</v>
      </c>
      <c r="I176">
        <v>165360</v>
      </c>
      <c r="J176">
        <v>163995</v>
      </c>
      <c r="K176">
        <v>1253.8</v>
      </c>
      <c r="L176">
        <v>1353.55</v>
      </c>
      <c r="M176">
        <v>1246</v>
      </c>
      <c r="N176">
        <v>1417.35</v>
      </c>
      <c r="O176">
        <v>1353.9</v>
      </c>
      <c r="P176" s="9">
        <v>46148.447268518517</v>
      </c>
    </row>
    <row r="177" spans="1:16" x14ac:dyDescent="0.25">
      <c r="A177" t="s">
        <v>7</v>
      </c>
      <c r="B177" s="4">
        <v>46154</v>
      </c>
      <c r="C177" t="s">
        <v>645</v>
      </c>
      <c r="D177">
        <v>25550</v>
      </c>
      <c r="E177" t="s">
        <v>26</v>
      </c>
      <c r="F177">
        <v>1.95</v>
      </c>
      <c r="G177">
        <v>3424590</v>
      </c>
      <c r="H177">
        <v>987675</v>
      </c>
      <c r="I177">
        <v>1010815</v>
      </c>
      <c r="J177">
        <v>698490</v>
      </c>
      <c r="K177">
        <v>1.6</v>
      </c>
      <c r="L177">
        <v>2.5</v>
      </c>
      <c r="M177">
        <v>1.45</v>
      </c>
      <c r="N177">
        <v>1.6</v>
      </c>
      <c r="O177">
        <v>1.9</v>
      </c>
      <c r="P177" s="9">
        <v>46148.455358796295</v>
      </c>
    </row>
    <row r="178" spans="1:16" x14ac:dyDescent="0.25">
      <c r="A178" t="s">
        <v>7</v>
      </c>
      <c r="B178" s="4">
        <v>46154</v>
      </c>
      <c r="C178" t="s">
        <v>646</v>
      </c>
      <c r="D178">
        <v>25550</v>
      </c>
      <c r="E178" t="s">
        <v>27</v>
      </c>
      <c r="F178">
        <v>1410.5</v>
      </c>
      <c r="G178">
        <v>0</v>
      </c>
      <c r="H178">
        <v>520</v>
      </c>
      <c r="I178">
        <v>520</v>
      </c>
      <c r="J178">
        <v>520</v>
      </c>
      <c r="K178">
        <v>0</v>
      </c>
      <c r="L178">
        <v>0</v>
      </c>
      <c r="M178">
        <v>0</v>
      </c>
      <c r="N178">
        <v>1410.5</v>
      </c>
      <c r="O178">
        <v>1337.8</v>
      </c>
      <c r="P178" s="9">
        <v>46146.55572916667</v>
      </c>
    </row>
    <row r="179" spans="1:16" x14ac:dyDescent="0.25">
      <c r="A179" t="s">
        <v>7</v>
      </c>
      <c r="B179" s="4">
        <v>46154</v>
      </c>
      <c r="C179" t="s">
        <v>647</v>
      </c>
      <c r="D179">
        <v>25600</v>
      </c>
      <c r="E179" t="s">
        <v>26</v>
      </c>
      <c r="F179">
        <v>1.7</v>
      </c>
      <c r="G179">
        <v>5152030</v>
      </c>
      <c r="H179">
        <v>2337660</v>
      </c>
      <c r="I179">
        <v>2337660</v>
      </c>
      <c r="J179">
        <v>1513980</v>
      </c>
      <c r="K179">
        <v>1.35</v>
      </c>
      <c r="L179">
        <v>2.4</v>
      </c>
      <c r="M179">
        <v>1.25</v>
      </c>
      <c r="N179">
        <v>1.3</v>
      </c>
      <c r="O179">
        <v>1.7</v>
      </c>
      <c r="P179" s="9">
        <v>46148.454918981479</v>
      </c>
    </row>
    <row r="180" spans="1:16" x14ac:dyDescent="0.25">
      <c r="A180" t="s">
        <v>7</v>
      </c>
      <c r="B180" s="4">
        <v>46154</v>
      </c>
      <c r="C180" t="s">
        <v>648</v>
      </c>
      <c r="D180">
        <v>25600</v>
      </c>
      <c r="E180" t="s">
        <v>27</v>
      </c>
      <c r="F180">
        <v>1665</v>
      </c>
      <c r="G180">
        <v>0</v>
      </c>
      <c r="H180">
        <v>3315</v>
      </c>
      <c r="I180">
        <v>3315</v>
      </c>
      <c r="J180">
        <v>3315</v>
      </c>
      <c r="K180">
        <v>0</v>
      </c>
      <c r="L180">
        <v>0</v>
      </c>
      <c r="M180">
        <v>0</v>
      </c>
      <c r="N180">
        <v>1665</v>
      </c>
      <c r="O180">
        <v>1398.65</v>
      </c>
      <c r="P180" s="9">
        <v>46147.495520833334</v>
      </c>
    </row>
    <row r="181" spans="1:16" x14ac:dyDescent="0.25">
      <c r="A181" t="s">
        <v>7</v>
      </c>
      <c r="B181" s="4">
        <v>46154</v>
      </c>
      <c r="C181" t="s">
        <v>649</v>
      </c>
      <c r="D181">
        <v>25650</v>
      </c>
      <c r="E181" t="s">
        <v>26</v>
      </c>
      <c r="F181">
        <v>1.6</v>
      </c>
      <c r="G181">
        <v>1567475</v>
      </c>
      <c r="H181">
        <v>499850</v>
      </c>
      <c r="I181">
        <v>509600</v>
      </c>
      <c r="J181">
        <v>340015</v>
      </c>
      <c r="K181">
        <v>1.35</v>
      </c>
      <c r="L181">
        <v>2.2000000000000002</v>
      </c>
      <c r="M181">
        <v>1.1499999999999999</v>
      </c>
      <c r="N181">
        <v>1.2</v>
      </c>
      <c r="O181">
        <v>1.6</v>
      </c>
      <c r="P181" s="9">
        <v>46148.454791666663</v>
      </c>
    </row>
    <row r="182" spans="1:16" x14ac:dyDescent="0.25">
      <c r="A182" t="s">
        <v>7</v>
      </c>
      <c r="B182" s="4">
        <v>46154</v>
      </c>
      <c r="C182" t="s">
        <v>650</v>
      </c>
      <c r="D182">
        <v>25650</v>
      </c>
      <c r="E182" t="s">
        <v>27</v>
      </c>
      <c r="F182">
        <v>1425.65</v>
      </c>
      <c r="G182">
        <v>130</v>
      </c>
      <c r="H182">
        <v>1690</v>
      </c>
      <c r="I182">
        <v>1690</v>
      </c>
      <c r="J182">
        <v>1690</v>
      </c>
      <c r="K182">
        <v>1479.65</v>
      </c>
      <c r="L182">
        <v>1479.65</v>
      </c>
      <c r="M182">
        <v>1425.65</v>
      </c>
      <c r="N182">
        <v>1561.45</v>
      </c>
      <c r="O182">
        <v>1496.1</v>
      </c>
      <c r="P182" s="9">
        <v>46148.413854166669</v>
      </c>
    </row>
    <row r="183" spans="1:16" x14ac:dyDescent="0.25">
      <c r="A183" t="s">
        <v>7</v>
      </c>
      <c r="B183" s="4">
        <v>46154</v>
      </c>
      <c r="C183" t="s">
        <v>651</v>
      </c>
      <c r="D183">
        <v>25700</v>
      </c>
      <c r="E183" t="s">
        <v>26</v>
      </c>
      <c r="F183">
        <v>1.45</v>
      </c>
      <c r="G183">
        <v>3710330</v>
      </c>
      <c r="H183">
        <v>2001480</v>
      </c>
      <c r="I183">
        <v>2002780</v>
      </c>
      <c r="J183">
        <v>1239030</v>
      </c>
      <c r="K183">
        <v>1.1499999999999999</v>
      </c>
      <c r="L183">
        <v>2.0499999999999998</v>
      </c>
      <c r="M183">
        <v>1</v>
      </c>
      <c r="N183">
        <v>1.1499999999999999</v>
      </c>
      <c r="O183">
        <v>1.45</v>
      </c>
      <c r="P183" s="9">
        <v>46148.455335648148</v>
      </c>
    </row>
    <row r="184" spans="1:16" x14ac:dyDescent="0.25">
      <c r="A184" t="s">
        <v>7</v>
      </c>
      <c r="B184" s="4">
        <v>46154</v>
      </c>
      <c r="C184" t="s">
        <v>652</v>
      </c>
      <c r="D184">
        <v>25700</v>
      </c>
      <c r="E184" t="s">
        <v>27</v>
      </c>
      <c r="F184">
        <v>1760</v>
      </c>
      <c r="G184">
        <v>0</v>
      </c>
      <c r="H184">
        <v>195</v>
      </c>
      <c r="I184">
        <v>195</v>
      </c>
      <c r="J184">
        <v>195</v>
      </c>
      <c r="K184">
        <v>0</v>
      </c>
      <c r="L184">
        <v>0</v>
      </c>
      <c r="M184">
        <v>0</v>
      </c>
      <c r="N184">
        <v>1760</v>
      </c>
      <c r="O184">
        <v>1515.55</v>
      </c>
      <c r="P184" s="9">
        <v>46142.389976851853</v>
      </c>
    </row>
    <row r="185" spans="1:16" x14ac:dyDescent="0.25">
      <c r="A185" t="s">
        <v>7</v>
      </c>
      <c r="B185" s="4">
        <v>46154</v>
      </c>
      <c r="C185" t="s">
        <v>653</v>
      </c>
      <c r="D185">
        <v>25750</v>
      </c>
      <c r="E185" t="s">
        <v>26</v>
      </c>
      <c r="F185">
        <v>1.4</v>
      </c>
      <c r="G185">
        <v>1319370</v>
      </c>
      <c r="H185">
        <v>461565</v>
      </c>
      <c r="I185">
        <v>467220</v>
      </c>
      <c r="J185">
        <v>329875</v>
      </c>
      <c r="K185">
        <v>0.9</v>
      </c>
      <c r="L185">
        <v>2</v>
      </c>
      <c r="M185">
        <v>0.9</v>
      </c>
      <c r="N185">
        <v>1.05</v>
      </c>
      <c r="O185">
        <v>1.35</v>
      </c>
      <c r="P185" s="9">
        <v>46148.455266203702</v>
      </c>
    </row>
    <row r="186" spans="1:16" x14ac:dyDescent="0.25">
      <c r="A186" t="s">
        <v>7</v>
      </c>
      <c r="B186" s="4">
        <v>46154</v>
      </c>
      <c r="C186" t="s">
        <v>654</v>
      </c>
      <c r="D186">
        <v>25750</v>
      </c>
      <c r="E186" t="s">
        <v>27</v>
      </c>
      <c r="F186">
        <v>1700</v>
      </c>
      <c r="G186">
        <v>0</v>
      </c>
      <c r="H186">
        <v>195</v>
      </c>
      <c r="I186">
        <v>195</v>
      </c>
      <c r="J186">
        <v>195</v>
      </c>
      <c r="K186">
        <v>0</v>
      </c>
      <c r="L186">
        <v>0</v>
      </c>
      <c r="M186">
        <v>0</v>
      </c>
      <c r="N186">
        <v>1700</v>
      </c>
      <c r="O186">
        <v>1545.15</v>
      </c>
      <c r="P186" s="9">
        <v>46147.399004629631</v>
      </c>
    </row>
    <row r="187" spans="1:16" x14ac:dyDescent="0.25">
      <c r="A187" t="s">
        <v>7</v>
      </c>
      <c r="B187" s="4">
        <v>46154</v>
      </c>
      <c r="C187" t="s">
        <v>655</v>
      </c>
      <c r="D187">
        <v>25800</v>
      </c>
      <c r="E187" t="s">
        <v>26</v>
      </c>
      <c r="F187">
        <v>1.35</v>
      </c>
      <c r="G187">
        <v>3149380</v>
      </c>
      <c r="H187">
        <v>1979575</v>
      </c>
      <c r="I187">
        <v>2022085</v>
      </c>
      <c r="J187">
        <v>1621490</v>
      </c>
      <c r="K187">
        <v>1.3</v>
      </c>
      <c r="L187">
        <v>1.95</v>
      </c>
      <c r="M187">
        <v>1</v>
      </c>
      <c r="N187">
        <v>1.05</v>
      </c>
      <c r="O187">
        <v>1.35</v>
      </c>
      <c r="P187" s="9">
        <v>46148.455208333333</v>
      </c>
    </row>
    <row r="188" spans="1:16" x14ac:dyDescent="0.25">
      <c r="A188" t="s">
        <v>7</v>
      </c>
      <c r="B188" s="4">
        <v>46154</v>
      </c>
      <c r="C188" t="s">
        <v>656</v>
      </c>
      <c r="D188">
        <v>25800</v>
      </c>
      <c r="E188" t="s">
        <v>27</v>
      </c>
      <c r="F188">
        <v>1715</v>
      </c>
      <c r="G188">
        <v>0</v>
      </c>
      <c r="H188">
        <v>715</v>
      </c>
      <c r="I188">
        <v>715</v>
      </c>
      <c r="J188">
        <v>715</v>
      </c>
      <c r="K188">
        <v>0</v>
      </c>
      <c r="L188">
        <v>0</v>
      </c>
      <c r="M188">
        <v>0</v>
      </c>
      <c r="N188">
        <v>1715</v>
      </c>
      <c r="O188">
        <v>1613.15</v>
      </c>
      <c r="P188" s="9">
        <v>46147.635497685187</v>
      </c>
    </row>
    <row r="189" spans="1:16" x14ac:dyDescent="0.25">
      <c r="A189" t="s">
        <v>7</v>
      </c>
      <c r="B189" s="4">
        <v>46154</v>
      </c>
      <c r="C189" t="s">
        <v>657</v>
      </c>
      <c r="D189">
        <v>25850</v>
      </c>
      <c r="E189" t="s">
        <v>26</v>
      </c>
      <c r="F189">
        <v>1.3</v>
      </c>
      <c r="G189">
        <v>1154075</v>
      </c>
      <c r="H189">
        <v>354250</v>
      </c>
      <c r="I189">
        <v>372320</v>
      </c>
      <c r="J189">
        <v>327015</v>
      </c>
      <c r="K189">
        <v>1.05</v>
      </c>
      <c r="L189">
        <v>1.8</v>
      </c>
      <c r="M189">
        <v>0.9</v>
      </c>
      <c r="N189">
        <v>1</v>
      </c>
      <c r="O189">
        <v>1.25</v>
      </c>
      <c r="P189" s="9">
        <v>46148.454965277779</v>
      </c>
    </row>
    <row r="190" spans="1:16" x14ac:dyDescent="0.25">
      <c r="A190" t="s">
        <v>7</v>
      </c>
      <c r="B190" s="4">
        <v>46154</v>
      </c>
      <c r="C190" t="s">
        <v>658</v>
      </c>
      <c r="D190">
        <v>25850</v>
      </c>
      <c r="E190" t="s">
        <v>27</v>
      </c>
      <c r="F190">
        <v>1880</v>
      </c>
      <c r="G190">
        <v>0</v>
      </c>
      <c r="H190">
        <v>325</v>
      </c>
      <c r="I190">
        <v>325</v>
      </c>
      <c r="J190">
        <v>325</v>
      </c>
      <c r="K190">
        <v>0</v>
      </c>
      <c r="L190">
        <v>0</v>
      </c>
      <c r="M190">
        <v>0</v>
      </c>
      <c r="N190">
        <v>1880</v>
      </c>
      <c r="O190">
        <v>1616.25</v>
      </c>
      <c r="P190" s="9">
        <v>46147.480810185189</v>
      </c>
    </row>
    <row r="191" spans="1:16" x14ac:dyDescent="0.25">
      <c r="A191" t="s">
        <v>7</v>
      </c>
      <c r="B191" s="4">
        <v>46154</v>
      </c>
      <c r="C191" t="s">
        <v>659</v>
      </c>
      <c r="D191">
        <v>25900</v>
      </c>
      <c r="E191" t="s">
        <v>26</v>
      </c>
      <c r="F191">
        <v>1.25</v>
      </c>
      <c r="G191">
        <v>1862445</v>
      </c>
      <c r="H191">
        <v>970710</v>
      </c>
      <c r="I191">
        <v>977275</v>
      </c>
      <c r="J191">
        <v>917995</v>
      </c>
      <c r="K191">
        <v>0.95</v>
      </c>
      <c r="L191">
        <v>1.8</v>
      </c>
      <c r="M191">
        <v>0.85</v>
      </c>
      <c r="N191">
        <v>0.95</v>
      </c>
      <c r="O191">
        <v>1.25</v>
      </c>
      <c r="P191" s="9">
        <v>46148.455104166664</v>
      </c>
    </row>
    <row r="192" spans="1:16" x14ac:dyDescent="0.25">
      <c r="A192" t="s">
        <v>7</v>
      </c>
      <c r="B192" s="4">
        <v>46154</v>
      </c>
      <c r="C192" t="s">
        <v>660</v>
      </c>
      <c r="D192">
        <v>25900</v>
      </c>
      <c r="E192" t="s">
        <v>27</v>
      </c>
      <c r="F192">
        <v>1640</v>
      </c>
      <c r="G192">
        <v>1300</v>
      </c>
      <c r="H192">
        <v>1495</v>
      </c>
      <c r="I192">
        <v>1495</v>
      </c>
      <c r="J192">
        <v>1495</v>
      </c>
      <c r="K192">
        <v>1640</v>
      </c>
      <c r="L192">
        <v>1640</v>
      </c>
      <c r="M192">
        <v>1640</v>
      </c>
      <c r="N192">
        <v>1800</v>
      </c>
      <c r="O192">
        <v>1720.5</v>
      </c>
      <c r="P192" s="9">
        <v>46148.385428240741</v>
      </c>
    </row>
    <row r="193" spans="1:16" x14ac:dyDescent="0.25">
      <c r="A193" t="s">
        <v>7</v>
      </c>
      <c r="B193" s="4">
        <v>46154</v>
      </c>
      <c r="C193" t="s">
        <v>661</v>
      </c>
      <c r="D193">
        <v>25950</v>
      </c>
      <c r="E193" t="s">
        <v>26</v>
      </c>
      <c r="F193">
        <v>1.2</v>
      </c>
      <c r="G193">
        <v>1804465</v>
      </c>
      <c r="H193">
        <v>790270</v>
      </c>
      <c r="I193">
        <v>866515</v>
      </c>
      <c r="J193">
        <v>773760</v>
      </c>
      <c r="K193">
        <v>0.9</v>
      </c>
      <c r="L193">
        <v>1.75</v>
      </c>
      <c r="M193">
        <v>0.8</v>
      </c>
      <c r="N193">
        <v>0.9</v>
      </c>
      <c r="O193">
        <v>1.1499999999999999</v>
      </c>
      <c r="P193" s="9">
        <v>46148.454652777778</v>
      </c>
    </row>
    <row r="194" spans="1:16" x14ac:dyDescent="0.25">
      <c r="A194" t="s">
        <v>7</v>
      </c>
      <c r="B194" s="4">
        <v>46154</v>
      </c>
      <c r="C194" t="s">
        <v>662</v>
      </c>
      <c r="D194">
        <v>25950</v>
      </c>
      <c r="E194" t="s">
        <v>27</v>
      </c>
      <c r="F194">
        <v>2676.7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2676.7</v>
      </c>
      <c r="O194">
        <v>1762.05</v>
      </c>
      <c r="P194" s="9">
        <v>25569.229166666668</v>
      </c>
    </row>
    <row r="195" spans="1:16" x14ac:dyDescent="0.25">
      <c r="A195" t="s">
        <v>7</v>
      </c>
      <c r="B195" s="4">
        <v>46154</v>
      </c>
      <c r="C195" t="s">
        <v>663</v>
      </c>
      <c r="D195">
        <v>26000</v>
      </c>
      <c r="E195" t="s">
        <v>26</v>
      </c>
      <c r="F195">
        <v>1.2</v>
      </c>
      <c r="G195">
        <v>7678515</v>
      </c>
      <c r="H195">
        <v>6581445</v>
      </c>
      <c r="I195">
        <v>6581445</v>
      </c>
      <c r="J195">
        <v>5137340</v>
      </c>
      <c r="K195">
        <v>1.1000000000000001</v>
      </c>
      <c r="L195">
        <v>1.75</v>
      </c>
      <c r="M195">
        <v>0.85</v>
      </c>
      <c r="N195">
        <v>1</v>
      </c>
      <c r="O195">
        <v>1.2</v>
      </c>
      <c r="P195" s="9">
        <v>46148.455347222225</v>
      </c>
    </row>
    <row r="196" spans="1:16" x14ac:dyDescent="0.25">
      <c r="A196" t="s">
        <v>7</v>
      </c>
      <c r="B196" s="4">
        <v>46154</v>
      </c>
      <c r="C196" t="s">
        <v>664</v>
      </c>
      <c r="D196">
        <v>26000</v>
      </c>
      <c r="E196" t="s">
        <v>27</v>
      </c>
      <c r="F196">
        <v>1823.35</v>
      </c>
      <c r="G196">
        <v>6890</v>
      </c>
      <c r="H196">
        <v>114205</v>
      </c>
      <c r="I196">
        <v>114270</v>
      </c>
      <c r="J196">
        <v>113750</v>
      </c>
      <c r="K196">
        <v>1735.75</v>
      </c>
      <c r="L196">
        <v>1849.8</v>
      </c>
      <c r="M196">
        <v>1735.7</v>
      </c>
      <c r="N196">
        <v>1922.2</v>
      </c>
      <c r="O196">
        <v>1850.1</v>
      </c>
      <c r="P196" s="9">
        <v>46148.451516203706</v>
      </c>
    </row>
    <row r="197" spans="1:16" x14ac:dyDescent="0.25">
      <c r="A197" t="s">
        <v>7</v>
      </c>
      <c r="B197" s="4">
        <v>46154</v>
      </c>
      <c r="C197" t="s">
        <v>665</v>
      </c>
      <c r="D197">
        <v>26050</v>
      </c>
      <c r="E197" t="s">
        <v>26</v>
      </c>
      <c r="F197">
        <v>1.1499999999999999</v>
      </c>
      <c r="G197">
        <v>551980</v>
      </c>
      <c r="H197">
        <v>228345</v>
      </c>
      <c r="I197">
        <v>231205</v>
      </c>
      <c r="J197">
        <v>151385</v>
      </c>
      <c r="K197">
        <v>0.95</v>
      </c>
      <c r="L197">
        <v>1.65</v>
      </c>
      <c r="M197">
        <v>0.9</v>
      </c>
      <c r="N197">
        <v>0.95</v>
      </c>
      <c r="O197">
        <v>1.1499999999999999</v>
      </c>
      <c r="P197" s="9">
        <v>46148.455300925925</v>
      </c>
    </row>
    <row r="198" spans="1:16" x14ac:dyDescent="0.25">
      <c r="A198" t="s">
        <v>7</v>
      </c>
      <c r="B198" s="4">
        <v>46154</v>
      </c>
      <c r="C198" t="s">
        <v>666</v>
      </c>
      <c r="D198">
        <v>26050</v>
      </c>
      <c r="E198" t="s">
        <v>27</v>
      </c>
      <c r="F198">
        <v>2774.55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2774.55</v>
      </c>
      <c r="O198">
        <v>1818.95</v>
      </c>
      <c r="P198" s="9">
        <v>25569.229166666668</v>
      </c>
    </row>
    <row r="199" spans="1:16" x14ac:dyDescent="0.25">
      <c r="A199" t="s">
        <v>7</v>
      </c>
      <c r="B199" s="4">
        <v>46154</v>
      </c>
      <c r="C199" t="s">
        <v>667</v>
      </c>
      <c r="D199">
        <v>26100</v>
      </c>
      <c r="E199" t="s">
        <v>26</v>
      </c>
      <c r="F199">
        <v>1.1000000000000001</v>
      </c>
      <c r="G199">
        <v>654355</v>
      </c>
      <c r="H199">
        <v>157235</v>
      </c>
      <c r="I199">
        <v>160160</v>
      </c>
      <c r="J199">
        <v>108485</v>
      </c>
      <c r="K199">
        <v>1</v>
      </c>
      <c r="L199">
        <v>1.65</v>
      </c>
      <c r="M199">
        <v>0.85</v>
      </c>
      <c r="N199">
        <v>0.95</v>
      </c>
      <c r="O199">
        <v>1.1000000000000001</v>
      </c>
      <c r="P199" s="9">
        <v>46148.454131944447</v>
      </c>
    </row>
    <row r="200" spans="1:16" x14ac:dyDescent="0.25">
      <c r="A200" t="s">
        <v>7</v>
      </c>
      <c r="B200" s="4">
        <v>46154</v>
      </c>
      <c r="C200" t="s">
        <v>668</v>
      </c>
      <c r="D200">
        <v>26100</v>
      </c>
      <c r="E200" t="s">
        <v>27</v>
      </c>
      <c r="F200">
        <v>1925</v>
      </c>
      <c r="G200">
        <v>0</v>
      </c>
      <c r="H200">
        <v>780</v>
      </c>
      <c r="I200">
        <v>780</v>
      </c>
      <c r="J200">
        <v>780</v>
      </c>
      <c r="K200">
        <v>0</v>
      </c>
      <c r="L200">
        <v>0</v>
      </c>
      <c r="M200">
        <v>0</v>
      </c>
      <c r="N200">
        <v>1925</v>
      </c>
      <c r="O200">
        <v>1911.05</v>
      </c>
      <c r="P200" s="9">
        <v>46146.523958333331</v>
      </c>
    </row>
    <row r="201" spans="1:16" x14ac:dyDescent="0.25">
      <c r="A201" t="s">
        <v>7</v>
      </c>
      <c r="B201" s="4">
        <v>46154</v>
      </c>
      <c r="C201" t="s">
        <v>669</v>
      </c>
      <c r="D201">
        <v>26150</v>
      </c>
      <c r="E201" t="s">
        <v>26</v>
      </c>
      <c r="F201">
        <v>1.1000000000000001</v>
      </c>
      <c r="G201">
        <v>197860</v>
      </c>
      <c r="H201">
        <v>79885</v>
      </c>
      <c r="I201">
        <v>80015</v>
      </c>
      <c r="J201">
        <v>31005</v>
      </c>
      <c r="K201">
        <v>1</v>
      </c>
      <c r="L201">
        <v>1.5</v>
      </c>
      <c r="M201">
        <v>0.8</v>
      </c>
      <c r="N201">
        <v>0.9</v>
      </c>
      <c r="O201">
        <v>1.05</v>
      </c>
      <c r="P201" s="9">
        <v>46148.454884259256</v>
      </c>
    </row>
    <row r="202" spans="1:16" x14ac:dyDescent="0.25">
      <c r="A202" t="s">
        <v>7</v>
      </c>
      <c r="B202" s="4">
        <v>46154</v>
      </c>
      <c r="C202" t="s">
        <v>670</v>
      </c>
      <c r="D202">
        <v>26150</v>
      </c>
      <c r="E202" t="s">
        <v>27</v>
      </c>
      <c r="F202">
        <v>2872.65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2872.65</v>
      </c>
      <c r="O202">
        <v>1799.2</v>
      </c>
      <c r="P202" s="9">
        <v>25569.229166666668</v>
      </c>
    </row>
    <row r="203" spans="1:16" x14ac:dyDescent="0.25">
      <c r="A203" t="s">
        <v>7</v>
      </c>
      <c r="B203" s="4">
        <v>46154</v>
      </c>
      <c r="C203" t="s">
        <v>671</v>
      </c>
      <c r="D203">
        <v>26200</v>
      </c>
      <c r="E203" t="s">
        <v>26</v>
      </c>
      <c r="F203">
        <v>1</v>
      </c>
      <c r="G203">
        <v>987155</v>
      </c>
      <c r="H203">
        <v>403650</v>
      </c>
      <c r="I203">
        <v>403650</v>
      </c>
      <c r="J203">
        <v>135980</v>
      </c>
      <c r="K203">
        <v>1</v>
      </c>
      <c r="L203">
        <v>1.4</v>
      </c>
      <c r="M203">
        <v>0.8</v>
      </c>
      <c r="N203">
        <v>0.85</v>
      </c>
      <c r="O203">
        <v>0.95</v>
      </c>
      <c r="P203" s="9">
        <v>46148.45511574074</v>
      </c>
    </row>
    <row r="204" spans="1:16" x14ac:dyDescent="0.25">
      <c r="A204" t="s">
        <v>7</v>
      </c>
      <c r="B204" s="4">
        <v>46154</v>
      </c>
      <c r="C204" t="s">
        <v>672</v>
      </c>
      <c r="D204">
        <v>26200</v>
      </c>
      <c r="E204" t="s">
        <v>27</v>
      </c>
      <c r="F204">
        <v>2921.8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2921.8</v>
      </c>
      <c r="O204">
        <v>1849.15</v>
      </c>
      <c r="P204" s="9">
        <v>25569.229166666668</v>
      </c>
    </row>
    <row r="205" spans="1:16" x14ac:dyDescent="0.25">
      <c r="A205" t="s">
        <v>7</v>
      </c>
      <c r="B205" s="4">
        <v>46154</v>
      </c>
      <c r="C205" t="s">
        <v>673</v>
      </c>
      <c r="D205">
        <v>26250</v>
      </c>
      <c r="E205" t="s">
        <v>26</v>
      </c>
      <c r="F205">
        <v>1</v>
      </c>
      <c r="G205">
        <v>99645</v>
      </c>
      <c r="H205">
        <v>61880</v>
      </c>
      <c r="I205">
        <v>61880</v>
      </c>
      <c r="J205">
        <v>34645</v>
      </c>
      <c r="K205">
        <v>1.05</v>
      </c>
      <c r="L205">
        <v>1.45</v>
      </c>
      <c r="M205">
        <v>0.8</v>
      </c>
      <c r="N205">
        <v>0.95</v>
      </c>
      <c r="O205">
        <v>1</v>
      </c>
      <c r="P205" s="9">
        <v>46148.454131944447</v>
      </c>
    </row>
    <row r="206" spans="1:16" x14ac:dyDescent="0.25">
      <c r="A206" t="s">
        <v>7</v>
      </c>
      <c r="B206" s="4">
        <v>46154</v>
      </c>
      <c r="C206" t="s">
        <v>674</v>
      </c>
      <c r="D206">
        <v>26250</v>
      </c>
      <c r="E206" t="s">
        <v>27</v>
      </c>
      <c r="F206">
        <v>2971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2971</v>
      </c>
      <c r="O206">
        <v>1894.05</v>
      </c>
      <c r="P206" s="9">
        <v>25569.229166666668</v>
      </c>
    </row>
    <row r="207" spans="1:16" x14ac:dyDescent="0.25">
      <c r="A207" t="s">
        <v>7</v>
      </c>
      <c r="B207" s="4">
        <v>46154</v>
      </c>
      <c r="C207" t="s">
        <v>675</v>
      </c>
      <c r="D207">
        <v>26300</v>
      </c>
      <c r="E207" t="s">
        <v>26</v>
      </c>
      <c r="F207">
        <v>1.05</v>
      </c>
      <c r="G207">
        <v>365300</v>
      </c>
      <c r="H207">
        <v>128505</v>
      </c>
      <c r="I207">
        <v>128505</v>
      </c>
      <c r="J207">
        <v>37570</v>
      </c>
      <c r="K207">
        <v>0.85</v>
      </c>
      <c r="L207">
        <v>1.35</v>
      </c>
      <c r="M207">
        <v>0.75</v>
      </c>
      <c r="N207">
        <v>0.85</v>
      </c>
      <c r="O207">
        <v>1</v>
      </c>
      <c r="P207" s="9">
        <v>46148.455069444448</v>
      </c>
    </row>
    <row r="208" spans="1:16" x14ac:dyDescent="0.25">
      <c r="A208" t="s">
        <v>7</v>
      </c>
      <c r="B208" s="4">
        <v>46154</v>
      </c>
      <c r="C208" t="s">
        <v>676</v>
      </c>
      <c r="D208">
        <v>26300</v>
      </c>
      <c r="E208" t="s">
        <v>27</v>
      </c>
      <c r="F208">
        <v>2110.4499999999998</v>
      </c>
      <c r="G208">
        <v>0</v>
      </c>
      <c r="H208">
        <v>65</v>
      </c>
      <c r="I208">
        <v>65</v>
      </c>
      <c r="J208">
        <v>65</v>
      </c>
      <c r="K208">
        <v>0</v>
      </c>
      <c r="L208">
        <v>0</v>
      </c>
      <c r="M208">
        <v>0</v>
      </c>
      <c r="N208">
        <v>2110.4499999999998</v>
      </c>
      <c r="O208">
        <v>2068.6</v>
      </c>
      <c r="P208" s="9">
        <v>46140.403599537036</v>
      </c>
    </row>
    <row r="209" spans="1:16" x14ac:dyDescent="0.25">
      <c r="A209" t="s">
        <v>7</v>
      </c>
      <c r="B209" s="4">
        <v>46154</v>
      </c>
      <c r="C209" t="s">
        <v>677</v>
      </c>
      <c r="D209">
        <v>26350</v>
      </c>
      <c r="E209" t="s">
        <v>26</v>
      </c>
      <c r="F209">
        <v>1</v>
      </c>
      <c r="G209">
        <v>97110</v>
      </c>
      <c r="H209">
        <v>48620</v>
      </c>
      <c r="I209">
        <v>48685</v>
      </c>
      <c r="J209">
        <v>19760</v>
      </c>
      <c r="K209">
        <v>0.9</v>
      </c>
      <c r="L209">
        <v>1.4</v>
      </c>
      <c r="M209">
        <v>0.7</v>
      </c>
      <c r="N209">
        <v>0.9</v>
      </c>
      <c r="O209">
        <v>0.95</v>
      </c>
      <c r="P209" s="9">
        <v>46148.453425925924</v>
      </c>
    </row>
    <row r="210" spans="1:16" x14ac:dyDescent="0.25">
      <c r="A210" t="s">
        <v>7</v>
      </c>
      <c r="B210" s="4">
        <v>46154</v>
      </c>
      <c r="C210" t="s">
        <v>678</v>
      </c>
      <c r="D210">
        <v>26350</v>
      </c>
      <c r="E210" t="s">
        <v>27</v>
      </c>
      <c r="F210">
        <v>3069.55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3069.55</v>
      </c>
      <c r="O210">
        <v>1986.9</v>
      </c>
      <c r="P210" s="9">
        <v>25569.229166666668</v>
      </c>
    </row>
    <row r="211" spans="1:16" x14ac:dyDescent="0.25">
      <c r="A211" t="s">
        <v>7</v>
      </c>
      <c r="B211" s="4">
        <v>46154</v>
      </c>
      <c r="C211" t="s">
        <v>679</v>
      </c>
      <c r="D211">
        <v>26400</v>
      </c>
      <c r="E211" t="s">
        <v>26</v>
      </c>
      <c r="F211">
        <v>0.95</v>
      </c>
      <c r="G211">
        <v>437775</v>
      </c>
      <c r="H211">
        <v>158405</v>
      </c>
      <c r="I211">
        <v>159315</v>
      </c>
      <c r="J211">
        <v>31395</v>
      </c>
      <c r="K211">
        <v>0.8</v>
      </c>
      <c r="L211">
        <v>1.25</v>
      </c>
      <c r="M211">
        <v>0.7</v>
      </c>
      <c r="N211">
        <v>0.8</v>
      </c>
      <c r="O211">
        <v>0.9</v>
      </c>
      <c r="P211" s="9">
        <v>46148.45521990741</v>
      </c>
    </row>
    <row r="212" spans="1:16" x14ac:dyDescent="0.25">
      <c r="A212" t="s">
        <v>7</v>
      </c>
      <c r="B212" s="4">
        <v>46154</v>
      </c>
      <c r="C212" t="s">
        <v>680</v>
      </c>
      <c r="D212">
        <v>26400</v>
      </c>
      <c r="E212" t="s">
        <v>27</v>
      </c>
      <c r="F212">
        <v>2219.9499999999998</v>
      </c>
      <c r="G212">
        <v>0</v>
      </c>
      <c r="H212">
        <v>65</v>
      </c>
      <c r="I212">
        <v>65</v>
      </c>
      <c r="J212">
        <v>65</v>
      </c>
      <c r="K212">
        <v>0</v>
      </c>
      <c r="L212">
        <v>0</v>
      </c>
      <c r="M212">
        <v>0</v>
      </c>
      <c r="N212">
        <v>2219.9499999999998</v>
      </c>
      <c r="O212">
        <v>2198.4499999999998</v>
      </c>
      <c r="P212" s="9">
        <v>46146.637743055559</v>
      </c>
    </row>
    <row r="213" spans="1:16" x14ac:dyDescent="0.25">
      <c r="A213" t="s">
        <v>7</v>
      </c>
      <c r="B213" s="4">
        <v>46154</v>
      </c>
      <c r="C213" t="s">
        <v>681</v>
      </c>
      <c r="D213">
        <v>26450</v>
      </c>
      <c r="E213" t="s">
        <v>26</v>
      </c>
      <c r="F213">
        <v>1</v>
      </c>
      <c r="G213">
        <v>70460</v>
      </c>
      <c r="H213">
        <v>43160</v>
      </c>
      <c r="I213">
        <v>43160</v>
      </c>
      <c r="J213">
        <v>22555</v>
      </c>
      <c r="K213">
        <v>0.85</v>
      </c>
      <c r="L213">
        <v>1.2</v>
      </c>
      <c r="M213">
        <v>0.7</v>
      </c>
      <c r="N213">
        <v>0.8</v>
      </c>
      <c r="O213">
        <v>0.95</v>
      </c>
      <c r="P213" s="9">
        <v>46148.455127314817</v>
      </c>
    </row>
    <row r="214" spans="1:16" x14ac:dyDescent="0.25">
      <c r="A214" t="s">
        <v>7</v>
      </c>
      <c r="B214" s="4">
        <v>46154</v>
      </c>
      <c r="C214" t="s">
        <v>682</v>
      </c>
      <c r="D214">
        <v>26450</v>
      </c>
      <c r="E214" t="s">
        <v>27</v>
      </c>
      <c r="F214">
        <v>3168.2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3168.2</v>
      </c>
      <c r="O214">
        <v>2071.65</v>
      </c>
      <c r="P214" s="9">
        <v>25569.229166666668</v>
      </c>
    </row>
    <row r="215" spans="1:16" x14ac:dyDescent="0.25">
      <c r="A215" t="s">
        <v>7</v>
      </c>
      <c r="B215" s="4">
        <v>46154</v>
      </c>
      <c r="C215" t="s">
        <v>683</v>
      </c>
      <c r="D215">
        <v>26500</v>
      </c>
      <c r="E215" t="s">
        <v>26</v>
      </c>
      <c r="F215">
        <v>0.85</v>
      </c>
      <c r="G215">
        <v>868725</v>
      </c>
      <c r="H215">
        <v>677495</v>
      </c>
      <c r="I215">
        <v>695565</v>
      </c>
      <c r="J215">
        <v>586820</v>
      </c>
      <c r="K215">
        <v>0.75</v>
      </c>
      <c r="L215">
        <v>1.05</v>
      </c>
      <c r="M215">
        <v>0.7</v>
      </c>
      <c r="N215">
        <v>0.75</v>
      </c>
      <c r="O215">
        <v>0.85</v>
      </c>
      <c r="P215" s="9">
        <v>46148.454270833332</v>
      </c>
    </row>
    <row r="216" spans="1:16" x14ac:dyDescent="0.25">
      <c r="A216" t="s">
        <v>7</v>
      </c>
      <c r="B216" s="4">
        <v>46154</v>
      </c>
      <c r="C216" t="s">
        <v>684</v>
      </c>
      <c r="D216">
        <v>26500</v>
      </c>
      <c r="E216" t="s">
        <v>27</v>
      </c>
      <c r="F216">
        <v>2290</v>
      </c>
      <c r="G216">
        <v>65</v>
      </c>
      <c r="H216">
        <v>2340</v>
      </c>
      <c r="I216">
        <v>2340</v>
      </c>
      <c r="J216">
        <v>2340</v>
      </c>
      <c r="K216">
        <v>2290</v>
      </c>
      <c r="L216">
        <v>2290</v>
      </c>
      <c r="M216">
        <v>2290</v>
      </c>
      <c r="N216">
        <v>2416.6999999999998</v>
      </c>
      <c r="O216">
        <v>2347.6999999999998</v>
      </c>
      <c r="P216" s="9">
        <v>46148.413564814815</v>
      </c>
    </row>
    <row r="217" spans="1:16" x14ac:dyDescent="0.25">
      <c r="A217" t="s">
        <v>7</v>
      </c>
      <c r="B217" s="4">
        <v>46154</v>
      </c>
      <c r="C217" t="s">
        <v>685</v>
      </c>
      <c r="D217">
        <v>26550</v>
      </c>
      <c r="E217" t="s">
        <v>26</v>
      </c>
      <c r="F217">
        <v>0.85</v>
      </c>
      <c r="G217">
        <v>1330485</v>
      </c>
      <c r="H217">
        <v>426660</v>
      </c>
      <c r="I217">
        <v>440245</v>
      </c>
      <c r="J217">
        <v>257465</v>
      </c>
      <c r="K217">
        <v>0.85</v>
      </c>
      <c r="L217">
        <v>1.1499999999999999</v>
      </c>
      <c r="M217">
        <v>0.7</v>
      </c>
      <c r="N217">
        <v>0.7</v>
      </c>
      <c r="O217">
        <v>0.85</v>
      </c>
      <c r="P217" s="9">
        <v>46148.454976851855</v>
      </c>
    </row>
    <row r="218" spans="1:16" x14ac:dyDescent="0.25">
      <c r="A218" t="s">
        <v>7</v>
      </c>
      <c r="B218" s="4">
        <v>46154</v>
      </c>
      <c r="C218" t="s">
        <v>686</v>
      </c>
      <c r="D218">
        <v>26550</v>
      </c>
      <c r="E218" t="s">
        <v>27</v>
      </c>
      <c r="F218">
        <v>2380</v>
      </c>
      <c r="G218">
        <v>0</v>
      </c>
      <c r="H218">
        <v>65</v>
      </c>
      <c r="I218">
        <v>65</v>
      </c>
      <c r="J218">
        <v>65</v>
      </c>
      <c r="K218">
        <v>0</v>
      </c>
      <c r="L218">
        <v>0</v>
      </c>
      <c r="M218">
        <v>0</v>
      </c>
      <c r="N218">
        <v>2380</v>
      </c>
      <c r="O218">
        <v>2307.85</v>
      </c>
      <c r="P218" s="9">
        <v>46146.511400462965</v>
      </c>
    </row>
    <row r="219" spans="1:16" x14ac:dyDescent="0.25">
      <c r="A219" t="s">
        <v>8</v>
      </c>
      <c r="B219" s="4">
        <v>46168</v>
      </c>
      <c r="C219" t="s">
        <v>28</v>
      </c>
      <c r="F219">
        <v>55059.05</v>
      </c>
      <c r="K219">
        <v>55113.4</v>
      </c>
      <c r="L219">
        <v>55344.95</v>
      </c>
      <c r="M219">
        <v>55007.55</v>
      </c>
      <c r="N219">
        <v>54547.05</v>
      </c>
    </row>
    <row r="220" spans="1:16" x14ac:dyDescent="0.25">
      <c r="A220" t="s">
        <v>8</v>
      </c>
      <c r="B220" s="4">
        <v>46168</v>
      </c>
      <c r="C220" t="s">
        <v>29</v>
      </c>
      <c r="D220">
        <v>43000</v>
      </c>
      <c r="E220" t="s">
        <v>26</v>
      </c>
      <c r="F220">
        <v>8000</v>
      </c>
      <c r="G220">
        <v>0</v>
      </c>
      <c r="H220">
        <v>30</v>
      </c>
      <c r="I220">
        <v>30</v>
      </c>
      <c r="J220">
        <v>30</v>
      </c>
      <c r="K220">
        <v>0</v>
      </c>
      <c r="L220">
        <v>0</v>
      </c>
      <c r="M220">
        <v>0</v>
      </c>
      <c r="N220">
        <v>8000</v>
      </c>
      <c r="O220">
        <v>11848.4</v>
      </c>
      <c r="P220" s="9">
        <v>46114.39775462963</v>
      </c>
    </row>
    <row r="221" spans="1:16" x14ac:dyDescent="0.25">
      <c r="A221" t="s">
        <v>8</v>
      </c>
      <c r="B221" s="4">
        <v>46168</v>
      </c>
      <c r="C221" t="s">
        <v>30</v>
      </c>
      <c r="D221">
        <v>43000</v>
      </c>
      <c r="E221" t="s">
        <v>27</v>
      </c>
      <c r="F221">
        <v>5.45</v>
      </c>
      <c r="G221">
        <v>25980</v>
      </c>
      <c r="H221">
        <v>94110</v>
      </c>
      <c r="I221">
        <v>94230</v>
      </c>
      <c r="J221">
        <v>88050</v>
      </c>
      <c r="K221">
        <v>5.95</v>
      </c>
      <c r="L221">
        <v>7.2</v>
      </c>
      <c r="M221">
        <v>5.05</v>
      </c>
      <c r="N221">
        <v>6.6</v>
      </c>
      <c r="O221">
        <v>5.35</v>
      </c>
      <c r="P221" s="9">
        <v>46148.454606481479</v>
      </c>
    </row>
    <row r="222" spans="1:16" x14ac:dyDescent="0.25">
      <c r="A222" t="s">
        <v>8</v>
      </c>
      <c r="B222" s="4">
        <v>46168</v>
      </c>
      <c r="C222" t="s">
        <v>31</v>
      </c>
      <c r="D222">
        <v>43500</v>
      </c>
      <c r="E222" t="s">
        <v>26</v>
      </c>
      <c r="F222">
        <v>18263.650000000001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18263.650000000001</v>
      </c>
      <c r="O222">
        <v>10465.1</v>
      </c>
      <c r="P222" s="9">
        <v>25569.229166666668</v>
      </c>
    </row>
    <row r="223" spans="1:16" x14ac:dyDescent="0.25">
      <c r="A223" t="s">
        <v>8</v>
      </c>
      <c r="B223" s="4">
        <v>46168</v>
      </c>
      <c r="C223" t="s">
        <v>32</v>
      </c>
      <c r="D223">
        <v>43500</v>
      </c>
      <c r="E223" t="s">
        <v>27</v>
      </c>
      <c r="F223">
        <v>5.4</v>
      </c>
      <c r="G223">
        <v>2700</v>
      </c>
      <c r="H223">
        <v>20310</v>
      </c>
      <c r="I223">
        <v>20370</v>
      </c>
      <c r="J223">
        <v>20310</v>
      </c>
      <c r="K223">
        <v>5.35</v>
      </c>
      <c r="L223">
        <v>6.45</v>
      </c>
      <c r="M223">
        <v>5.35</v>
      </c>
      <c r="N223">
        <v>6.65</v>
      </c>
      <c r="O223">
        <v>5.35</v>
      </c>
      <c r="P223" s="9">
        <v>46148.450879629629</v>
      </c>
    </row>
    <row r="224" spans="1:16" x14ac:dyDescent="0.25">
      <c r="A224" t="s">
        <v>8</v>
      </c>
      <c r="B224" s="4">
        <v>46168</v>
      </c>
      <c r="C224" t="s">
        <v>33</v>
      </c>
      <c r="D224">
        <v>44000</v>
      </c>
      <c r="E224" t="s">
        <v>26</v>
      </c>
      <c r="F224">
        <v>12162</v>
      </c>
      <c r="G224">
        <v>0</v>
      </c>
      <c r="H224">
        <v>1290</v>
      </c>
      <c r="I224">
        <v>1290</v>
      </c>
      <c r="J224">
        <v>1290</v>
      </c>
      <c r="K224">
        <v>0</v>
      </c>
      <c r="L224">
        <v>0</v>
      </c>
      <c r="M224">
        <v>0</v>
      </c>
      <c r="N224">
        <v>12162</v>
      </c>
      <c r="O224">
        <v>10189.6</v>
      </c>
      <c r="P224" s="9">
        <v>46141.436493055553</v>
      </c>
    </row>
    <row r="225" spans="1:16" x14ac:dyDescent="0.25">
      <c r="A225" t="s">
        <v>8</v>
      </c>
      <c r="B225" s="4">
        <v>46168</v>
      </c>
      <c r="C225" t="s">
        <v>34</v>
      </c>
      <c r="D225">
        <v>44000</v>
      </c>
      <c r="E225" t="s">
        <v>27</v>
      </c>
      <c r="F225">
        <v>6.1</v>
      </c>
      <c r="G225">
        <v>10290</v>
      </c>
      <c r="H225">
        <v>91950</v>
      </c>
      <c r="I225">
        <v>91950</v>
      </c>
      <c r="J225">
        <v>89880</v>
      </c>
      <c r="K225">
        <v>7.1</v>
      </c>
      <c r="L225">
        <v>7.2</v>
      </c>
      <c r="M225">
        <v>6.05</v>
      </c>
      <c r="N225">
        <v>7.8</v>
      </c>
      <c r="O225">
        <v>6.05</v>
      </c>
      <c r="P225" s="9">
        <v>46148.450879629629</v>
      </c>
    </row>
    <row r="226" spans="1:16" x14ac:dyDescent="0.25">
      <c r="A226" t="s">
        <v>8</v>
      </c>
      <c r="B226" s="4">
        <v>46168</v>
      </c>
      <c r="C226" t="s">
        <v>35</v>
      </c>
      <c r="D226">
        <v>44500</v>
      </c>
      <c r="E226" t="s">
        <v>26</v>
      </c>
      <c r="F226">
        <v>17280.099999999999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17280.099999999999</v>
      </c>
      <c r="O226">
        <v>9637.15</v>
      </c>
      <c r="P226" s="9">
        <v>25569.229166666668</v>
      </c>
    </row>
    <row r="227" spans="1:16" x14ac:dyDescent="0.25">
      <c r="A227" t="s">
        <v>8</v>
      </c>
      <c r="B227" s="4">
        <v>46168</v>
      </c>
      <c r="C227" t="s">
        <v>36</v>
      </c>
      <c r="D227">
        <v>44500</v>
      </c>
      <c r="E227" t="s">
        <v>27</v>
      </c>
      <c r="F227">
        <v>6.6</v>
      </c>
      <c r="G227">
        <v>5880</v>
      </c>
      <c r="H227">
        <v>6720</v>
      </c>
      <c r="I227">
        <v>6780</v>
      </c>
      <c r="J227">
        <v>6420</v>
      </c>
      <c r="K227">
        <v>7.75</v>
      </c>
      <c r="L227">
        <v>7.8</v>
      </c>
      <c r="M227">
        <v>6.1</v>
      </c>
      <c r="N227">
        <v>7.85</v>
      </c>
      <c r="O227">
        <v>6.6</v>
      </c>
      <c r="P227" s="9">
        <v>46148.449490740742</v>
      </c>
    </row>
    <row r="228" spans="1:16" x14ac:dyDescent="0.25">
      <c r="A228" t="s">
        <v>8</v>
      </c>
      <c r="B228" s="4">
        <v>46168</v>
      </c>
      <c r="C228" t="s">
        <v>37</v>
      </c>
      <c r="D228">
        <v>45000</v>
      </c>
      <c r="E228" t="s">
        <v>26</v>
      </c>
      <c r="F228">
        <v>16788.349999999999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16788.349999999999</v>
      </c>
      <c r="O228">
        <v>9500.7999999999993</v>
      </c>
      <c r="P228" s="9">
        <v>25569.229166666668</v>
      </c>
    </row>
    <row r="229" spans="1:16" x14ac:dyDescent="0.25">
      <c r="A229" t="s">
        <v>8</v>
      </c>
      <c r="B229" s="4">
        <v>46168</v>
      </c>
      <c r="C229" t="s">
        <v>38</v>
      </c>
      <c r="D229">
        <v>45000</v>
      </c>
      <c r="E229" t="s">
        <v>27</v>
      </c>
      <c r="F229">
        <v>7</v>
      </c>
      <c r="G229">
        <v>14070</v>
      </c>
      <c r="H229">
        <v>104820</v>
      </c>
      <c r="I229">
        <v>105900</v>
      </c>
      <c r="J229">
        <v>104820</v>
      </c>
      <c r="K229">
        <v>8.25</v>
      </c>
      <c r="L229">
        <v>8.4</v>
      </c>
      <c r="M229">
        <v>6.8</v>
      </c>
      <c r="N229">
        <v>8.75</v>
      </c>
      <c r="O229">
        <v>6.75</v>
      </c>
      <c r="P229" s="9">
        <v>46148.453043981484</v>
      </c>
    </row>
    <row r="230" spans="1:16" x14ac:dyDescent="0.25">
      <c r="A230" t="s">
        <v>8</v>
      </c>
      <c r="B230" s="4">
        <v>46168</v>
      </c>
      <c r="C230" t="s">
        <v>39</v>
      </c>
      <c r="D230">
        <v>45300</v>
      </c>
      <c r="E230" t="s">
        <v>26</v>
      </c>
      <c r="F230">
        <v>15239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15239</v>
      </c>
      <c r="O230">
        <v>8921.0499999999993</v>
      </c>
      <c r="P230" s="9">
        <v>25569.229166666668</v>
      </c>
    </row>
    <row r="231" spans="1:16" x14ac:dyDescent="0.25">
      <c r="A231" t="s">
        <v>8</v>
      </c>
      <c r="B231" s="4">
        <v>46168</v>
      </c>
      <c r="C231" t="s">
        <v>40</v>
      </c>
      <c r="D231">
        <v>45300</v>
      </c>
      <c r="E231" t="s">
        <v>27</v>
      </c>
      <c r="F231">
        <v>8.6999999999999993</v>
      </c>
      <c r="G231">
        <v>870</v>
      </c>
      <c r="H231">
        <v>3060</v>
      </c>
      <c r="I231">
        <v>3060</v>
      </c>
      <c r="J231">
        <v>3000</v>
      </c>
      <c r="K231">
        <v>9</v>
      </c>
      <c r="L231">
        <v>9</v>
      </c>
      <c r="M231">
        <v>7.3</v>
      </c>
      <c r="N231">
        <v>9.9</v>
      </c>
      <c r="O231">
        <v>7.4</v>
      </c>
      <c r="P231" s="9">
        <v>46148.452581018515</v>
      </c>
    </row>
    <row r="232" spans="1:16" x14ac:dyDescent="0.25">
      <c r="A232" t="s">
        <v>8</v>
      </c>
      <c r="B232" s="4">
        <v>46168</v>
      </c>
      <c r="C232" t="s">
        <v>41</v>
      </c>
      <c r="D232">
        <v>45400</v>
      </c>
      <c r="E232" t="s">
        <v>26</v>
      </c>
      <c r="F232">
        <v>15140.55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15140.55</v>
      </c>
      <c r="O232">
        <v>8867.4</v>
      </c>
      <c r="P232" s="9">
        <v>25569.229166666668</v>
      </c>
    </row>
    <row r="233" spans="1:16" x14ac:dyDescent="0.25">
      <c r="A233" t="s">
        <v>8</v>
      </c>
      <c r="B233" s="4">
        <v>46168</v>
      </c>
      <c r="C233" t="s">
        <v>42</v>
      </c>
      <c r="D233">
        <v>45400</v>
      </c>
      <c r="E233" t="s">
        <v>27</v>
      </c>
      <c r="F233">
        <v>8.25</v>
      </c>
      <c r="G233">
        <v>840</v>
      </c>
      <c r="H233">
        <v>5100</v>
      </c>
      <c r="I233">
        <v>5100</v>
      </c>
      <c r="J233">
        <v>4830</v>
      </c>
      <c r="K233">
        <v>12.4</v>
      </c>
      <c r="L233">
        <v>12.4</v>
      </c>
      <c r="M233">
        <v>8.25</v>
      </c>
      <c r="N233">
        <v>12.5</v>
      </c>
      <c r="O233">
        <v>8.25</v>
      </c>
      <c r="P233" s="9">
        <v>46148.435393518521</v>
      </c>
    </row>
    <row r="234" spans="1:16" x14ac:dyDescent="0.25">
      <c r="A234" t="s">
        <v>8</v>
      </c>
      <c r="B234" s="4">
        <v>46168</v>
      </c>
      <c r="C234" t="s">
        <v>43</v>
      </c>
      <c r="D234">
        <v>45500</v>
      </c>
      <c r="E234" t="s">
        <v>26</v>
      </c>
      <c r="F234">
        <v>16296.6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16296.6</v>
      </c>
      <c r="O234">
        <v>8785.4500000000007</v>
      </c>
      <c r="P234" s="9">
        <v>25569.229166666668</v>
      </c>
    </row>
    <row r="235" spans="1:16" x14ac:dyDescent="0.25">
      <c r="A235" t="s">
        <v>8</v>
      </c>
      <c r="B235" s="4">
        <v>46168</v>
      </c>
      <c r="C235" t="s">
        <v>44</v>
      </c>
      <c r="D235">
        <v>45500</v>
      </c>
      <c r="E235" t="s">
        <v>27</v>
      </c>
      <c r="F235">
        <v>8.0500000000000007</v>
      </c>
      <c r="G235">
        <v>3450</v>
      </c>
      <c r="H235">
        <v>5100</v>
      </c>
      <c r="I235">
        <v>5910</v>
      </c>
      <c r="J235">
        <v>4440</v>
      </c>
      <c r="K235">
        <v>8.25</v>
      </c>
      <c r="L235">
        <v>9.0500000000000007</v>
      </c>
      <c r="M235">
        <v>7.85</v>
      </c>
      <c r="N235">
        <v>10.55</v>
      </c>
      <c r="O235">
        <v>7.95</v>
      </c>
      <c r="P235" s="9">
        <v>46148.453703703701</v>
      </c>
    </row>
    <row r="236" spans="1:16" x14ac:dyDescent="0.25">
      <c r="A236" t="s">
        <v>8</v>
      </c>
      <c r="B236" s="4">
        <v>46168</v>
      </c>
      <c r="C236" t="s">
        <v>45</v>
      </c>
      <c r="D236">
        <v>45600</v>
      </c>
      <c r="E236" t="s">
        <v>26</v>
      </c>
      <c r="F236">
        <v>15647.5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15647.5</v>
      </c>
      <c r="O236">
        <v>7714.15</v>
      </c>
      <c r="P236" s="9">
        <v>25569.229166666668</v>
      </c>
    </row>
    <row r="237" spans="1:16" x14ac:dyDescent="0.25">
      <c r="A237" t="s">
        <v>8</v>
      </c>
      <c r="B237" s="4">
        <v>46168</v>
      </c>
      <c r="C237" t="s">
        <v>46</v>
      </c>
      <c r="D237">
        <v>45600</v>
      </c>
      <c r="E237" t="s">
        <v>27</v>
      </c>
      <c r="F237">
        <v>9.35</v>
      </c>
      <c r="G237">
        <v>3840</v>
      </c>
      <c r="H237">
        <v>900</v>
      </c>
      <c r="I237">
        <v>1620</v>
      </c>
      <c r="J237">
        <v>840</v>
      </c>
      <c r="K237">
        <v>12.15</v>
      </c>
      <c r="L237">
        <v>15.85</v>
      </c>
      <c r="M237">
        <v>7.5</v>
      </c>
      <c r="N237">
        <v>13.2</v>
      </c>
      <c r="O237">
        <v>7.9</v>
      </c>
      <c r="P237" s="9">
        <v>46148.424618055556</v>
      </c>
    </row>
    <row r="238" spans="1:16" x14ac:dyDescent="0.25">
      <c r="A238" t="s">
        <v>8</v>
      </c>
      <c r="B238" s="4">
        <v>46168</v>
      </c>
      <c r="C238" t="s">
        <v>47</v>
      </c>
      <c r="D238">
        <v>45700</v>
      </c>
      <c r="E238" t="s">
        <v>26</v>
      </c>
      <c r="F238">
        <v>15549.05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15549.05</v>
      </c>
      <c r="O238">
        <v>8601</v>
      </c>
      <c r="P238" s="9">
        <v>25569.229166666668</v>
      </c>
    </row>
    <row r="239" spans="1:16" x14ac:dyDescent="0.25">
      <c r="A239" t="s">
        <v>8</v>
      </c>
      <c r="B239" s="4">
        <v>46168</v>
      </c>
      <c r="C239" t="s">
        <v>48</v>
      </c>
      <c r="D239">
        <v>45700</v>
      </c>
      <c r="E239" t="s">
        <v>27</v>
      </c>
      <c r="F239">
        <v>8.0500000000000007</v>
      </c>
      <c r="G239">
        <v>150</v>
      </c>
      <c r="H239">
        <v>600</v>
      </c>
      <c r="I239">
        <v>600</v>
      </c>
      <c r="J239">
        <v>510</v>
      </c>
      <c r="K239">
        <v>10</v>
      </c>
      <c r="L239">
        <v>10</v>
      </c>
      <c r="M239">
        <v>8.0500000000000007</v>
      </c>
      <c r="N239">
        <v>14.85</v>
      </c>
      <c r="O239">
        <v>8.0500000000000007</v>
      </c>
      <c r="P239" s="9">
        <v>46148.44023148148</v>
      </c>
    </row>
    <row r="240" spans="1:16" x14ac:dyDescent="0.25">
      <c r="A240" t="s">
        <v>8</v>
      </c>
      <c r="B240" s="4">
        <v>46168</v>
      </c>
      <c r="C240" t="s">
        <v>49</v>
      </c>
      <c r="D240">
        <v>45800</v>
      </c>
      <c r="E240" t="s">
        <v>26</v>
      </c>
      <c r="F240">
        <v>15450.65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15450.65</v>
      </c>
      <c r="O240">
        <v>7500.4</v>
      </c>
      <c r="P240" s="9">
        <v>25569.229166666668</v>
      </c>
    </row>
    <row r="241" spans="1:16" x14ac:dyDescent="0.25">
      <c r="A241" t="s">
        <v>8</v>
      </c>
      <c r="B241" s="4">
        <v>46168</v>
      </c>
      <c r="C241" t="s">
        <v>50</v>
      </c>
      <c r="D241">
        <v>45800</v>
      </c>
      <c r="E241" t="s">
        <v>27</v>
      </c>
      <c r="F241">
        <v>8.3000000000000007</v>
      </c>
      <c r="G241">
        <v>60</v>
      </c>
      <c r="H241">
        <v>2070</v>
      </c>
      <c r="I241">
        <v>2070</v>
      </c>
      <c r="J241">
        <v>2040</v>
      </c>
      <c r="K241">
        <v>9.9</v>
      </c>
      <c r="L241">
        <v>9.9</v>
      </c>
      <c r="M241">
        <v>8.3000000000000007</v>
      </c>
      <c r="N241">
        <v>11.8</v>
      </c>
      <c r="O241">
        <v>8.1999999999999993</v>
      </c>
      <c r="P241" s="9">
        <v>46148.449930555558</v>
      </c>
    </row>
    <row r="242" spans="1:16" x14ac:dyDescent="0.25">
      <c r="A242" t="s">
        <v>8</v>
      </c>
      <c r="B242" s="4">
        <v>46168</v>
      </c>
      <c r="C242" t="s">
        <v>51</v>
      </c>
      <c r="D242">
        <v>45900</v>
      </c>
      <c r="E242" t="s">
        <v>26</v>
      </c>
      <c r="F242">
        <v>15352.25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15352.25</v>
      </c>
      <c r="O242">
        <v>8418.15</v>
      </c>
      <c r="P242" s="9">
        <v>25569.229166666668</v>
      </c>
    </row>
    <row r="243" spans="1:16" x14ac:dyDescent="0.25">
      <c r="A243" t="s">
        <v>8</v>
      </c>
      <c r="B243" s="4">
        <v>46168</v>
      </c>
      <c r="C243" t="s">
        <v>52</v>
      </c>
      <c r="D243">
        <v>45900</v>
      </c>
      <c r="E243" t="s">
        <v>27</v>
      </c>
      <c r="F243">
        <v>8.8000000000000007</v>
      </c>
      <c r="G243">
        <v>330</v>
      </c>
      <c r="H243">
        <v>1380</v>
      </c>
      <c r="I243">
        <v>1440</v>
      </c>
      <c r="J243">
        <v>1290</v>
      </c>
      <c r="K243">
        <v>10.9</v>
      </c>
      <c r="L243">
        <v>12</v>
      </c>
      <c r="M243">
        <v>8.6</v>
      </c>
      <c r="N243">
        <v>11.35</v>
      </c>
      <c r="O243">
        <v>8.0500000000000007</v>
      </c>
      <c r="P243" s="9">
        <v>46148.44730324074</v>
      </c>
    </row>
    <row r="244" spans="1:16" x14ac:dyDescent="0.25">
      <c r="A244" t="s">
        <v>8</v>
      </c>
      <c r="B244" s="4">
        <v>46168</v>
      </c>
      <c r="C244" t="s">
        <v>53</v>
      </c>
      <c r="D244">
        <v>46000</v>
      </c>
      <c r="E244" t="s">
        <v>26</v>
      </c>
      <c r="F244">
        <v>8697.6</v>
      </c>
      <c r="G244">
        <v>0</v>
      </c>
      <c r="H244">
        <v>25290</v>
      </c>
      <c r="I244">
        <v>25290</v>
      </c>
      <c r="J244">
        <v>25290</v>
      </c>
      <c r="K244">
        <v>0</v>
      </c>
      <c r="L244">
        <v>0</v>
      </c>
      <c r="M244">
        <v>0</v>
      </c>
      <c r="N244">
        <v>8697.6</v>
      </c>
      <c r="O244">
        <v>9092.4500000000007</v>
      </c>
      <c r="P244" s="9">
        <v>46147.634583333333</v>
      </c>
    </row>
    <row r="245" spans="1:16" x14ac:dyDescent="0.25">
      <c r="A245" t="s">
        <v>8</v>
      </c>
      <c r="B245" s="4">
        <v>46168</v>
      </c>
      <c r="C245" t="s">
        <v>54</v>
      </c>
      <c r="D245">
        <v>46000</v>
      </c>
      <c r="E245" t="s">
        <v>27</v>
      </c>
      <c r="F245">
        <v>8.65</v>
      </c>
      <c r="G245">
        <v>14850</v>
      </c>
      <c r="H245">
        <v>53280</v>
      </c>
      <c r="I245">
        <v>53310</v>
      </c>
      <c r="J245">
        <v>51210</v>
      </c>
      <c r="K245">
        <v>10.95</v>
      </c>
      <c r="L245">
        <v>10.95</v>
      </c>
      <c r="M245">
        <v>8.35</v>
      </c>
      <c r="N245">
        <v>12.55</v>
      </c>
      <c r="O245">
        <v>8.65</v>
      </c>
      <c r="P245" s="9">
        <v>46148.451331018521</v>
      </c>
    </row>
    <row r="246" spans="1:16" x14ac:dyDescent="0.25">
      <c r="A246" t="s">
        <v>8</v>
      </c>
      <c r="B246" s="4">
        <v>46168</v>
      </c>
      <c r="C246" t="s">
        <v>55</v>
      </c>
      <c r="D246">
        <v>46100</v>
      </c>
      <c r="E246" t="s">
        <v>26</v>
      </c>
      <c r="F246">
        <v>15706.55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15706.55</v>
      </c>
      <c r="O246">
        <v>8203.2000000000007</v>
      </c>
      <c r="P246" s="9">
        <v>25569.229166666668</v>
      </c>
    </row>
    <row r="247" spans="1:16" x14ac:dyDescent="0.25">
      <c r="A247" t="s">
        <v>8</v>
      </c>
      <c r="B247" s="4">
        <v>46168</v>
      </c>
      <c r="C247" t="s">
        <v>56</v>
      </c>
      <c r="D247">
        <v>46100</v>
      </c>
      <c r="E247" t="s">
        <v>27</v>
      </c>
      <c r="F247">
        <v>10.050000000000001</v>
      </c>
      <c r="G247">
        <v>60</v>
      </c>
      <c r="H247">
        <v>1470</v>
      </c>
      <c r="I247">
        <v>1470</v>
      </c>
      <c r="J247">
        <v>1440</v>
      </c>
      <c r="K247">
        <v>12.7</v>
      </c>
      <c r="L247">
        <v>12.7</v>
      </c>
      <c r="M247">
        <v>10.050000000000001</v>
      </c>
      <c r="N247">
        <v>14.55</v>
      </c>
      <c r="O247">
        <v>8.5500000000000007</v>
      </c>
      <c r="P247" s="9">
        <v>46148.449444444443</v>
      </c>
    </row>
    <row r="248" spans="1:16" x14ac:dyDescent="0.25">
      <c r="A248" t="s">
        <v>8</v>
      </c>
      <c r="B248" s="4">
        <v>46168</v>
      </c>
      <c r="C248" t="s">
        <v>57</v>
      </c>
      <c r="D248">
        <v>46200</v>
      </c>
      <c r="E248" t="s">
        <v>26</v>
      </c>
      <c r="F248">
        <v>15608.2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15608.2</v>
      </c>
      <c r="O248">
        <v>7146.45</v>
      </c>
      <c r="P248" s="9">
        <v>25569.229166666668</v>
      </c>
    </row>
    <row r="249" spans="1:16" x14ac:dyDescent="0.25">
      <c r="A249" t="s">
        <v>8</v>
      </c>
      <c r="B249" s="4">
        <v>46168</v>
      </c>
      <c r="C249" t="s">
        <v>58</v>
      </c>
      <c r="D249">
        <v>46200</v>
      </c>
      <c r="E249" t="s">
        <v>27</v>
      </c>
      <c r="F249">
        <v>13</v>
      </c>
      <c r="G249">
        <v>0</v>
      </c>
      <c r="H249">
        <v>1200</v>
      </c>
      <c r="I249">
        <v>1200</v>
      </c>
      <c r="J249">
        <v>1200</v>
      </c>
      <c r="K249">
        <v>0</v>
      </c>
      <c r="L249">
        <v>0</v>
      </c>
      <c r="M249">
        <v>0</v>
      </c>
      <c r="N249">
        <v>13</v>
      </c>
      <c r="O249">
        <v>8.6</v>
      </c>
      <c r="P249" s="9">
        <v>46146.645740740743</v>
      </c>
    </row>
    <row r="250" spans="1:16" x14ac:dyDescent="0.25">
      <c r="A250" t="s">
        <v>8</v>
      </c>
      <c r="B250" s="4">
        <v>46168</v>
      </c>
      <c r="C250" t="s">
        <v>59</v>
      </c>
      <c r="D250">
        <v>46300</v>
      </c>
      <c r="E250" t="s">
        <v>26</v>
      </c>
      <c r="F250">
        <v>15509.85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15509.85</v>
      </c>
      <c r="O250">
        <v>8028.05</v>
      </c>
      <c r="P250" s="9">
        <v>25569.229166666668</v>
      </c>
    </row>
    <row r="251" spans="1:16" x14ac:dyDescent="0.25">
      <c r="A251" t="s">
        <v>8</v>
      </c>
      <c r="B251" s="4">
        <v>46168</v>
      </c>
      <c r="C251" t="s">
        <v>60</v>
      </c>
      <c r="D251">
        <v>46300</v>
      </c>
      <c r="E251" t="s">
        <v>27</v>
      </c>
      <c r="F251">
        <v>10.7</v>
      </c>
      <c r="G251">
        <v>1080</v>
      </c>
      <c r="H251">
        <v>1110</v>
      </c>
      <c r="I251">
        <v>1110</v>
      </c>
      <c r="J251">
        <v>1050</v>
      </c>
      <c r="K251">
        <v>13.45</v>
      </c>
      <c r="L251">
        <v>13.45</v>
      </c>
      <c r="M251">
        <v>8.4</v>
      </c>
      <c r="N251">
        <v>13.45</v>
      </c>
      <c r="O251">
        <v>9.4499999999999993</v>
      </c>
      <c r="P251" s="9">
        <v>46148.430891203701</v>
      </c>
    </row>
    <row r="252" spans="1:16" x14ac:dyDescent="0.25">
      <c r="A252" t="s">
        <v>8</v>
      </c>
      <c r="B252" s="4">
        <v>46168</v>
      </c>
      <c r="C252" t="s">
        <v>61</v>
      </c>
      <c r="D252">
        <v>46400</v>
      </c>
      <c r="E252" t="s">
        <v>26</v>
      </c>
      <c r="F252">
        <v>15411.5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15411.5</v>
      </c>
      <c r="O252">
        <v>7962.6</v>
      </c>
      <c r="P252" s="9">
        <v>25569.229166666668</v>
      </c>
    </row>
    <row r="253" spans="1:16" x14ac:dyDescent="0.25">
      <c r="A253" t="s">
        <v>8</v>
      </c>
      <c r="B253" s="4">
        <v>46168</v>
      </c>
      <c r="C253" t="s">
        <v>62</v>
      </c>
      <c r="D253">
        <v>46400</v>
      </c>
      <c r="E253" t="s">
        <v>27</v>
      </c>
      <c r="F253">
        <v>14.8</v>
      </c>
      <c r="G253">
        <v>30</v>
      </c>
      <c r="H253">
        <v>1140</v>
      </c>
      <c r="I253">
        <v>1140</v>
      </c>
      <c r="J253">
        <v>1140</v>
      </c>
      <c r="K253">
        <v>14.8</v>
      </c>
      <c r="L253">
        <v>14.8</v>
      </c>
      <c r="M253">
        <v>14.8</v>
      </c>
      <c r="N253">
        <v>15.45</v>
      </c>
      <c r="O253">
        <v>9.6</v>
      </c>
      <c r="P253" s="9">
        <v>46148.403912037036</v>
      </c>
    </row>
    <row r="254" spans="1:16" x14ac:dyDescent="0.25">
      <c r="A254" t="s">
        <v>8</v>
      </c>
      <c r="B254" s="4">
        <v>46168</v>
      </c>
      <c r="C254" t="s">
        <v>63</v>
      </c>
      <c r="D254">
        <v>46500</v>
      </c>
      <c r="E254" t="s">
        <v>26</v>
      </c>
      <c r="F254">
        <v>10600</v>
      </c>
      <c r="G254">
        <v>0</v>
      </c>
      <c r="H254">
        <v>3240</v>
      </c>
      <c r="I254">
        <v>3240</v>
      </c>
      <c r="J254">
        <v>3240</v>
      </c>
      <c r="K254">
        <v>0</v>
      </c>
      <c r="L254">
        <v>0</v>
      </c>
      <c r="M254">
        <v>0</v>
      </c>
      <c r="N254">
        <v>10600</v>
      </c>
      <c r="O254">
        <v>7921.9</v>
      </c>
      <c r="P254" s="9">
        <v>46135.42324074074</v>
      </c>
    </row>
    <row r="255" spans="1:16" x14ac:dyDescent="0.25">
      <c r="A255" t="s">
        <v>8</v>
      </c>
      <c r="B255" s="4">
        <v>46168</v>
      </c>
      <c r="C255" t="s">
        <v>64</v>
      </c>
      <c r="D255">
        <v>46500</v>
      </c>
      <c r="E255" t="s">
        <v>27</v>
      </c>
      <c r="F255">
        <v>10.25</v>
      </c>
      <c r="G255">
        <v>3960</v>
      </c>
      <c r="H255">
        <v>19170</v>
      </c>
      <c r="I255">
        <v>19980</v>
      </c>
      <c r="J255">
        <v>19020</v>
      </c>
      <c r="K255">
        <v>12.3</v>
      </c>
      <c r="L255">
        <v>12.3</v>
      </c>
      <c r="M255">
        <v>9.75</v>
      </c>
      <c r="N255">
        <v>15</v>
      </c>
      <c r="O255">
        <v>10.1</v>
      </c>
      <c r="P255" s="9">
        <v>46148.447291666664</v>
      </c>
    </row>
    <row r="256" spans="1:16" x14ac:dyDescent="0.25">
      <c r="A256" t="s">
        <v>8</v>
      </c>
      <c r="B256" s="4">
        <v>46168</v>
      </c>
      <c r="C256" t="s">
        <v>65</v>
      </c>
      <c r="D256">
        <v>46600</v>
      </c>
      <c r="E256" t="s">
        <v>26</v>
      </c>
      <c r="F256">
        <v>15214.8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15214.8</v>
      </c>
      <c r="O256">
        <v>7776.65</v>
      </c>
      <c r="P256" s="9">
        <v>25569.229166666668</v>
      </c>
    </row>
    <row r="257" spans="1:16" x14ac:dyDescent="0.25">
      <c r="A257" t="s">
        <v>8</v>
      </c>
      <c r="B257" s="4">
        <v>46168</v>
      </c>
      <c r="C257" t="s">
        <v>66</v>
      </c>
      <c r="D257">
        <v>46600</v>
      </c>
      <c r="E257" t="s">
        <v>27</v>
      </c>
      <c r="F257">
        <v>10.35</v>
      </c>
      <c r="G257">
        <v>2010</v>
      </c>
      <c r="H257">
        <v>1950</v>
      </c>
      <c r="I257">
        <v>2190</v>
      </c>
      <c r="J257">
        <v>1890</v>
      </c>
      <c r="K257">
        <v>11.3</v>
      </c>
      <c r="L257">
        <v>13</v>
      </c>
      <c r="M257">
        <v>9.5</v>
      </c>
      <c r="N257">
        <v>17.2</v>
      </c>
      <c r="O257">
        <v>9.5</v>
      </c>
      <c r="P257" s="9">
        <v>46148.449247685188</v>
      </c>
    </row>
    <row r="258" spans="1:16" x14ac:dyDescent="0.25">
      <c r="A258" t="s">
        <v>8</v>
      </c>
      <c r="B258" s="4">
        <v>46168</v>
      </c>
      <c r="C258" t="s">
        <v>67</v>
      </c>
      <c r="D258">
        <v>46700</v>
      </c>
      <c r="E258" t="s">
        <v>26</v>
      </c>
      <c r="F258">
        <v>15116.5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15116.5</v>
      </c>
      <c r="O258">
        <v>7665.25</v>
      </c>
      <c r="P258" s="9">
        <v>25569.229166666668</v>
      </c>
    </row>
    <row r="259" spans="1:16" x14ac:dyDescent="0.25">
      <c r="A259" t="s">
        <v>8</v>
      </c>
      <c r="B259" s="4">
        <v>46168</v>
      </c>
      <c r="C259" t="s">
        <v>68</v>
      </c>
      <c r="D259">
        <v>46700</v>
      </c>
      <c r="E259" t="s">
        <v>27</v>
      </c>
      <c r="F259">
        <v>19.95</v>
      </c>
      <c r="G259">
        <v>30</v>
      </c>
      <c r="H259">
        <v>240</v>
      </c>
      <c r="I259">
        <v>240</v>
      </c>
      <c r="J259">
        <v>240</v>
      </c>
      <c r="K259">
        <v>19.95</v>
      </c>
      <c r="L259">
        <v>19.95</v>
      </c>
      <c r="M259">
        <v>19.95</v>
      </c>
      <c r="N259">
        <v>19.95</v>
      </c>
      <c r="O259">
        <v>9.9</v>
      </c>
      <c r="P259" s="9">
        <v>46148.385567129626</v>
      </c>
    </row>
    <row r="260" spans="1:16" x14ac:dyDescent="0.25">
      <c r="A260" t="s">
        <v>8</v>
      </c>
      <c r="B260" s="4">
        <v>46168</v>
      </c>
      <c r="C260" t="s">
        <v>69</v>
      </c>
      <c r="D260">
        <v>46800</v>
      </c>
      <c r="E260" t="s">
        <v>26</v>
      </c>
      <c r="F260">
        <v>15018.15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15018.15</v>
      </c>
      <c r="O260">
        <v>6504.2</v>
      </c>
      <c r="P260" s="9">
        <v>25569.229166666668</v>
      </c>
    </row>
    <row r="261" spans="1:16" x14ac:dyDescent="0.25">
      <c r="A261" t="s">
        <v>8</v>
      </c>
      <c r="B261" s="4">
        <v>46168</v>
      </c>
      <c r="C261" t="s">
        <v>70</v>
      </c>
      <c r="D261">
        <v>46800</v>
      </c>
      <c r="E261" t="s">
        <v>27</v>
      </c>
      <c r="F261">
        <v>18.149999999999999</v>
      </c>
      <c r="G261">
        <v>150</v>
      </c>
      <c r="H261">
        <v>180</v>
      </c>
      <c r="I261">
        <v>180</v>
      </c>
      <c r="J261">
        <v>180</v>
      </c>
      <c r="K261">
        <v>14.5</v>
      </c>
      <c r="L261">
        <v>18.149999999999999</v>
      </c>
      <c r="M261">
        <v>14.5</v>
      </c>
      <c r="N261">
        <v>20.65</v>
      </c>
      <c r="O261">
        <v>9.85</v>
      </c>
      <c r="P261" s="9">
        <v>46148.405868055554</v>
      </c>
    </row>
    <row r="262" spans="1:16" x14ac:dyDescent="0.25">
      <c r="A262" t="s">
        <v>8</v>
      </c>
      <c r="B262" s="4">
        <v>46168</v>
      </c>
      <c r="C262" t="s">
        <v>71</v>
      </c>
      <c r="D262">
        <v>46900</v>
      </c>
      <c r="E262" t="s">
        <v>26</v>
      </c>
      <c r="F262">
        <v>14919.8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14919.8</v>
      </c>
      <c r="O262">
        <v>7503.1</v>
      </c>
      <c r="P262" s="9">
        <v>25569.229166666668</v>
      </c>
    </row>
    <row r="263" spans="1:16" x14ac:dyDescent="0.25">
      <c r="A263" t="s">
        <v>8</v>
      </c>
      <c r="B263" s="4">
        <v>46168</v>
      </c>
      <c r="C263" t="s">
        <v>72</v>
      </c>
      <c r="D263">
        <v>46900</v>
      </c>
      <c r="E263" t="s">
        <v>27</v>
      </c>
      <c r="F263">
        <v>15</v>
      </c>
      <c r="G263">
        <v>450</v>
      </c>
      <c r="H263">
        <v>300</v>
      </c>
      <c r="I263">
        <v>300</v>
      </c>
      <c r="J263">
        <v>300</v>
      </c>
      <c r="K263">
        <v>13.1</v>
      </c>
      <c r="L263">
        <v>15</v>
      </c>
      <c r="M263">
        <v>7.5</v>
      </c>
      <c r="N263">
        <v>15.2</v>
      </c>
      <c r="O263">
        <v>10.3</v>
      </c>
      <c r="P263" s="9">
        <v>46148.428912037038</v>
      </c>
    </row>
    <row r="264" spans="1:16" x14ac:dyDescent="0.25">
      <c r="A264" t="s">
        <v>8</v>
      </c>
      <c r="B264" s="4">
        <v>46168</v>
      </c>
      <c r="C264" t="s">
        <v>73</v>
      </c>
      <c r="D264">
        <v>47000</v>
      </c>
      <c r="E264" t="s">
        <v>26</v>
      </c>
      <c r="F264">
        <v>7707.45</v>
      </c>
      <c r="G264">
        <v>0</v>
      </c>
      <c r="H264">
        <v>2130</v>
      </c>
      <c r="I264">
        <v>2130</v>
      </c>
      <c r="J264">
        <v>2130</v>
      </c>
      <c r="K264">
        <v>0</v>
      </c>
      <c r="L264">
        <v>0</v>
      </c>
      <c r="M264">
        <v>0</v>
      </c>
      <c r="N264">
        <v>7707.45</v>
      </c>
      <c r="O264">
        <v>8161.3</v>
      </c>
      <c r="P264" s="9">
        <v>46142.45621527778</v>
      </c>
    </row>
    <row r="265" spans="1:16" x14ac:dyDescent="0.25">
      <c r="A265" t="s">
        <v>8</v>
      </c>
      <c r="B265" s="4">
        <v>46168</v>
      </c>
      <c r="C265" t="s">
        <v>74</v>
      </c>
      <c r="D265">
        <v>47000</v>
      </c>
      <c r="E265" t="s">
        <v>27</v>
      </c>
      <c r="F265">
        <v>12.2</v>
      </c>
      <c r="G265">
        <v>37230</v>
      </c>
      <c r="H265">
        <v>75900</v>
      </c>
      <c r="I265">
        <v>78840</v>
      </c>
      <c r="J265">
        <v>75600</v>
      </c>
      <c r="K265">
        <v>11</v>
      </c>
      <c r="L265">
        <v>14.8</v>
      </c>
      <c r="M265">
        <v>9.6999999999999993</v>
      </c>
      <c r="N265">
        <v>18.8</v>
      </c>
      <c r="O265">
        <v>12.2</v>
      </c>
      <c r="P265" s="9">
        <v>46148.454247685186</v>
      </c>
    </row>
    <row r="266" spans="1:16" x14ac:dyDescent="0.25">
      <c r="A266" t="s">
        <v>8</v>
      </c>
      <c r="B266" s="4">
        <v>46168</v>
      </c>
      <c r="C266" t="s">
        <v>75</v>
      </c>
      <c r="D266">
        <v>47100</v>
      </c>
      <c r="E266" t="s">
        <v>26</v>
      </c>
      <c r="F266">
        <v>14723.15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14723.15</v>
      </c>
      <c r="O266">
        <v>7302.25</v>
      </c>
      <c r="P266" s="9">
        <v>25569.229166666668</v>
      </c>
    </row>
    <row r="267" spans="1:16" x14ac:dyDescent="0.25">
      <c r="A267" t="s">
        <v>8</v>
      </c>
      <c r="B267" s="4">
        <v>46168</v>
      </c>
      <c r="C267" t="s">
        <v>76</v>
      </c>
      <c r="D267">
        <v>47100</v>
      </c>
      <c r="E267" t="s">
        <v>27</v>
      </c>
      <c r="F267">
        <v>14.25</v>
      </c>
      <c r="G267">
        <v>1620</v>
      </c>
      <c r="H267">
        <v>2850</v>
      </c>
      <c r="I267">
        <v>2850</v>
      </c>
      <c r="J267">
        <v>2370</v>
      </c>
      <c r="K267">
        <v>15.1</v>
      </c>
      <c r="L267">
        <v>15.1</v>
      </c>
      <c r="M267">
        <v>12.7</v>
      </c>
      <c r="N267">
        <v>19.7</v>
      </c>
      <c r="O267">
        <v>12.65</v>
      </c>
      <c r="P267" s="9">
        <v>46148.450370370374</v>
      </c>
    </row>
    <row r="268" spans="1:16" x14ac:dyDescent="0.25">
      <c r="A268" t="s">
        <v>8</v>
      </c>
      <c r="B268" s="4">
        <v>46168</v>
      </c>
      <c r="C268" t="s">
        <v>77</v>
      </c>
      <c r="D268">
        <v>47200</v>
      </c>
      <c r="E268" t="s">
        <v>26</v>
      </c>
      <c r="F268">
        <v>14624.85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14624.85</v>
      </c>
      <c r="O268">
        <v>7192.4</v>
      </c>
      <c r="P268" s="9">
        <v>25569.229166666668</v>
      </c>
    </row>
    <row r="269" spans="1:16" x14ac:dyDescent="0.25">
      <c r="A269" t="s">
        <v>8</v>
      </c>
      <c r="B269" s="4">
        <v>46168</v>
      </c>
      <c r="C269" t="s">
        <v>78</v>
      </c>
      <c r="D269">
        <v>47200</v>
      </c>
      <c r="E269" t="s">
        <v>27</v>
      </c>
      <c r="F269">
        <v>0.25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0.25</v>
      </c>
      <c r="O269">
        <v>11.65</v>
      </c>
      <c r="P269" s="9">
        <v>25569.229166666668</v>
      </c>
    </row>
    <row r="270" spans="1:16" x14ac:dyDescent="0.25">
      <c r="A270" t="s">
        <v>8</v>
      </c>
      <c r="B270" s="4">
        <v>46168</v>
      </c>
      <c r="C270" t="s">
        <v>79</v>
      </c>
      <c r="D270">
        <v>47300</v>
      </c>
      <c r="E270" t="s">
        <v>26</v>
      </c>
      <c r="F270">
        <v>14526.5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14526.5</v>
      </c>
      <c r="O270">
        <v>7125.7</v>
      </c>
      <c r="P270" s="9">
        <v>25569.229166666668</v>
      </c>
    </row>
    <row r="271" spans="1:16" x14ac:dyDescent="0.25">
      <c r="A271" t="s">
        <v>8</v>
      </c>
      <c r="B271" s="4">
        <v>46168</v>
      </c>
      <c r="C271" t="s">
        <v>80</v>
      </c>
      <c r="D271">
        <v>47300</v>
      </c>
      <c r="E271" t="s">
        <v>27</v>
      </c>
      <c r="F271">
        <v>11.45</v>
      </c>
      <c r="G271">
        <v>570</v>
      </c>
      <c r="H271">
        <v>450</v>
      </c>
      <c r="I271">
        <v>450</v>
      </c>
      <c r="J271">
        <v>30</v>
      </c>
      <c r="K271">
        <v>14.1</v>
      </c>
      <c r="L271">
        <v>15.45</v>
      </c>
      <c r="M271">
        <v>11.45</v>
      </c>
      <c r="N271">
        <v>0.3</v>
      </c>
      <c r="O271">
        <v>11.8</v>
      </c>
      <c r="P271" s="9">
        <v>46148.432245370372</v>
      </c>
    </row>
    <row r="272" spans="1:16" x14ac:dyDescent="0.25">
      <c r="A272" t="s">
        <v>8</v>
      </c>
      <c r="B272" s="4">
        <v>46168</v>
      </c>
      <c r="C272" t="s">
        <v>81</v>
      </c>
      <c r="D272">
        <v>47400</v>
      </c>
      <c r="E272" t="s">
        <v>26</v>
      </c>
      <c r="F272">
        <v>14428.2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14428.2</v>
      </c>
      <c r="O272">
        <v>7018.6</v>
      </c>
      <c r="P272" s="9">
        <v>25569.229166666668</v>
      </c>
    </row>
    <row r="273" spans="1:16" x14ac:dyDescent="0.25">
      <c r="A273" t="s">
        <v>8</v>
      </c>
      <c r="B273" s="4">
        <v>46168</v>
      </c>
      <c r="C273" t="s">
        <v>82</v>
      </c>
      <c r="D273">
        <v>47400</v>
      </c>
      <c r="E273" t="s">
        <v>27</v>
      </c>
      <c r="F273">
        <v>13.45</v>
      </c>
      <c r="G273">
        <v>330</v>
      </c>
      <c r="H273">
        <v>300</v>
      </c>
      <c r="I273">
        <v>300</v>
      </c>
      <c r="J273">
        <v>30</v>
      </c>
      <c r="K273">
        <v>14.6</v>
      </c>
      <c r="L273">
        <v>17.2</v>
      </c>
      <c r="M273">
        <v>13.45</v>
      </c>
      <c r="N273">
        <v>0.35</v>
      </c>
      <c r="O273">
        <v>12.35</v>
      </c>
      <c r="P273" s="9">
        <v>46148.440706018519</v>
      </c>
    </row>
    <row r="274" spans="1:16" x14ac:dyDescent="0.25">
      <c r="A274" t="s">
        <v>8</v>
      </c>
      <c r="B274" s="4">
        <v>46168</v>
      </c>
      <c r="C274" t="s">
        <v>83</v>
      </c>
      <c r="D274">
        <v>47500</v>
      </c>
      <c r="E274" t="s">
        <v>26</v>
      </c>
      <c r="F274">
        <v>9500</v>
      </c>
      <c r="G274">
        <v>0</v>
      </c>
      <c r="H274">
        <v>420</v>
      </c>
      <c r="I274">
        <v>420</v>
      </c>
      <c r="J274">
        <v>420</v>
      </c>
      <c r="K274">
        <v>0</v>
      </c>
      <c r="L274">
        <v>0</v>
      </c>
      <c r="M274">
        <v>0</v>
      </c>
      <c r="N274">
        <v>9500</v>
      </c>
      <c r="O274">
        <v>6827.85</v>
      </c>
      <c r="P274" s="9">
        <v>46135.423692129632</v>
      </c>
    </row>
    <row r="275" spans="1:16" x14ac:dyDescent="0.25">
      <c r="A275" t="s">
        <v>8</v>
      </c>
      <c r="B275" s="4">
        <v>46168</v>
      </c>
      <c r="C275" t="s">
        <v>84</v>
      </c>
      <c r="D275">
        <v>47500</v>
      </c>
      <c r="E275" t="s">
        <v>27</v>
      </c>
      <c r="F275">
        <v>14.45</v>
      </c>
      <c r="G275">
        <v>55740</v>
      </c>
      <c r="H275">
        <v>65940</v>
      </c>
      <c r="I275">
        <v>66180</v>
      </c>
      <c r="J275">
        <v>63570</v>
      </c>
      <c r="K275">
        <v>16.55</v>
      </c>
      <c r="L275">
        <v>17</v>
      </c>
      <c r="M275">
        <v>13.5</v>
      </c>
      <c r="N275">
        <v>22.75</v>
      </c>
      <c r="O275">
        <v>14.3</v>
      </c>
      <c r="P275" s="9">
        <v>46148.454594907409</v>
      </c>
    </row>
    <row r="276" spans="1:16" x14ac:dyDescent="0.25">
      <c r="A276" t="s">
        <v>8</v>
      </c>
      <c r="B276" s="4">
        <v>46168</v>
      </c>
      <c r="C276" t="s">
        <v>85</v>
      </c>
      <c r="D276">
        <v>47600</v>
      </c>
      <c r="E276" t="s">
        <v>26</v>
      </c>
      <c r="F276">
        <v>14231.55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14231.55</v>
      </c>
      <c r="O276">
        <v>5803.2</v>
      </c>
      <c r="P276" s="9">
        <v>25569.229166666668</v>
      </c>
    </row>
    <row r="277" spans="1:16" x14ac:dyDescent="0.25">
      <c r="A277" t="s">
        <v>8</v>
      </c>
      <c r="B277" s="4">
        <v>46168</v>
      </c>
      <c r="C277" t="s">
        <v>86</v>
      </c>
      <c r="D277">
        <v>47600</v>
      </c>
      <c r="E277" t="s">
        <v>27</v>
      </c>
      <c r="F277">
        <v>17.45</v>
      </c>
      <c r="G277">
        <v>840</v>
      </c>
      <c r="H277">
        <v>750</v>
      </c>
      <c r="I277">
        <v>750</v>
      </c>
      <c r="J277">
        <v>390</v>
      </c>
      <c r="K277">
        <v>15.65</v>
      </c>
      <c r="L277">
        <v>17.45</v>
      </c>
      <c r="M277">
        <v>15.15</v>
      </c>
      <c r="N277">
        <v>0.4</v>
      </c>
      <c r="O277">
        <v>13.6</v>
      </c>
      <c r="P277" s="9">
        <v>46148.426481481481</v>
      </c>
    </row>
    <row r="278" spans="1:16" x14ac:dyDescent="0.25">
      <c r="A278" t="s">
        <v>8</v>
      </c>
      <c r="B278" s="4">
        <v>46168</v>
      </c>
      <c r="C278" t="s">
        <v>87</v>
      </c>
      <c r="D278">
        <v>47700</v>
      </c>
      <c r="E278" t="s">
        <v>26</v>
      </c>
      <c r="F278">
        <v>14133.25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14133.25</v>
      </c>
      <c r="O278">
        <v>6731.1</v>
      </c>
      <c r="P278" s="9">
        <v>25569.229166666668</v>
      </c>
    </row>
    <row r="279" spans="1:16" x14ac:dyDescent="0.25">
      <c r="A279" t="s">
        <v>8</v>
      </c>
      <c r="B279" s="4">
        <v>46168</v>
      </c>
      <c r="C279" t="s">
        <v>88</v>
      </c>
      <c r="D279">
        <v>47700</v>
      </c>
      <c r="E279" t="s">
        <v>27</v>
      </c>
      <c r="F279">
        <v>16.5</v>
      </c>
      <c r="G279">
        <v>660</v>
      </c>
      <c r="H279">
        <v>630</v>
      </c>
      <c r="I279">
        <v>630</v>
      </c>
      <c r="J279">
        <v>180</v>
      </c>
      <c r="K279">
        <v>16.149999999999999</v>
      </c>
      <c r="L279">
        <v>17.25</v>
      </c>
      <c r="M279">
        <v>15.9</v>
      </c>
      <c r="N279">
        <v>0.45</v>
      </c>
      <c r="O279">
        <v>13.85</v>
      </c>
      <c r="P279" s="9">
        <v>46148.454907407409</v>
      </c>
    </row>
    <row r="280" spans="1:16" x14ac:dyDescent="0.25">
      <c r="A280" t="s">
        <v>8</v>
      </c>
      <c r="B280" s="4">
        <v>46168</v>
      </c>
      <c r="C280" t="s">
        <v>89</v>
      </c>
      <c r="D280">
        <v>47800</v>
      </c>
      <c r="E280" t="s">
        <v>26</v>
      </c>
      <c r="F280">
        <v>14034.95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14034.95</v>
      </c>
      <c r="O280">
        <v>5555.05</v>
      </c>
      <c r="P280" s="9">
        <v>25569.229166666668</v>
      </c>
    </row>
    <row r="281" spans="1:16" x14ac:dyDescent="0.25">
      <c r="A281" t="s">
        <v>8</v>
      </c>
      <c r="B281" s="4">
        <v>46168</v>
      </c>
      <c r="C281" t="s">
        <v>90</v>
      </c>
      <c r="D281">
        <v>47800</v>
      </c>
      <c r="E281" t="s">
        <v>27</v>
      </c>
      <c r="F281">
        <v>17.600000000000001</v>
      </c>
      <c r="G281">
        <v>660</v>
      </c>
      <c r="H281">
        <v>660</v>
      </c>
      <c r="I281">
        <v>660</v>
      </c>
      <c r="J281">
        <v>60</v>
      </c>
      <c r="K281">
        <v>16.7</v>
      </c>
      <c r="L281">
        <v>17.899999999999999</v>
      </c>
      <c r="M281">
        <v>16.7</v>
      </c>
      <c r="N281">
        <v>0.5</v>
      </c>
      <c r="O281">
        <v>14.2</v>
      </c>
      <c r="P281" s="9">
        <v>46148.437557870369</v>
      </c>
    </row>
    <row r="282" spans="1:16" x14ac:dyDescent="0.25">
      <c r="A282" t="s">
        <v>8</v>
      </c>
      <c r="B282" s="4">
        <v>46168</v>
      </c>
      <c r="C282" t="s">
        <v>91</v>
      </c>
      <c r="D282">
        <v>47900</v>
      </c>
      <c r="E282" t="s">
        <v>26</v>
      </c>
      <c r="F282">
        <v>13936.65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13936.65</v>
      </c>
      <c r="O282">
        <v>5428.65</v>
      </c>
      <c r="P282" s="9">
        <v>25569.229166666668</v>
      </c>
    </row>
    <row r="283" spans="1:16" x14ac:dyDescent="0.25">
      <c r="A283" t="s">
        <v>8</v>
      </c>
      <c r="B283" s="4">
        <v>46168</v>
      </c>
      <c r="C283" t="s">
        <v>92</v>
      </c>
      <c r="D283">
        <v>47900</v>
      </c>
      <c r="E283" t="s">
        <v>27</v>
      </c>
      <c r="F283">
        <v>18.45</v>
      </c>
      <c r="G283">
        <v>810</v>
      </c>
      <c r="H283">
        <v>720</v>
      </c>
      <c r="I283">
        <v>720</v>
      </c>
      <c r="J283">
        <v>150</v>
      </c>
      <c r="K283">
        <v>17.2</v>
      </c>
      <c r="L283">
        <v>18.7</v>
      </c>
      <c r="M283">
        <v>16.649999999999999</v>
      </c>
      <c r="N283">
        <v>0.55000000000000004</v>
      </c>
      <c r="O283">
        <v>15.4</v>
      </c>
      <c r="P283" s="9">
        <v>46148.441018518519</v>
      </c>
    </row>
    <row r="284" spans="1:16" x14ac:dyDescent="0.25">
      <c r="A284" t="s">
        <v>8</v>
      </c>
      <c r="B284" s="4">
        <v>46168</v>
      </c>
      <c r="C284" t="s">
        <v>93</v>
      </c>
      <c r="D284">
        <v>48000</v>
      </c>
      <c r="E284" t="s">
        <v>26</v>
      </c>
      <c r="F284">
        <v>7350</v>
      </c>
      <c r="G284">
        <v>30</v>
      </c>
      <c r="H284">
        <v>9450</v>
      </c>
      <c r="I284">
        <v>9450</v>
      </c>
      <c r="J284">
        <v>9450</v>
      </c>
      <c r="K284">
        <v>7350</v>
      </c>
      <c r="L284">
        <v>7350</v>
      </c>
      <c r="M284">
        <v>7350</v>
      </c>
      <c r="N284">
        <v>6742.2</v>
      </c>
      <c r="O284">
        <v>7160.7</v>
      </c>
      <c r="P284" s="9">
        <v>46148.410208333335</v>
      </c>
    </row>
    <row r="285" spans="1:16" x14ac:dyDescent="0.25">
      <c r="A285" t="s">
        <v>8</v>
      </c>
      <c r="B285" s="4">
        <v>46168</v>
      </c>
      <c r="C285" t="s">
        <v>94</v>
      </c>
      <c r="D285">
        <v>48000</v>
      </c>
      <c r="E285" t="s">
        <v>27</v>
      </c>
      <c r="F285">
        <v>18.399999999999999</v>
      </c>
      <c r="G285">
        <v>167550</v>
      </c>
      <c r="H285">
        <v>178980</v>
      </c>
      <c r="I285">
        <v>209310</v>
      </c>
      <c r="J285">
        <v>178650</v>
      </c>
      <c r="K285">
        <v>20.95</v>
      </c>
      <c r="L285">
        <v>21</v>
      </c>
      <c r="M285">
        <v>16.350000000000001</v>
      </c>
      <c r="N285">
        <v>28.75</v>
      </c>
      <c r="O285">
        <v>18.399999999999999</v>
      </c>
      <c r="P285" s="9">
        <v>46148.454525462963</v>
      </c>
    </row>
    <row r="286" spans="1:16" x14ac:dyDescent="0.25">
      <c r="A286" t="s">
        <v>8</v>
      </c>
      <c r="B286" s="4">
        <v>46168</v>
      </c>
      <c r="C286" t="s">
        <v>95</v>
      </c>
      <c r="D286">
        <v>48100</v>
      </c>
      <c r="E286" t="s">
        <v>26</v>
      </c>
      <c r="F286">
        <v>13740.05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13740.05</v>
      </c>
      <c r="O286">
        <v>5343.6</v>
      </c>
      <c r="P286" s="9">
        <v>25569.229166666668</v>
      </c>
    </row>
    <row r="287" spans="1:16" x14ac:dyDescent="0.25">
      <c r="A287" t="s">
        <v>8</v>
      </c>
      <c r="B287" s="4">
        <v>46168</v>
      </c>
      <c r="C287" t="s">
        <v>96</v>
      </c>
      <c r="D287">
        <v>48100</v>
      </c>
      <c r="E287" t="s">
        <v>27</v>
      </c>
      <c r="F287">
        <v>19.2</v>
      </c>
      <c r="G287">
        <v>900</v>
      </c>
      <c r="H287">
        <v>810</v>
      </c>
      <c r="I287">
        <v>810</v>
      </c>
      <c r="J287">
        <v>150</v>
      </c>
      <c r="K287">
        <v>18.05</v>
      </c>
      <c r="L287">
        <v>20.2</v>
      </c>
      <c r="M287">
        <v>18.05</v>
      </c>
      <c r="N287">
        <v>0.65</v>
      </c>
      <c r="O287">
        <v>18.899999999999999</v>
      </c>
      <c r="P287" s="9">
        <v>46148.445428240739</v>
      </c>
    </row>
    <row r="288" spans="1:16" x14ac:dyDescent="0.25">
      <c r="A288" t="s">
        <v>8</v>
      </c>
      <c r="B288" s="4">
        <v>46168</v>
      </c>
      <c r="C288" t="s">
        <v>97</v>
      </c>
      <c r="D288">
        <v>48200</v>
      </c>
      <c r="E288" t="s">
        <v>26</v>
      </c>
      <c r="F288">
        <v>13641.75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13641.75</v>
      </c>
      <c r="O288">
        <v>5220.2</v>
      </c>
      <c r="P288" s="9">
        <v>25569.229166666668</v>
      </c>
    </row>
    <row r="289" spans="1:16" x14ac:dyDescent="0.25">
      <c r="A289" t="s">
        <v>8</v>
      </c>
      <c r="B289" s="4">
        <v>46168</v>
      </c>
      <c r="C289" t="s">
        <v>98</v>
      </c>
      <c r="D289">
        <v>48200</v>
      </c>
      <c r="E289" t="s">
        <v>27</v>
      </c>
      <c r="F289">
        <v>20.95</v>
      </c>
      <c r="G289">
        <v>810</v>
      </c>
      <c r="H289">
        <v>600</v>
      </c>
      <c r="I289">
        <v>600</v>
      </c>
      <c r="J289">
        <v>120</v>
      </c>
      <c r="K289">
        <v>19.05</v>
      </c>
      <c r="L289">
        <v>21.25</v>
      </c>
      <c r="M289">
        <v>18.5</v>
      </c>
      <c r="N289">
        <v>0.75</v>
      </c>
      <c r="O289">
        <v>18.8</v>
      </c>
      <c r="P289" s="9">
        <v>46148.454594907409</v>
      </c>
    </row>
    <row r="290" spans="1:16" x14ac:dyDescent="0.25">
      <c r="A290" t="s">
        <v>8</v>
      </c>
      <c r="B290" s="4">
        <v>46168</v>
      </c>
      <c r="C290" t="s">
        <v>99</v>
      </c>
      <c r="D290">
        <v>48300</v>
      </c>
      <c r="E290" t="s">
        <v>26</v>
      </c>
      <c r="F290">
        <v>13543.45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13543.45</v>
      </c>
      <c r="O290">
        <v>5096.8500000000004</v>
      </c>
      <c r="P290" s="9">
        <v>25569.229166666668</v>
      </c>
    </row>
    <row r="291" spans="1:16" x14ac:dyDescent="0.25">
      <c r="A291" t="s">
        <v>8</v>
      </c>
      <c r="B291" s="4">
        <v>46168</v>
      </c>
      <c r="C291" t="s">
        <v>100</v>
      </c>
      <c r="D291">
        <v>48300</v>
      </c>
      <c r="E291" t="s">
        <v>27</v>
      </c>
      <c r="F291">
        <v>21.75</v>
      </c>
      <c r="G291">
        <v>1080</v>
      </c>
      <c r="H291">
        <v>930</v>
      </c>
      <c r="I291">
        <v>930</v>
      </c>
      <c r="J291">
        <v>180</v>
      </c>
      <c r="K291">
        <v>20.100000000000001</v>
      </c>
      <c r="L291">
        <v>22.05</v>
      </c>
      <c r="M291">
        <v>19.95</v>
      </c>
      <c r="N291">
        <v>0.8</v>
      </c>
      <c r="O291">
        <v>20.350000000000001</v>
      </c>
      <c r="P291" s="9">
        <v>46148.454907407409</v>
      </c>
    </row>
    <row r="292" spans="1:16" x14ac:dyDescent="0.25">
      <c r="A292" t="s">
        <v>8</v>
      </c>
      <c r="B292" s="4">
        <v>46168</v>
      </c>
      <c r="C292" t="s">
        <v>101</v>
      </c>
      <c r="D292">
        <v>48400</v>
      </c>
      <c r="E292" t="s">
        <v>26</v>
      </c>
      <c r="F292">
        <v>13445.2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13445.2</v>
      </c>
      <c r="O292">
        <v>4996.75</v>
      </c>
      <c r="P292" s="9">
        <v>25569.229166666668</v>
      </c>
    </row>
    <row r="293" spans="1:16" x14ac:dyDescent="0.25">
      <c r="A293" t="s">
        <v>8</v>
      </c>
      <c r="B293" s="4">
        <v>46168</v>
      </c>
      <c r="C293" t="s">
        <v>102</v>
      </c>
      <c r="D293">
        <v>48400</v>
      </c>
      <c r="E293" t="s">
        <v>27</v>
      </c>
      <c r="F293">
        <v>22.45</v>
      </c>
      <c r="G293">
        <v>6690</v>
      </c>
      <c r="H293">
        <v>1530</v>
      </c>
      <c r="I293">
        <v>2430</v>
      </c>
      <c r="J293">
        <v>90</v>
      </c>
      <c r="K293">
        <v>20.9</v>
      </c>
      <c r="L293">
        <v>24</v>
      </c>
      <c r="M293">
        <v>18.600000000000001</v>
      </c>
      <c r="N293">
        <v>0.9</v>
      </c>
      <c r="O293">
        <v>21.4</v>
      </c>
      <c r="P293" s="9">
        <v>46148.453831018516</v>
      </c>
    </row>
    <row r="294" spans="1:16" x14ac:dyDescent="0.25">
      <c r="A294" t="s">
        <v>8</v>
      </c>
      <c r="B294" s="4">
        <v>46168</v>
      </c>
      <c r="C294" t="s">
        <v>103</v>
      </c>
      <c r="D294">
        <v>48500</v>
      </c>
      <c r="E294" t="s">
        <v>26</v>
      </c>
      <c r="F294">
        <v>8150</v>
      </c>
      <c r="G294">
        <v>0</v>
      </c>
      <c r="H294">
        <v>390</v>
      </c>
      <c r="I294">
        <v>390</v>
      </c>
      <c r="J294">
        <v>390</v>
      </c>
      <c r="K294">
        <v>0</v>
      </c>
      <c r="L294">
        <v>0</v>
      </c>
      <c r="M294">
        <v>0</v>
      </c>
      <c r="N294">
        <v>8150</v>
      </c>
      <c r="O294">
        <v>5494.65</v>
      </c>
      <c r="P294" s="9">
        <v>46139.566041666665</v>
      </c>
    </row>
    <row r="295" spans="1:16" x14ac:dyDescent="0.25">
      <c r="A295" t="s">
        <v>8</v>
      </c>
      <c r="B295" s="4">
        <v>46168</v>
      </c>
      <c r="C295" t="s">
        <v>104</v>
      </c>
      <c r="D295">
        <v>48500</v>
      </c>
      <c r="E295" t="s">
        <v>27</v>
      </c>
      <c r="F295">
        <v>23.45</v>
      </c>
      <c r="G295">
        <v>83070</v>
      </c>
      <c r="H295">
        <v>74400</v>
      </c>
      <c r="I295">
        <v>96120</v>
      </c>
      <c r="J295">
        <v>72660</v>
      </c>
      <c r="K295">
        <v>30.05</v>
      </c>
      <c r="L295">
        <v>30.05</v>
      </c>
      <c r="M295">
        <v>21.15</v>
      </c>
      <c r="N295">
        <v>37</v>
      </c>
      <c r="O295">
        <v>23.25</v>
      </c>
      <c r="P295" s="9">
        <v>46148.455034722225</v>
      </c>
    </row>
    <row r="296" spans="1:16" x14ac:dyDescent="0.25">
      <c r="A296" t="s">
        <v>8</v>
      </c>
      <c r="B296" s="4">
        <v>46168</v>
      </c>
      <c r="C296" t="s">
        <v>105</v>
      </c>
      <c r="D296">
        <v>48600</v>
      </c>
      <c r="E296" t="s">
        <v>26</v>
      </c>
      <c r="F296">
        <v>13248.7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13248.7</v>
      </c>
      <c r="O296">
        <v>5922.8</v>
      </c>
      <c r="P296" s="9">
        <v>25569.229166666668</v>
      </c>
    </row>
    <row r="297" spans="1:16" x14ac:dyDescent="0.25">
      <c r="A297" t="s">
        <v>8</v>
      </c>
      <c r="B297" s="4">
        <v>46168</v>
      </c>
      <c r="C297" t="s">
        <v>106</v>
      </c>
      <c r="D297">
        <v>48600</v>
      </c>
      <c r="E297" t="s">
        <v>27</v>
      </c>
      <c r="F297">
        <v>24.8</v>
      </c>
      <c r="G297">
        <v>870</v>
      </c>
      <c r="H297">
        <v>750</v>
      </c>
      <c r="I297">
        <v>750</v>
      </c>
      <c r="J297">
        <v>60</v>
      </c>
      <c r="K297">
        <v>23.5</v>
      </c>
      <c r="L297">
        <v>25.1</v>
      </c>
      <c r="M297">
        <v>23.25</v>
      </c>
      <c r="N297">
        <v>1.05</v>
      </c>
      <c r="O297">
        <v>23</v>
      </c>
      <c r="P297" s="9">
        <v>46148.45144675926</v>
      </c>
    </row>
    <row r="298" spans="1:16" x14ac:dyDescent="0.25">
      <c r="A298" t="s">
        <v>8</v>
      </c>
      <c r="B298" s="4">
        <v>46168</v>
      </c>
      <c r="C298" t="s">
        <v>107</v>
      </c>
      <c r="D298">
        <v>48700</v>
      </c>
      <c r="E298" t="s">
        <v>26</v>
      </c>
      <c r="F298">
        <v>13150.45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13150.45</v>
      </c>
      <c r="O298">
        <v>4625.5</v>
      </c>
      <c r="P298" s="9">
        <v>25569.229166666668</v>
      </c>
    </row>
    <row r="299" spans="1:16" x14ac:dyDescent="0.25">
      <c r="A299" t="s">
        <v>8</v>
      </c>
      <c r="B299" s="4">
        <v>46168</v>
      </c>
      <c r="C299" t="s">
        <v>108</v>
      </c>
      <c r="D299">
        <v>48700</v>
      </c>
      <c r="E299" t="s">
        <v>27</v>
      </c>
      <c r="F299">
        <v>26.1</v>
      </c>
      <c r="G299">
        <v>4050</v>
      </c>
      <c r="H299">
        <v>2520</v>
      </c>
      <c r="I299">
        <v>2790</v>
      </c>
      <c r="J299">
        <v>1410</v>
      </c>
      <c r="K299">
        <v>41.85</v>
      </c>
      <c r="L299">
        <v>41.85</v>
      </c>
      <c r="M299">
        <v>23</v>
      </c>
      <c r="N299">
        <v>40.950000000000003</v>
      </c>
      <c r="O299">
        <v>25.95</v>
      </c>
      <c r="P299" s="9">
        <v>46148.455231481479</v>
      </c>
    </row>
    <row r="300" spans="1:16" x14ac:dyDescent="0.25">
      <c r="A300" t="s">
        <v>8</v>
      </c>
      <c r="B300" s="4">
        <v>46168</v>
      </c>
      <c r="C300" t="s">
        <v>109</v>
      </c>
      <c r="D300">
        <v>48800</v>
      </c>
      <c r="E300" t="s">
        <v>26</v>
      </c>
      <c r="F300">
        <v>13052.2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13052.2</v>
      </c>
      <c r="O300">
        <v>4518.8500000000004</v>
      </c>
      <c r="P300" s="9">
        <v>25569.229166666668</v>
      </c>
    </row>
    <row r="301" spans="1:16" x14ac:dyDescent="0.25">
      <c r="A301" t="s">
        <v>8</v>
      </c>
      <c r="B301" s="4">
        <v>46168</v>
      </c>
      <c r="C301" t="s">
        <v>110</v>
      </c>
      <c r="D301">
        <v>48800</v>
      </c>
      <c r="E301" t="s">
        <v>27</v>
      </c>
      <c r="F301">
        <v>26.95</v>
      </c>
      <c r="G301">
        <v>450</v>
      </c>
      <c r="H301">
        <v>330</v>
      </c>
      <c r="I301">
        <v>330</v>
      </c>
      <c r="J301">
        <v>90</v>
      </c>
      <c r="K301">
        <v>11.5</v>
      </c>
      <c r="L301">
        <v>27.1</v>
      </c>
      <c r="M301">
        <v>11.5</v>
      </c>
      <c r="N301">
        <v>1.3</v>
      </c>
      <c r="O301">
        <v>27.05</v>
      </c>
      <c r="P301" s="9">
        <v>46148.452557870369</v>
      </c>
    </row>
    <row r="302" spans="1:16" x14ac:dyDescent="0.25">
      <c r="A302" t="s">
        <v>8</v>
      </c>
      <c r="B302" s="4">
        <v>46168</v>
      </c>
      <c r="C302" t="s">
        <v>111</v>
      </c>
      <c r="D302">
        <v>48900</v>
      </c>
      <c r="E302" t="s">
        <v>26</v>
      </c>
      <c r="F302">
        <v>7361</v>
      </c>
      <c r="G302">
        <v>0</v>
      </c>
      <c r="H302">
        <v>210</v>
      </c>
      <c r="I302">
        <v>210</v>
      </c>
      <c r="J302">
        <v>210</v>
      </c>
      <c r="K302">
        <v>0</v>
      </c>
      <c r="L302">
        <v>0</v>
      </c>
      <c r="M302">
        <v>0</v>
      </c>
      <c r="N302">
        <v>7361</v>
      </c>
      <c r="O302">
        <v>4968.8999999999996</v>
      </c>
      <c r="P302" s="9">
        <v>46136.556851851848</v>
      </c>
    </row>
    <row r="303" spans="1:16" x14ac:dyDescent="0.25">
      <c r="A303" t="s">
        <v>8</v>
      </c>
      <c r="B303" s="4">
        <v>46168</v>
      </c>
      <c r="C303" t="s">
        <v>112</v>
      </c>
      <c r="D303">
        <v>48900</v>
      </c>
      <c r="E303" t="s">
        <v>27</v>
      </c>
      <c r="F303">
        <v>28.65</v>
      </c>
      <c r="G303">
        <v>540</v>
      </c>
      <c r="H303">
        <v>270</v>
      </c>
      <c r="I303">
        <v>270</v>
      </c>
      <c r="J303">
        <v>120</v>
      </c>
      <c r="K303">
        <v>26</v>
      </c>
      <c r="L303">
        <v>29</v>
      </c>
      <c r="M303">
        <v>26</v>
      </c>
      <c r="N303">
        <v>1.4</v>
      </c>
      <c r="O303">
        <v>27.3</v>
      </c>
      <c r="P303" s="9">
        <v>46148.455185185187</v>
      </c>
    </row>
    <row r="304" spans="1:16" x14ac:dyDescent="0.25">
      <c r="A304" t="s">
        <v>8</v>
      </c>
      <c r="B304" s="4">
        <v>46168</v>
      </c>
      <c r="C304" t="s">
        <v>113</v>
      </c>
      <c r="D304">
        <v>49000</v>
      </c>
      <c r="E304" t="s">
        <v>26</v>
      </c>
      <c r="F304">
        <v>6480</v>
      </c>
      <c r="G304">
        <v>30</v>
      </c>
      <c r="H304">
        <v>2670</v>
      </c>
      <c r="I304">
        <v>2670</v>
      </c>
      <c r="J304">
        <v>2670</v>
      </c>
      <c r="K304">
        <v>6480</v>
      </c>
      <c r="L304">
        <v>6480</v>
      </c>
      <c r="M304">
        <v>6480</v>
      </c>
      <c r="N304">
        <v>6009</v>
      </c>
      <c r="O304">
        <v>6233.65</v>
      </c>
      <c r="P304" s="9">
        <v>46148.388912037037</v>
      </c>
    </row>
    <row r="305" spans="1:16" x14ac:dyDescent="0.25">
      <c r="A305" t="s">
        <v>8</v>
      </c>
      <c r="B305" s="4">
        <v>46168</v>
      </c>
      <c r="C305" t="s">
        <v>114</v>
      </c>
      <c r="D305">
        <v>49000</v>
      </c>
      <c r="E305" t="s">
        <v>27</v>
      </c>
      <c r="F305">
        <v>30.05</v>
      </c>
      <c r="G305">
        <v>291900</v>
      </c>
      <c r="H305">
        <v>266880</v>
      </c>
      <c r="I305">
        <v>312510</v>
      </c>
      <c r="J305">
        <v>266880</v>
      </c>
      <c r="K305">
        <v>31.95</v>
      </c>
      <c r="L305">
        <v>33.6</v>
      </c>
      <c r="M305">
        <v>26.85</v>
      </c>
      <c r="N305">
        <v>48.05</v>
      </c>
      <c r="O305">
        <v>29.95</v>
      </c>
      <c r="P305" s="9">
        <v>46148.454710648148</v>
      </c>
    </row>
    <row r="306" spans="1:16" x14ac:dyDescent="0.25">
      <c r="A306" t="s">
        <v>8</v>
      </c>
      <c r="B306" s="4">
        <v>46168</v>
      </c>
      <c r="C306" t="s">
        <v>115</v>
      </c>
      <c r="D306">
        <v>49100</v>
      </c>
      <c r="E306" t="s">
        <v>26</v>
      </c>
      <c r="F306">
        <v>7244</v>
      </c>
      <c r="G306">
        <v>0</v>
      </c>
      <c r="H306">
        <v>210</v>
      </c>
      <c r="I306">
        <v>210</v>
      </c>
      <c r="J306">
        <v>210</v>
      </c>
      <c r="K306">
        <v>0</v>
      </c>
      <c r="L306">
        <v>0</v>
      </c>
      <c r="M306">
        <v>0</v>
      </c>
      <c r="N306">
        <v>7244</v>
      </c>
      <c r="O306">
        <v>5290.8</v>
      </c>
      <c r="P306" s="9">
        <v>46136.524074074077</v>
      </c>
    </row>
    <row r="307" spans="1:16" x14ac:dyDescent="0.25">
      <c r="A307" t="s">
        <v>8</v>
      </c>
      <c r="B307" s="4">
        <v>46168</v>
      </c>
      <c r="C307" t="s">
        <v>116</v>
      </c>
      <c r="D307">
        <v>49100</v>
      </c>
      <c r="E307" t="s">
        <v>27</v>
      </c>
      <c r="F307">
        <v>30.3</v>
      </c>
      <c r="G307">
        <v>6240</v>
      </c>
      <c r="H307">
        <v>5910</v>
      </c>
      <c r="I307">
        <v>6540</v>
      </c>
      <c r="J307">
        <v>5010</v>
      </c>
      <c r="K307">
        <v>29.05</v>
      </c>
      <c r="L307">
        <v>33.549999999999997</v>
      </c>
      <c r="M307">
        <v>28.65</v>
      </c>
      <c r="N307">
        <v>50.95</v>
      </c>
      <c r="O307">
        <v>30.5</v>
      </c>
      <c r="P307" s="9">
        <v>46148.448333333334</v>
      </c>
    </row>
    <row r="308" spans="1:16" x14ac:dyDescent="0.25">
      <c r="A308" t="s">
        <v>8</v>
      </c>
      <c r="B308" s="4">
        <v>46168</v>
      </c>
      <c r="C308" t="s">
        <v>117</v>
      </c>
      <c r="D308">
        <v>49200</v>
      </c>
      <c r="E308" t="s">
        <v>26</v>
      </c>
      <c r="F308">
        <v>12659.35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12659.35</v>
      </c>
      <c r="O308">
        <v>4436.25</v>
      </c>
      <c r="P308" s="9">
        <v>25569.229166666668</v>
      </c>
    </row>
    <row r="309" spans="1:16" x14ac:dyDescent="0.25">
      <c r="A309" t="s">
        <v>8</v>
      </c>
      <c r="B309" s="4">
        <v>46168</v>
      </c>
      <c r="C309" t="s">
        <v>118</v>
      </c>
      <c r="D309">
        <v>49200</v>
      </c>
      <c r="E309" t="s">
        <v>27</v>
      </c>
      <c r="F309">
        <v>31.3</v>
      </c>
      <c r="G309">
        <v>13710</v>
      </c>
      <c r="H309">
        <v>11790</v>
      </c>
      <c r="I309">
        <v>18120</v>
      </c>
      <c r="J309">
        <v>11730</v>
      </c>
      <c r="K309">
        <v>30.5</v>
      </c>
      <c r="L309">
        <v>34.35</v>
      </c>
      <c r="M309">
        <v>29.1</v>
      </c>
      <c r="N309">
        <v>53.4</v>
      </c>
      <c r="O309">
        <v>32.9</v>
      </c>
      <c r="P309" s="9">
        <v>46148.45171296296</v>
      </c>
    </row>
    <row r="310" spans="1:16" x14ac:dyDescent="0.25">
      <c r="A310" t="s">
        <v>8</v>
      </c>
      <c r="B310" s="4">
        <v>46168</v>
      </c>
      <c r="C310" t="s">
        <v>119</v>
      </c>
      <c r="D310">
        <v>49300</v>
      </c>
      <c r="E310" t="s">
        <v>26</v>
      </c>
      <c r="F310">
        <v>12561.2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12561.2</v>
      </c>
      <c r="O310">
        <v>4561.8500000000004</v>
      </c>
      <c r="P310" s="9">
        <v>25569.229166666668</v>
      </c>
    </row>
    <row r="311" spans="1:16" x14ac:dyDescent="0.25">
      <c r="A311" t="s">
        <v>8</v>
      </c>
      <c r="B311" s="4">
        <v>46168</v>
      </c>
      <c r="C311" t="s">
        <v>120</v>
      </c>
      <c r="D311">
        <v>49300</v>
      </c>
      <c r="E311" t="s">
        <v>27</v>
      </c>
      <c r="F311">
        <v>2.0499999999999998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2.0499999999999998</v>
      </c>
      <c r="O311">
        <v>29.8</v>
      </c>
      <c r="P311" s="9">
        <v>25569.229166666668</v>
      </c>
    </row>
    <row r="312" spans="1:16" x14ac:dyDescent="0.25">
      <c r="A312" t="s">
        <v>8</v>
      </c>
      <c r="B312" s="4">
        <v>46168</v>
      </c>
      <c r="C312" t="s">
        <v>121</v>
      </c>
      <c r="D312">
        <v>49400</v>
      </c>
      <c r="E312" t="s">
        <v>26</v>
      </c>
      <c r="F312">
        <v>3202.1</v>
      </c>
      <c r="G312">
        <v>0</v>
      </c>
      <c r="H312">
        <v>60</v>
      </c>
      <c r="I312">
        <v>60</v>
      </c>
      <c r="J312">
        <v>60</v>
      </c>
      <c r="K312">
        <v>0</v>
      </c>
      <c r="L312">
        <v>0</v>
      </c>
      <c r="M312">
        <v>0</v>
      </c>
      <c r="N312">
        <v>3202.1</v>
      </c>
      <c r="O312">
        <v>5065.7</v>
      </c>
      <c r="P312" s="9">
        <v>46111.629988425928</v>
      </c>
    </row>
    <row r="313" spans="1:16" x14ac:dyDescent="0.25">
      <c r="A313" t="s">
        <v>8</v>
      </c>
      <c r="B313" s="4">
        <v>46168</v>
      </c>
      <c r="C313" t="s">
        <v>122</v>
      </c>
      <c r="D313">
        <v>49400</v>
      </c>
      <c r="E313" t="s">
        <v>27</v>
      </c>
      <c r="F313">
        <v>35.75</v>
      </c>
      <c r="G313">
        <v>270</v>
      </c>
      <c r="H313">
        <v>180</v>
      </c>
      <c r="I313">
        <v>180</v>
      </c>
      <c r="J313">
        <v>90</v>
      </c>
      <c r="K313">
        <v>23.3</v>
      </c>
      <c r="L313">
        <v>38.6</v>
      </c>
      <c r="M313">
        <v>23.3</v>
      </c>
      <c r="N313">
        <v>2.25</v>
      </c>
      <c r="O313">
        <v>35.5</v>
      </c>
      <c r="P313" s="9">
        <v>46148.414571759262</v>
      </c>
    </row>
    <row r="314" spans="1:16" x14ac:dyDescent="0.25">
      <c r="A314" t="s">
        <v>8</v>
      </c>
      <c r="B314" s="4">
        <v>46168</v>
      </c>
      <c r="C314" t="s">
        <v>123</v>
      </c>
      <c r="D314">
        <v>49500</v>
      </c>
      <c r="E314" t="s">
        <v>26</v>
      </c>
      <c r="F314">
        <v>5823.15</v>
      </c>
      <c r="G314">
        <v>1320</v>
      </c>
      <c r="H314">
        <v>3060</v>
      </c>
      <c r="I314">
        <v>3060</v>
      </c>
      <c r="J314">
        <v>3060</v>
      </c>
      <c r="K314">
        <v>5906.85</v>
      </c>
      <c r="L314">
        <v>5914.65</v>
      </c>
      <c r="M314">
        <v>5822.15</v>
      </c>
      <c r="N314">
        <v>5530</v>
      </c>
      <c r="O314">
        <v>5780.65</v>
      </c>
      <c r="P314" s="9">
        <v>46148.444548611114</v>
      </c>
    </row>
    <row r="315" spans="1:16" x14ac:dyDescent="0.25">
      <c r="A315" t="s">
        <v>8</v>
      </c>
      <c r="B315" s="4">
        <v>46168</v>
      </c>
      <c r="C315" t="s">
        <v>124</v>
      </c>
      <c r="D315">
        <v>49500</v>
      </c>
      <c r="E315" t="s">
        <v>27</v>
      </c>
      <c r="F315">
        <v>38.450000000000003</v>
      </c>
      <c r="G315">
        <v>98160</v>
      </c>
      <c r="H315">
        <v>166830</v>
      </c>
      <c r="I315">
        <v>166830</v>
      </c>
      <c r="J315">
        <v>150420</v>
      </c>
      <c r="K315">
        <v>45.25</v>
      </c>
      <c r="L315">
        <v>45.25</v>
      </c>
      <c r="M315">
        <v>34.549999999999997</v>
      </c>
      <c r="N315">
        <v>62.65</v>
      </c>
      <c r="O315">
        <v>38.5</v>
      </c>
      <c r="P315" s="9">
        <v>46148.455231481479</v>
      </c>
    </row>
    <row r="316" spans="1:16" x14ac:dyDescent="0.25">
      <c r="A316" t="s">
        <v>8</v>
      </c>
      <c r="B316" s="4">
        <v>46168</v>
      </c>
      <c r="C316" t="s">
        <v>125</v>
      </c>
      <c r="D316">
        <v>49600</v>
      </c>
      <c r="E316" t="s">
        <v>26</v>
      </c>
      <c r="F316">
        <v>5849</v>
      </c>
      <c r="G316">
        <v>0</v>
      </c>
      <c r="H316">
        <v>120</v>
      </c>
      <c r="I316">
        <v>120</v>
      </c>
      <c r="J316">
        <v>120</v>
      </c>
      <c r="K316">
        <v>0</v>
      </c>
      <c r="L316">
        <v>0</v>
      </c>
      <c r="M316">
        <v>0</v>
      </c>
      <c r="N316">
        <v>5849</v>
      </c>
      <c r="O316">
        <v>4648.1000000000004</v>
      </c>
      <c r="P316" s="9">
        <v>46125.40457175926</v>
      </c>
    </row>
    <row r="317" spans="1:16" x14ac:dyDescent="0.25">
      <c r="A317" t="s">
        <v>8</v>
      </c>
      <c r="B317" s="4">
        <v>46168</v>
      </c>
      <c r="C317" t="s">
        <v>126</v>
      </c>
      <c r="D317">
        <v>49600</v>
      </c>
      <c r="E317" t="s">
        <v>27</v>
      </c>
      <c r="F317">
        <v>38.799999999999997</v>
      </c>
      <c r="G317">
        <v>6540</v>
      </c>
      <c r="H317">
        <v>5400</v>
      </c>
      <c r="I317">
        <v>5940</v>
      </c>
      <c r="J317">
        <v>3180</v>
      </c>
      <c r="K317">
        <v>39.700000000000003</v>
      </c>
      <c r="L317">
        <v>42</v>
      </c>
      <c r="M317">
        <v>35.799999999999997</v>
      </c>
      <c r="N317">
        <v>66.7</v>
      </c>
      <c r="O317">
        <v>39.700000000000003</v>
      </c>
      <c r="P317" s="9">
        <v>46148.444872685184</v>
      </c>
    </row>
    <row r="318" spans="1:16" x14ac:dyDescent="0.25">
      <c r="A318" t="s">
        <v>8</v>
      </c>
      <c r="B318" s="4">
        <v>46168</v>
      </c>
      <c r="C318" t="s">
        <v>127</v>
      </c>
      <c r="D318">
        <v>49700</v>
      </c>
      <c r="E318" t="s">
        <v>26</v>
      </c>
      <c r="F318">
        <v>12168.65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12168.65</v>
      </c>
      <c r="O318">
        <v>4097.55</v>
      </c>
      <c r="P318" s="9">
        <v>25569.229166666668</v>
      </c>
    </row>
    <row r="319" spans="1:16" x14ac:dyDescent="0.25">
      <c r="A319" t="s">
        <v>8</v>
      </c>
      <c r="B319" s="4">
        <v>46168</v>
      </c>
      <c r="C319" t="s">
        <v>128</v>
      </c>
      <c r="D319">
        <v>49700</v>
      </c>
      <c r="E319" t="s">
        <v>27</v>
      </c>
      <c r="F319">
        <v>42.2</v>
      </c>
      <c r="G319">
        <v>9840</v>
      </c>
      <c r="H319">
        <v>6810</v>
      </c>
      <c r="I319">
        <v>6810</v>
      </c>
      <c r="J319">
        <v>5700</v>
      </c>
      <c r="K319">
        <v>39.700000000000003</v>
      </c>
      <c r="L319">
        <v>46</v>
      </c>
      <c r="M319">
        <v>38.15</v>
      </c>
      <c r="N319">
        <v>70.8</v>
      </c>
      <c r="O319">
        <v>42.3</v>
      </c>
      <c r="P319" s="9">
        <v>46148.455254629633</v>
      </c>
    </row>
    <row r="320" spans="1:16" x14ac:dyDescent="0.25">
      <c r="A320" t="s">
        <v>8</v>
      </c>
      <c r="B320" s="4">
        <v>46168</v>
      </c>
      <c r="C320" t="s">
        <v>129</v>
      </c>
      <c r="D320">
        <v>49800</v>
      </c>
      <c r="E320" t="s">
        <v>26</v>
      </c>
      <c r="F320">
        <v>5672.7</v>
      </c>
      <c r="G320">
        <v>0</v>
      </c>
      <c r="H320">
        <v>90</v>
      </c>
      <c r="I320">
        <v>90</v>
      </c>
      <c r="J320">
        <v>90</v>
      </c>
      <c r="K320">
        <v>0</v>
      </c>
      <c r="L320">
        <v>0</v>
      </c>
      <c r="M320">
        <v>0</v>
      </c>
      <c r="N320">
        <v>5672.7</v>
      </c>
      <c r="O320">
        <v>4579.1499999999996</v>
      </c>
      <c r="P320" s="9">
        <v>46125.404398148145</v>
      </c>
    </row>
    <row r="321" spans="1:16" x14ac:dyDescent="0.25">
      <c r="A321" t="s">
        <v>8</v>
      </c>
      <c r="B321" s="4">
        <v>46168</v>
      </c>
      <c r="C321" t="s">
        <v>130</v>
      </c>
      <c r="D321">
        <v>49800</v>
      </c>
      <c r="E321" t="s">
        <v>27</v>
      </c>
      <c r="F321">
        <v>43.95</v>
      </c>
      <c r="G321">
        <v>9960</v>
      </c>
      <c r="H321">
        <v>18120</v>
      </c>
      <c r="I321">
        <v>19680</v>
      </c>
      <c r="J321">
        <v>17850</v>
      </c>
      <c r="K321">
        <v>43.75</v>
      </c>
      <c r="L321">
        <v>47.55</v>
      </c>
      <c r="M321">
        <v>40.450000000000003</v>
      </c>
      <c r="N321">
        <v>74.75</v>
      </c>
      <c r="O321">
        <v>44.35</v>
      </c>
      <c r="P321" s="9">
        <v>46148.451956018522</v>
      </c>
    </row>
    <row r="322" spans="1:16" x14ac:dyDescent="0.25">
      <c r="A322" t="s">
        <v>8</v>
      </c>
      <c r="B322" s="4">
        <v>46168</v>
      </c>
      <c r="C322" t="s">
        <v>131</v>
      </c>
      <c r="D322">
        <v>49900</v>
      </c>
      <c r="E322" t="s">
        <v>26</v>
      </c>
      <c r="F322">
        <v>11972.5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11972.5</v>
      </c>
      <c r="O322">
        <v>4400.05</v>
      </c>
      <c r="P322" s="9">
        <v>25569.229166666668</v>
      </c>
    </row>
    <row r="323" spans="1:16" x14ac:dyDescent="0.25">
      <c r="A323" t="s">
        <v>8</v>
      </c>
      <c r="B323" s="4">
        <v>46168</v>
      </c>
      <c r="C323" t="s">
        <v>132</v>
      </c>
      <c r="D323">
        <v>49900</v>
      </c>
      <c r="E323" t="s">
        <v>27</v>
      </c>
      <c r="F323">
        <v>45.8</v>
      </c>
      <c r="G323">
        <v>4200</v>
      </c>
      <c r="H323">
        <v>10530</v>
      </c>
      <c r="I323">
        <v>11700</v>
      </c>
      <c r="J323">
        <v>10530</v>
      </c>
      <c r="K323">
        <v>45.1</v>
      </c>
      <c r="L323">
        <v>49.2</v>
      </c>
      <c r="M323">
        <v>44.2</v>
      </c>
      <c r="N323">
        <v>79.900000000000006</v>
      </c>
      <c r="O323">
        <v>47.55</v>
      </c>
      <c r="P323" s="9">
        <v>46148.450821759259</v>
      </c>
    </row>
    <row r="324" spans="1:16" x14ac:dyDescent="0.25">
      <c r="A324" t="s">
        <v>8</v>
      </c>
      <c r="B324" s="4">
        <v>46168</v>
      </c>
      <c r="C324" t="s">
        <v>133</v>
      </c>
      <c r="D324">
        <v>50000</v>
      </c>
      <c r="E324" t="s">
        <v>26</v>
      </c>
      <c r="F324">
        <v>5444</v>
      </c>
      <c r="G324">
        <v>1080</v>
      </c>
      <c r="H324">
        <v>57510</v>
      </c>
      <c r="I324">
        <v>57810</v>
      </c>
      <c r="J324">
        <v>57510</v>
      </c>
      <c r="K324">
        <v>5500.05</v>
      </c>
      <c r="L324">
        <v>5577</v>
      </c>
      <c r="M324">
        <v>5393.4</v>
      </c>
      <c r="N324">
        <v>4853</v>
      </c>
      <c r="O324">
        <v>5293</v>
      </c>
      <c r="P324" s="9">
        <v>46148.449814814812</v>
      </c>
    </row>
    <row r="325" spans="1:16" x14ac:dyDescent="0.25">
      <c r="A325" t="s">
        <v>8</v>
      </c>
      <c r="B325" s="4">
        <v>46168</v>
      </c>
      <c r="C325" t="s">
        <v>134</v>
      </c>
      <c r="D325">
        <v>50000</v>
      </c>
      <c r="E325" t="s">
        <v>27</v>
      </c>
      <c r="F325">
        <v>51.2</v>
      </c>
      <c r="G325">
        <v>577410</v>
      </c>
      <c r="H325">
        <v>786240</v>
      </c>
      <c r="I325">
        <v>830040</v>
      </c>
      <c r="J325">
        <v>766320</v>
      </c>
      <c r="K325">
        <v>66.599999999999994</v>
      </c>
      <c r="L325">
        <v>70</v>
      </c>
      <c r="M325">
        <v>45.1</v>
      </c>
      <c r="N325">
        <v>84.9</v>
      </c>
      <c r="O325">
        <v>51.5</v>
      </c>
      <c r="P325" s="9">
        <v>46148.455069444448</v>
      </c>
    </row>
    <row r="326" spans="1:16" x14ac:dyDescent="0.25">
      <c r="A326" t="s">
        <v>8</v>
      </c>
      <c r="B326" s="4">
        <v>46168</v>
      </c>
      <c r="C326" t="s">
        <v>135</v>
      </c>
      <c r="D326">
        <v>50100</v>
      </c>
      <c r="E326" t="s">
        <v>26</v>
      </c>
      <c r="F326">
        <v>11776.45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11776.45</v>
      </c>
      <c r="O326">
        <v>4164.6000000000004</v>
      </c>
      <c r="P326" s="9">
        <v>25569.229166666668</v>
      </c>
    </row>
    <row r="327" spans="1:16" x14ac:dyDescent="0.25">
      <c r="A327" t="s">
        <v>8</v>
      </c>
      <c r="B327" s="4">
        <v>46168</v>
      </c>
      <c r="C327" t="s">
        <v>136</v>
      </c>
      <c r="D327">
        <v>50100</v>
      </c>
      <c r="E327" t="s">
        <v>27</v>
      </c>
      <c r="F327">
        <v>51.85</v>
      </c>
      <c r="G327">
        <v>8250</v>
      </c>
      <c r="H327">
        <v>6900</v>
      </c>
      <c r="I327">
        <v>8340</v>
      </c>
      <c r="J327">
        <v>6840</v>
      </c>
      <c r="K327">
        <v>42.55</v>
      </c>
      <c r="L327">
        <v>57.9</v>
      </c>
      <c r="M327">
        <v>42.55</v>
      </c>
      <c r="N327">
        <v>89.95</v>
      </c>
      <c r="O327">
        <v>53.15</v>
      </c>
      <c r="P327" s="9">
        <v>46148.440474537034</v>
      </c>
    </row>
    <row r="328" spans="1:16" x14ac:dyDescent="0.25">
      <c r="A328" t="s">
        <v>8</v>
      </c>
      <c r="B328" s="4">
        <v>46168</v>
      </c>
      <c r="C328" t="s">
        <v>137</v>
      </c>
      <c r="D328">
        <v>50200</v>
      </c>
      <c r="E328" t="s">
        <v>26</v>
      </c>
      <c r="F328">
        <v>4547.3</v>
      </c>
      <c r="G328">
        <v>0</v>
      </c>
      <c r="H328">
        <v>1350</v>
      </c>
      <c r="I328">
        <v>1350</v>
      </c>
      <c r="J328">
        <v>1350</v>
      </c>
      <c r="K328">
        <v>0</v>
      </c>
      <c r="L328">
        <v>0</v>
      </c>
      <c r="M328">
        <v>0</v>
      </c>
      <c r="N328">
        <v>4547.3</v>
      </c>
      <c r="O328">
        <v>5091.3500000000004</v>
      </c>
      <c r="P328" s="9">
        <v>46147.525972222225</v>
      </c>
    </row>
    <row r="329" spans="1:16" x14ac:dyDescent="0.25">
      <c r="A329" t="s">
        <v>8</v>
      </c>
      <c r="B329" s="4">
        <v>46168</v>
      </c>
      <c r="C329" t="s">
        <v>138</v>
      </c>
      <c r="D329">
        <v>50200</v>
      </c>
      <c r="E329" t="s">
        <v>27</v>
      </c>
      <c r="F329">
        <v>56.45</v>
      </c>
      <c r="G329">
        <v>7260</v>
      </c>
      <c r="H329">
        <v>10710</v>
      </c>
      <c r="I329">
        <v>10710</v>
      </c>
      <c r="J329">
        <v>9480</v>
      </c>
      <c r="K329">
        <v>55.4</v>
      </c>
      <c r="L329">
        <v>61</v>
      </c>
      <c r="M329">
        <v>50.7</v>
      </c>
      <c r="N329">
        <v>94.4</v>
      </c>
      <c r="O329">
        <v>56</v>
      </c>
      <c r="P329" s="9">
        <v>46148.443599537037</v>
      </c>
    </row>
    <row r="330" spans="1:16" x14ac:dyDescent="0.25">
      <c r="A330" t="s">
        <v>8</v>
      </c>
      <c r="B330" s="4">
        <v>46168</v>
      </c>
      <c r="C330" t="s">
        <v>139</v>
      </c>
      <c r="D330">
        <v>50300</v>
      </c>
      <c r="E330" t="s">
        <v>26</v>
      </c>
      <c r="F330">
        <v>4200</v>
      </c>
      <c r="G330">
        <v>0</v>
      </c>
      <c r="H330">
        <v>60</v>
      </c>
      <c r="I330">
        <v>60</v>
      </c>
      <c r="J330">
        <v>60</v>
      </c>
      <c r="K330">
        <v>0</v>
      </c>
      <c r="L330">
        <v>0</v>
      </c>
      <c r="M330">
        <v>0</v>
      </c>
      <c r="N330">
        <v>4200</v>
      </c>
      <c r="O330">
        <v>4959.95</v>
      </c>
      <c r="P330" s="9">
        <v>46147.496851851851</v>
      </c>
    </row>
    <row r="331" spans="1:16" x14ac:dyDescent="0.25">
      <c r="A331" t="s">
        <v>8</v>
      </c>
      <c r="B331" s="4">
        <v>46168</v>
      </c>
      <c r="C331" t="s">
        <v>140</v>
      </c>
      <c r="D331">
        <v>50300</v>
      </c>
      <c r="E331" t="s">
        <v>27</v>
      </c>
      <c r="F331">
        <v>60.95</v>
      </c>
      <c r="G331">
        <v>3540</v>
      </c>
      <c r="H331">
        <v>8340</v>
      </c>
      <c r="I331">
        <v>8580</v>
      </c>
      <c r="J331">
        <v>8190</v>
      </c>
      <c r="K331">
        <v>65</v>
      </c>
      <c r="L331">
        <v>65</v>
      </c>
      <c r="M331">
        <v>53.35</v>
      </c>
      <c r="N331">
        <v>100.1</v>
      </c>
      <c r="O331">
        <v>61.25</v>
      </c>
      <c r="P331" s="9">
        <v>46148.455023148148</v>
      </c>
    </row>
    <row r="332" spans="1:16" x14ac:dyDescent="0.25">
      <c r="A332" t="s">
        <v>8</v>
      </c>
      <c r="B332" s="4">
        <v>46168</v>
      </c>
      <c r="C332" t="s">
        <v>141</v>
      </c>
      <c r="D332">
        <v>50400</v>
      </c>
      <c r="E332" t="s">
        <v>26</v>
      </c>
      <c r="F332">
        <v>3633.85</v>
      </c>
      <c r="G332">
        <v>0</v>
      </c>
      <c r="H332">
        <v>120</v>
      </c>
      <c r="I332">
        <v>120</v>
      </c>
      <c r="J332">
        <v>120</v>
      </c>
      <c r="K332">
        <v>0</v>
      </c>
      <c r="L332">
        <v>0</v>
      </c>
      <c r="M332">
        <v>0</v>
      </c>
      <c r="N332">
        <v>3633.85</v>
      </c>
      <c r="O332">
        <v>4878.05</v>
      </c>
      <c r="P332" s="9">
        <v>46119.569745370369</v>
      </c>
    </row>
    <row r="333" spans="1:16" x14ac:dyDescent="0.25">
      <c r="A333" t="s">
        <v>8</v>
      </c>
      <c r="B333" s="4">
        <v>46168</v>
      </c>
      <c r="C333" t="s">
        <v>142</v>
      </c>
      <c r="D333">
        <v>50400</v>
      </c>
      <c r="E333" t="s">
        <v>27</v>
      </c>
      <c r="F333">
        <v>65.599999999999994</v>
      </c>
      <c r="G333">
        <v>8280</v>
      </c>
      <c r="H333">
        <v>4590</v>
      </c>
      <c r="I333">
        <v>4800</v>
      </c>
      <c r="J333">
        <v>3060</v>
      </c>
      <c r="K333">
        <v>51.8</v>
      </c>
      <c r="L333">
        <v>66.05</v>
      </c>
      <c r="M333">
        <v>51.8</v>
      </c>
      <c r="N333">
        <v>106.45</v>
      </c>
      <c r="O333">
        <v>63.6</v>
      </c>
      <c r="P333" s="9">
        <v>46148.454328703701</v>
      </c>
    </row>
    <row r="334" spans="1:16" x14ac:dyDescent="0.25">
      <c r="A334" t="s">
        <v>8</v>
      </c>
      <c r="B334" s="4">
        <v>46168</v>
      </c>
      <c r="C334" t="s">
        <v>143</v>
      </c>
      <c r="D334">
        <v>50500</v>
      </c>
      <c r="E334" t="s">
        <v>26</v>
      </c>
      <c r="F334">
        <v>4315</v>
      </c>
      <c r="G334">
        <v>0</v>
      </c>
      <c r="H334">
        <v>1200</v>
      </c>
      <c r="I334">
        <v>1200</v>
      </c>
      <c r="J334">
        <v>1200</v>
      </c>
      <c r="K334">
        <v>0</v>
      </c>
      <c r="L334">
        <v>0</v>
      </c>
      <c r="M334">
        <v>0</v>
      </c>
      <c r="N334">
        <v>4315</v>
      </c>
      <c r="O334">
        <v>4803.6499999999996</v>
      </c>
      <c r="P334" s="9">
        <v>46147.469699074078</v>
      </c>
    </row>
    <row r="335" spans="1:16" x14ac:dyDescent="0.25">
      <c r="A335" t="s">
        <v>8</v>
      </c>
      <c r="B335" s="4">
        <v>46168</v>
      </c>
      <c r="C335" t="s">
        <v>144</v>
      </c>
      <c r="D335">
        <v>50500</v>
      </c>
      <c r="E335" t="s">
        <v>27</v>
      </c>
      <c r="F335">
        <v>69</v>
      </c>
      <c r="G335">
        <v>169320</v>
      </c>
      <c r="H335">
        <v>165390</v>
      </c>
      <c r="I335">
        <v>168360</v>
      </c>
      <c r="J335">
        <v>149280</v>
      </c>
      <c r="K335">
        <v>83.05</v>
      </c>
      <c r="L335">
        <v>87.9</v>
      </c>
      <c r="M335">
        <v>60.5</v>
      </c>
      <c r="N335">
        <v>113.4</v>
      </c>
      <c r="O335">
        <v>69.150000000000006</v>
      </c>
      <c r="P335" s="9">
        <v>46148.455266203702</v>
      </c>
    </row>
    <row r="336" spans="1:16" x14ac:dyDescent="0.25">
      <c r="A336" t="s">
        <v>8</v>
      </c>
      <c r="B336" s="4">
        <v>46168</v>
      </c>
      <c r="C336" t="s">
        <v>145</v>
      </c>
      <c r="D336">
        <v>50600</v>
      </c>
      <c r="E336" t="s">
        <v>26</v>
      </c>
      <c r="F336">
        <v>7075</v>
      </c>
      <c r="G336">
        <v>0</v>
      </c>
      <c r="H336">
        <v>720</v>
      </c>
      <c r="I336">
        <v>720</v>
      </c>
      <c r="J336">
        <v>720</v>
      </c>
      <c r="K336">
        <v>0</v>
      </c>
      <c r="L336">
        <v>0</v>
      </c>
      <c r="M336">
        <v>0</v>
      </c>
      <c r="N336">
        <v>7075</v>
      </c>
      <c r="O336">
        <v>4679.5</v>
      </c>
      <c r="P336" s="9">
        <v>46133.641516203701</v>
      </c>
    </row>
    <row r="337" spans="1:16" x14ac:dyDescent="0.25">
      <c r="A337" t="s">
        <v>8</v>
      </c>
      <c r="B337" s="4">
        <v>46168</v>
      </c>
      <c r="C337" t="s">
        <v>146</v>
      </c>
      <c r="D337">
        <v>50600</v>
      </c>
      <c r="E337" t="s">
        <v>27</v>
      </c>
      <c r="F337">
        <v>66.400000000000006</v>
      </c>
      <c r="G337">
        <v>20370</v>
      </c>
      <c r="H337">
        <v>29310</v>
      </c>
      <c r="I337">
        <v>31320</v>
      </c>
      <c r="J337">
        <v>26250</v>
      </c>
      <c r="K337">
        <v>69.650000000000006</v>
      </c>
      <c r="L337">
        <v>75.650000000000006</v>
      </c>
      <c r="M337">
        <v>64.25</v>
      </c>
      <c r="N337">
        <v>118.2</v>
      </c>
      <c r="O337">
        <v>71.55</v>
      </c>
      <c r="P337" s="9">
        <v>46148.447372685187</v>
      </c>
    </row>
    <row r="338" spans="1:16" x14ac:dyDescent="0.25">
      <c r="A338" t="s">
        <v>8</v>
      </c>
      <c r="B338" s="4">
        <v>46168</v>
      </c>
      <c r="C338" t="s">
        <v>147</v>
      </c>
      <c r="D338">
        <v>50700</v>
      </c>
      <c r="E338" t="s">
        <v>26</v>
      </c>
      <c r="F338">
        <v>5411.1</v>
      </c>
      <c r="G338">
        <v>0</v>
      </c>
      <c r="H338">
        <v>330</v>
      </c>
      <c r="I338">
        <v>330</v>
      </c>
      <c r="J338">
        <v>330</v>
      </c>
      <c r="K338">
        <v>0</v>
      </c>
      <c r="L338">
        <v>0</v>
      </c>
      <c r="M338">
        <v>0</v>
      </c>
      <c r="N338">
        <v>5411.1</v>
      </c>
      <c r="O338">
        <v>4573.8500000000004</v>
      </c>
      <c r="P338" s="9">
        <v>46121.514965277776</v>
      </c>
    </row>
    <row r="339" spans="1:16" x14ac:dyDescent="0.25">
      <c r="A339" t="s">
        <v>8</v>
      </c>
      <c r="B339" s="4">
        <v>46168</v>
      </c>
      <c r="C339" t="s">
        <v>148</v>
      </c>
      <c r="D339">
        <v>50700</v>
      </c>
      <c r="E339" t="s">
        <v>27</v>
      </c>
      <c r="F339">
        <v>73.25</v>
      </c>
      <c r="G339">
        <v>9300</v>
      </c>
      <c r="H339">
        <v>7950</v>
      </c>
      <c r="I339">
        <v>8190</v>
      </c>
      <c r="J339">
        <v>6270</v>
      </c>
      <c r="K339">
        <v>84.8</v>
      </c>
      <c r="L339">
        <v>84.8</v>
      </c>
      <c r="M339">
        <v>67.150000000000006</v>
      </c>
      <c r="N339">
        <v>127.3</v>
      </c>
      <c r="O339">
        <v>76.3</v>
      </c>
      <c r="P339" s="9">
        <v>46148.452662037038</v>
      </c>
    </row>
    <row r="340" spans="1:16" x14ac:dyDescent="0.25">
      <c r="A340" t="s">
        <v>8</v>
      </c>
      <c r="B340" s="4">
        <v>46168</v>
      </c>
      <c r="C340" t="s">
        <v>149</v>
      </c>
      <c r="D340">
        <v>50800</v>
      </c>
      <c r="E340" t="s">
        <v>26</v>
      </c>
      <c r="F340">
        <v>5393.7</v>
      </c>
      <c r="G340">
        <v>0</v>
      </c>
      <c r="H340">
        <v>330</v>
      </c>
      <c r="I340">
        <v>330</v>
      </c>
      <c r="J340">
        <v>330</v>
      </c>
      <c r="K340">
        <v>0</v>
      </c>
      <c r="L340">
        <v>0</v>
      </c>
      <c r="M340">
        <v>0</v>
      </c>
      <c r="N340">
        <v>5393.7</v>
      </c>
      <c r="O340">
        <v>4504</v>
      </c>
      <c r="P340" s="9">
        <v>46140.457465277781</v>
      </c>
    </row>
    <row r="341" spans="1:16" x14ac:dyDescent="0.25">
      <c r="A341" t="s">
        <v>8</v>
      </c>
      <c r="B341" s="4">
        <v>46168</v>
      </c>
      <c r="C341" t="s">
        <v>150</v>
      </c>
      <c r="D341">
        <v>50800</v>
      </c>
      <c r="E341" t="s">
        <v>27</v>
      </c>
      <c r="F341">
        <v>82.6</v>
      </c>
      <c r="G341">
        <v>12690</v>
      </c>
      <c r="H341">
        <v>25770</v>
      </c>
      <c r="I341">
        <v>26340</v>
      </c>
      <c r="J341">
        <v>25170</v>
      </c>
      <c r="K341">
        <v>79.8</v>
      </c>
      <c r="L341">
        <v>86.85</v>
      </c>
      <c r="M341">
        <v>72.650000000000006</v>
      </c>
      <c r="N341">
        <v>132.69999999999999</v>
      </c>
      <c r="O341">
        <v>81.650000000000006</v>
      </c>
      <c r="P341" s="9">
        <v>46148.454791666663</v>
      </c>
    </row>
    <row r="342" spans="1:16" x14ac:dyDescent="0.25">
      <c r="A342" t="s">
        <v>8</v>
      </c>
      <c r="B342" s="4">
        <v>46168</v>
      </c>
      <c r="C342" t="s">
        <v>151</v>
      </c>
      <c r="D342">
        <v>50900</v>
      </c>
      <c r="E342" t="s">
        <v>26</v>
      </c>
      <c r="F342">
        <v>5000</v>
      </c>
      <c r="G342">
        <v>0</v>
      </c>
      <c r="H342">
        <v>300</v>
      </c>
      <c r="I342">
        <v>300</v>
      </c>
      <c r="J342">
        <v>300</v>
      </c>
      <c r="K342">
        <v>0</v>
      </c>
      <c r="L342">
        <v>0</v>
      </c>
      <c r="M342">
        <v>0</v>
      </c>
      <c r="N342">
        <v>5000</v>
      </c>
      <c r="O342">
        <v>4362.8500000000004</v>
      </c>
      <c r="P342" s="9">
        <v>46121.586331018516</v>
      </c>
    </row>
    <row r="343" spans="1:16" x14ac:dyDescent="0.25">
      <c r="A343" t="s">
        <v>8</v>
      </c>
      <c r="B343" s="4">
        <v>46168</v>
      </c>
      <c r="C343" t="s">
        <v>152</v>
      </c>
      <c r="D343">
        <v>50900</v>
      </c>
      <c r="E343" t="s">
        <v>27</v>
      </c>
      <c r="F343">
        <v>85.8</v>
      </c>
      <c r="G343">
        <v>15510</v>
      </c>
      <c r="H343">
        <v>14490</v>
      </c>
      <c r="I343">
        <v>14880</v>
      </c>
      <c r="J343">
        <v>13740</v>
      </c>
      <c r="K343">
        <v>84.6</v>
      </c>
      <c r="L343">
        <v>91</v>
      </c>
      <c r="M343">
        <v>76.45</v>
      </c>
      <c r="N343">
        <v>141.25</v>
      </c>
      <c r="O343">
        <v>86.45</v>
      </c>
      <c r="P343" s="9">
        <v>46148.455231481479</v>
      </c>
    </row>
    <row r="344" spans="1:16" x14ac:dyDescent="0.25">
      <c r="A344" t="s">
        <v>8</v>
      </c>
      <c r="B344" s="4">
        <v>46168</v>
      </c>
      <c r="C344" t="s">
        <v>153</v>
      </c>
      <c r="D344">
        <v>51000</v>
      </c>
      <c r="E344" t="s">
        <v>26</v>
      </c>
      <c r="F344">
        <v>4351.6000000000004</v>
      </c>
      <c r="G344">
        <v>900</v>
      </c>
      <c r="H344">
        <v>28860</v>
      </c>
      <c r="I344">
        <v>29130</v>
      </c>
      <c r="J344">
        <v>28860</v>
      </c>
      <c r="K344">
        <v>4507</v>
      </c>
      <c r="L344">
        <v>4550</v>
      </c>
      <c r="M344">
        <v>4351.6000000000004</v>
      </c>
      <c r="N344">
        <v>3940.55</v>
      </c>
      <c r="O344">
        <v>4356.1499999999996</v>
      </c>
      <c r="P344" s="9">
        <v>46148.422013888892</v>
      </c>
    </row>
    <row r="345" spans="1:16" x14ac:dyDescent="0.25">
      <c r="A345" t="s">
        <v>8</v>
      </c>
      <c r="B345" s="4">
        <v>46168</v>
      </c>
      <c r="C345" t="s">
        <v>154</v>
      </c>
      <c r="D345">
        <v>51000</v>
      </c>
      <c r="E345" t="s">
        <v>27</v>
      </c>
      <c r="F345">
        <v>93.2</v>
      </c>
      <c r="G345">
        <v>414330</v>
      </c>
      <c r="H345">
        <v>351720</v>
      </c>
      <c r="I345">
        <v>356490</v>
      </c>
      <c r="J345">
        <v>336630</v>
      </c>
      <c r="K345">
        <v>129.85</v>
      </c>
      <c r="L345">
        <v>129.85</v>
      </c>
      <c r="M345">
        <v>77.599999999999994</v>
      </c>
      <c r="N345">
        <v>150</v>
      </c>
      <c r="O345">
        <v>92.75</v>
      </c>
      <c r="P345" s="9">
        <v>46148.455358796295</v>
      </c>
    </row>
    <row r="346" spans="1:16" x14ac:dyDescent="0.25">
      <c r="A346" t="s">
        <v>8</v>
      </c>
      <c r="B346" s="4">
        <v>46168</v>
      </c>
      <c r="C346" t="s">
        <v>155</v>
      </c>
      <c r="D346">
        <v>51100</v>
      </c>
      <c r="E346" t="s">
        <v>26</v>
      </c>
      <c r="F346">
        <v>4090</v>
      </c>
      <c r="G346">
        <v>0</v>
      </c>
      <c r="H346">
        <v>390</v>
      </c>
      <c r="I346">
        <v>390</v>
      </c>
      <c r="J346">
        <v>390</v>
      </c>
      <c r="K346">
        <v>0</v>
      </c>
      <c r="L346">
        <v>0</v>
      </c>
      <c r="M346">
        <v>0</v>
      </c>
      <c r="N346">
        <v>4090</v>
      </c>
      <c r="O346">
        <v>4204.25</v>
      </c>
      <c r="P346" s="9">
        <v>46147.603645833333</v>
      </c>
    </row>
    <row r="347" spans="1:16" x14ac:dyDescent="0.25">
      <c r="A347" t="s">
        <v>8</v>
      </c>
      <c r="B347" s="4">
        <v>46168</v>
      </c>
      <c r="C347" t="s">
        <v>156</v>
      </c>
      <c r="D347">
        <v>51100</v>
      </c>
      <c r="E347" t="s">
        <v>27</v>
      </c>
      <c r="F347">
        <v>95.85</v>
      </c>
      <c r="G347">
        <v>16470</v>
      </c>
      <c r="H347">
        <v>18210</v>
      </c>
      <c r="I347">
        <v>18210</v>
      </c>
      <c r="J347">
        <v>15480</v>
      </c>
      <c r="K347">
        <v>90.1</v>
      </c>
      <c r="L347">
        <v>101.9</v>
      </c>
      <c r="M347">
        <v>86.35</v>
      </c>
      <c r="N347">
        <v>158.35</v>
      </c>
      <c r="O347">
        <v>97.75</v>
      </c>
      <c r="P347" s="9">
        <v>46148.454421296294</v>
      </c>
    </row>
    <row r="348" spans="1:16" x14ac:dyDescent="0.25">
      <c r="A348" t="s">
        <v>8</v>
      </c>
      <c r="B348" s="4">
        <v>46168</v>
      </c>
      <c r="C348" t="s">
        <v>157</v>
      </c>
      <c r="D348">
        <v>51200</v>
      </c>
      <c r="E348" t="s">
        <v>26</v>
      </c>
      <c r="F348">
        <v>3723.7</v>
      </c>
      <c r="G348">
        <v>0</v>
      </c>
      <c r="H348">
        <v>540</v>
      </c>
      <c r="I348">
        <v>540</v>
      </c>
      <c r="J348">
        <v>540</v>
      </c>
      <c r="K348">
        <v>0</v>
      </c>
      <c r="L348">
        <v>0</v>
      </c>
      <c r="M348">
        <v>0</v>
      </c>
      <c r="N348">
        <v>3723.7</v>
      </c>
      <c r="O348">
        <v>4150.05</v>
      </c>
      <c r="P348" s="9">
        <v>46142.431030092594</v>
      </c>
    </row>
    <row r="349" spans="1:16" x14ac:dyDescent="0.25">
      <c r="A349" t="s">
        <v>8</v>
      </c>
      <c r="B349" s="4">
        <v>46168</v>
      </c>
      <c r="C349" t="s">
        <v>158</v>
      </c>
      <c r="D349">
        <v>51200</v>
      </c>
      <c r="E349" t="s">
        <v>27</v>
      </c>
      <c r="F349">
        <v>102.7</v>
      </c>
      <c r="G349">
        <v>31140</v>
      </c>
      <c r="H349">
        <v>22710</v>
      </c>
      <c r="I349">
        <v>23850</v>
      </c>
      <c r="J349">
        <v>21990</v>
      </c>
      <c r="K349">
        <v>90.05</v>
      </c>
      <c r="L349">
        <v>109.85</v>
      </c>
      <c r="M349">
        <v>80.95</v>
      </c>
      <c r="N349">
        <v>167.2</v>
      </c>
      <c r="O349">
        <v>103.9</v>
      </c>
      <c r="P349" s="9">
        <v>46148.455127314817</v>
      </c>
    </row>
    <row r="350" spans="1:16" x14ac:dyDescent="0.25">
      <c r="A350" t="s">
        <v>8</v>
      </c>
      <c r="B350" s="4">
        <v>46168</v>
      </c>
      <c r="C350" t="s">
        <v>159</v>
      </c>
      <c r="D350">
        <v>51300</v>
      </c>
      <c r="E350" t="s">
        <v>26</v>
      </c>
      <c r="F350">
        <v>4257</v>
      </c>
      <c r="G350">
        <v>60</v>
      </c>
      <c r="H350">
        <v>390</v>
      </c>
      <c r="I350">
        <v>390</v>
      </c>
      <c r="J350">
        <v>390</v>
      </c>
      <c r="K350">
        <v>4257</v>
      </c>
      <c r="L350">
        <v>4257</v>
      </c>
      <c r="M350">
        <v>4257</v>
      </c>
      <c r="N350">
        <v>3753</v>
      </c>
      <c r="O350">
        <v>4068.9</v>
      </c>
      <c r="P350" s="9">
        <v>46148.388877314814</v>
      </c>
    </row>
    <row r="351" spans="1:16" x14ac:dyDescent="0.25">
      <c r="A351" t="s">
        <v>8</v>
      </c>
      <c r="B351" s="4">
        <v>46168</v>
      </c>
      <c r="C351" t="s">
        <v>160</v>
      </c>
      <c r="D351">
        <v>51300</v>
      </c>
      <c r="E351" t="s">
        <v>27</v>
      </c>
      <c r="F351">
        <v>108.25</v>
      </c>
      <c r="G351">
        <v>38730</v>
      </c>
      <c r="H351">
        <v>27060</v>
      </c>
      <c r="I351">
        <v>27060</v>
      </c>
      <c r="J351">
        <v>14790</v>
      </c>
      <c r="K351">
        <v>101.7</v>
      </c>
      <c r="L351">
        <v>115.15</v>
      </c>
      <c r="M351">
        <v>84.45</v>
      </c>
      <c r="N351">
        <v>176.25</v>
      </c>
      <c r="O351">
        <v>110.1</v>
      </c>
      <c r="P351" s="9">
        <v>46148.455046296294</v>
      </c>
    </row>
    <row r="352" spans="1:16" x14ac:dyDescent="0.25">
      <c r="A352" t="s">
        <v>8</v>
      </c>
      <c r="B352" s="4">
        <v>46168</v>
      </c>
      <c r="C352" t="s">
        <v>161</v>
      </c>
      <c r="D352">
        <v>51400</v>
      </c>
      <c r="E352" t="s">
        <v>26</v>
      </c>
      <c r="F352">
        <v>3600</v>
      </c>
      <c r="G352">
        <v>0</v>
      </c>
      <c r="H352">
        <v>420</v>
      </c>
      <c r="I352">
        <v>420</v>
      </c>
      <c r="J352">
        <v>420</v>
      </c>
      <c r="K352">
        <v>0</v>
      </c>
      <c r="L352">
        <v>0</v>
      </c>
      <c r="M352">
        <v>0</v>
      </c>
      <c r="N352">
        <v>3600</v>
      </c>
      <c r="O352">
        <v>3966.2</v>
      </c>
      <c r="P352" s="9">
        <v>46142.429108796299</v>
      </c>
    </row>
    <row r="353" spans="1:16" x14ac:dyDescent="0.25">
      <c r="A353" t="s">
        <v>8</v>
      </c>
      <c r="B353" s="4">
        <v>46168</v>
      </c>
      <c r="C353" t="s">
        <v>162</v>
      </c>
      <c r="D353">
        <v>51400</v>
      </c>
      <c r="E353" t="s">
        <v>27</v>
      </c>
      <c r="F353">
        <v>114</v>
      </c>
      <c r="G353">
        <v>15570</v>
      </c>
      <c r="H353">
        <v>14130</v>
      </c>
      <c r="I353">
        <v>14970</v>
      </c>
      <c r="J353">
        <v>13950</v>
      </c>
      <c r="K353">
        <v>140</v>
      </c>
      <c r="L353">
        <v>140</v>
      </c>
      <c r="M353">
        <v>85.6</v>
      </c>
      <c r="N353">
        <v>188.65</v>
      </c>
      <c r="O353">
        <v>116.75</v>
      </c>
      <c r="P353" s="9">
        <v>46148.453449074077</v>
      </c>
    </row>
    <row r="354" spans="1:16" x14ac:dyDescent="0.25">
      <c r="A354" t="s">
        <v>8</v>
      </c>
      <c r="B354" s="4">
        <v>46168</v>
      </c>
      <c r="C354" t="s">
        <v>163</v>
      </c>
      <c r="D354">
        <v>51500</v>
      </c>
      <c r="E354" t="s">
        <v>26</v>
      </c>
      <c r="F354">
        <v>3470.85</v>
      </c>
      <c r="G354">
        <v>0</v>
      </c>
      <c r="H354">
        <v>6990</v>
      </c>
      <c r="I354">
        <v>6990</v>
      </c>
      <c r="J354">
        <v>6990</v>
      </c>
      <c r="K354">
        <v>0</v>
      </c>
      <c r="L354">
        <v>0</v>
      </c>
      <c r="M354">
        <v>0</v>
      </c>
      <c r="N354">
        <v>3470.85</v>
      </c>
      <c r="O354">
        <v>3841.7</v>
      </c>
      <c r="P354" s="9">
        <v>46147.62771990741</v>
      </c>
    </row>
    <row r="355" spans="1:16" x14ac:dyDescent="0.25">
      <c r="A355" t="s">
        <v>8</v>
      </c>
      <c r="B355" s="4">
        <v>46168</v>
      </c>
      <c r="C355" t="s">
        <v>164</v>
      </c>
      <c r="D355">
        <v>51500</v>
      </c>
      <c r="E355" t="s">
        <v>27</v>
      </c>
      <c r="F355">
        <v>123.85</v>
      </c>
      <c r="G355">
        <v>158400</v>
      </c>
      <c r="H355">
        <v>142830</v>
      </c>
      <c r="I355">
        <v>145860</v>
      </c>
      <c r="J355">
        <v>133500</v>
      </c>
      <c r="K355">
        <v>115.2</v>
      </c>
      <c r="L355">
        <v>131</v>
      </c>
      <c r="M355">
        <v>99.95</v>
      </c>
      <c r="N355">
        <v>196.15</v>
      </c>
      <c r="O355">
        <v>124.6</v>
      </c>
      <c r="P355" s="9">
        <v>46148.455300925925</v>
      </c>
    </row>
    <row r="356" spans="1:16" x14ac:dyDescent="0.25">
      <c r="A356" t="s">
        <v>8</v>
      </c>
      <c r="B356" s="4">
        <v>46168</v>
      </c>
      <c r="C356" t="s">
        <v>165</v>
      </c>
      <c r="D356">
        <v>51600</v>
      </c>
      <c r="E356" t="s">
        <v>26</v>
      </c>
      <c r="F356">
        <v>4361.95</v>
      </c>
      <c r="G356">
        <v>0</v>
      </c>
      <c r="H356">
        <v>360</v>
      </c>
      <c r="I356">
        <v>360</v>
      </c>
      <c r="J356">
        <v>360</v>
      </c>
      <c r="K356">
        <v>0</v>
      </c>
      <c r="L356">
        <v>0</v>
      </c>
      <c r="M356">
        <v>0</v>
      </c>
      <c r="N356">
        <v>4361.95</v>
      </c>
      <c r="O356">
        <v>3785</v>
      </c>
      <c r="P356" s="9">
        <v>46125.435752314814</v>
      </c>
    </row>
    <row r="357" spans="1:16" x14ac:dyDescent="0.25">
      <c r="A357" t="s">
        <v>8</v>
      </c>
      <c r="B357" s="4">
        <v>46168</v>
      </c>
      <c r="C357" t="s">
        <v>166</v>
      </c>
      <c r="D357">
        <v>51600</v>
      </c>
      <c r="E357" t="s">
        <v>27</v>
      </c>
      <c r="F357">
        <v>130.80000000000001</v>
      </c>
      <c r="G357">
        <v>22500</v>
      </c>
      <c r="H357">
        <v>24720</v>
      </c>
      <c r="I357">
        <v>24900</v>
      </c>
      <c r="J357">
        <v>22470</v>
      </c>
      <c r="K357">
        <v>126.55</v>
      </c>
      <c r="L357">
        <v>137.05000000000001</v>
      </c>
      <c r="M357">
        <v>116.15</v>
      </c>
      <c r="N357">
        <v>210</v>
      </c>
      <c r="O357">
        <v>130.9</v>
      </c>
      <c r="P357" s="9">
        <v>46148.453726851854</v>
      </c>
    </row>
    <row r="358" spans="1:16" x14ac:dyDescent="0.25">
      <c r="A358" t="s">
        <v>8</v>
      </c>
      <c r="B358" s="4">
        <v>46168</v>
      </c>
      <c r="C358" t="s">
        <v>167</v>
      </c>
      <c r="D358">
        <v>51700</v>
      </c>
      <c r="E358" t="s">
        <v>26</v>
      </c>
      <c r="F358">
        <v>6000</v>
      </c>
      <c r="G358">
        <v>0</v>
      </c>
      <c r="H358">
        <v>600</v>
      </c>
      <c r="I358">
        <v>600</v>
      </c>
      <c r="J358">
        <v>600</v>
      </c>
      <c r="K358">
        <v>0</v>
      </c>
      <c r="L358">
        <v>0</v>
      </c>
      <c r="M358">
        <v>0</v>
      </c>
      <c r="N358">
        <v>6000</v>
      </c>
      <c r="O358">
        <v>3684.35</v>
      </c>
      <c r="P358" s="9">
        <v>46134.603506944448</v>
      </c>
    </row>
    <row r="359" spans="1:16" x14ac:dyDescent="0.25">
      <c r="A359" t="s">
        <v>8</v>
      </c>
      <c r="B359" s="4">
        <v>46168</v>
      </c>
      <c r="C359" t="s">
        <v>168</v>
      </c>
      <c r="D359">
        <v>51700</v>
      </c>
      <c r="E359" t="s">
        <v>27</v>
      </c>
      <c r="F359">
        <v>137.94999999999999</v>
      </c>
      <c r="G359">
        <v>27450</v>
      </c>
      <c r="H359">
        <v>19440</v>
      </c>
      <c r="I359">
        <v>21000</v>
      </c>
      <c r="J359">
        <v>15540</v>
      </c>
      <c r="K359">
        <v>139.85</v>
      </c>
      <c r="L359">
        <v>144.4</v>
      </c>
      <c r="M359">
        <v>111</v>
      </c>
      <c r="N359">
        <v>217.7</v>
      </c>
      <c r="O359">
        <v>139.35</v>
      </c>
      <c r="P359" s="9">
        <v>46148.455231481479</v>
      </c>
    </row>
    <row r="360" spans="1:16" x14ac:dyDescent="0.25">
      <c r="A360" t="s">
        <v>8</v>
      </c>
      <c r="B360" s="4">
        <v>46168</v>
      </c>
      <c r="C360" t="s">
        <v>169</v>
      </c>
      <c r="D360">
        <v>51800</v>
      </c>
      <c r="E360" t="s">
        <v>26</v>
      </c>
      <c r="F360">
        <v>3175.3</v>
      </c>
      <c r="G360">
        <v>0</v>
      </c>
      <c r="H360">
        <v>810</v>
      </c>
      <c r="I360">
        <v>810</v>
      </c>
      <c r="J360">
        <v>810</v>
      </c>
      <c r="K360">
        <v>0</v>
      </c>
      <c r="L360">
        <v>0</v>
      </c>
      <c r="M360">
        <v>0</v>
      </c>
      <c r="N360">
        <v>3175.3</v>
      </c>
      <c r="O360">
        <v>3603.4</v>
      </c>
      <c r="P360" s="9">
        <v>46147.534837962965</v>
      </c>
    </row>
    <row r="361" spans="1:16" x14ac:dyDescent="0.25">
      <c r="A361" t="s">
        <v>8</v>
      </c>
      <c r="B361" s="4">
        <v>46168</v>
      </c>
      <c r="C361" t="s">
        <v>170</v>
      </c>
      <c r="D361">
        <v>51800</v>
      </c>
      <c r="E361" t="s">
        <v>27</v>
      </c>
      <c r="F361">
        <v>146.80000000000001</v>
      </c>
      <c r="G361">
        <v>16680</v>
      </c>
      <c r="H361">
        <v>25380</v>
      </c>
      <c r="I361">
        <v>28170</v>
      </c>
      <c r="J361">
        <v>24450</v>
      </c>
      <c r="K361">
        <v>135</v>
      </c>
      <c r="L361">
        <v>153.44999999999999</v>
      </c>
      <c r="M361">
        <v>129.85</v>
      </c>
      <c r="N361">
        <v>233.6</v>
      </c>
      <c r="O361">
        <v>148.30000000000001</v>
      </c>
      <c r="P361" s="9">
        <v>46148.453472222223</v>
      </c>
    </row>
    <row r="362" spans="1:16" x14ac:dyDescent="0.25">
      <c r="A362" t="s">
        <v>8</v>
      </c>
      <c r="B362" s="4">
        <v>46168</v>
      </c>
      <c r="C362" t="s">
        <v>171</v>
      </c>
      <c r="D362">
        <v>51900</v>
      </c>
      <c r="E362" t="s">
        <v>26</v>
      </c>
      <c r="F362">
        <v>3900</v>
      </c>
      <c r="G362">
        <v>0</v>
      </c>
      <c r="H362">
        <v>510</v>
      </c>
      <c r="I362">
        <v>510</v>
      </c>
      <c r="J362">
        <v>510</v>
      </c>
      <c r="K362">
        <v>0</v>
      </c>
      <c r="L362">
        <v>0</v>
      </c>
      <c r="M362">
        <v>0</v>
      </c>
      <c r="N362">
        <v>3900</v>
      </c>
      <c r="O362">
        <v>3512.3</v>
      </c>
      <c r="P362" s="9">
        <v>46141.637152777781</v>
      </c>
    </row>
    <row r="363" spans="1:16" x14ac:dyDescent="0.25">
      <c r="A363" t="s">
        <v>8</v>
      </c>
      <c r="B363" s="4">
        <v>46168</v>
      </c>
      <c r="C363" t="s">
        <v>172</v>
      </c>
      <c r="D363">
        <v>51900</v>
      </c>
      <c r="E363" t="s">
        <v>27</v>
      </c>
      <c r="F363">
        <v>156.65</v>
      </c>
      <c r="G363">
        <v>19080</v>
      </c>
      <c r="H363">
        <v>17430</v>
      </c>
      <c r="I363">
        <v>18660</v>
      </c>
      <c r="J363">
        <v>15480</v>
      </c>
      <c r="K363">
        <v>150.05000000000001</v>
      </c>
      <c r="L363">
        <v>163.05000000000001</v>
      </c>
      <c r="M363">
        <v>127.2</v>
      </c>
      <c r="N363">
        <v>246.85</v>
      </c>
      <c r="O363">
        <v>157.55000000000001</v>
      </c>
      <c r="P363" s="9">
        <v>46148.455057870371</v>
      </c>
    </row>
    <row r="364" spans="1:16" x14ac:dyDescent="0.25">
      <c r="A364" t="s">
        <v>8</v>
      </c>
      <c r="B364" s="4">
        <v>46168</v>
      </c>
      <c r="C364" t="s">
        <v>173</v>
      </c>
      <c r="D364">
        <v>52000</v>
      </c>
      <c r="E364" t="s">
        <v>26</v>
      </c>
      <c r="F364">
        <v>3550</v>
      </c>
      <c r="G364">
        <v>9120</v>
      </c>
      <c r="H364">
        <v>67590</v>
      </c>
      <c r="I364">
        <v>72120</v>
      </c>
      <c r="J364">
        <v>67590</v>
      </c>
      <c r="K364">
        <v>3401</v>
      </c>
      <c r="L364">
        <v>3711</v>
      </c>
      <c r="M364">
        <v>3401</v>
      </c>
      <c r="N364">
        <v>3072.2</v>
      </c>
      <c r="O364">
        <v>3446.4</v>
      </c>
      <c r="P364" s="9">
        <v>46148.448518518519</v>
      </c>
    </row>
    <row r="365" spans="1:16" x14ac:dyDescent="0.25">
      <c r="A365" t="s">
        <v>8</v>
      </c>
      <c r="B365" s="4">
        <v>46168</v>
      </c>
      <c r="C365" t="s">
        <v>174</v>
      </c>
      <c r="D365">
        <v>52000</v>
      </c>
      <c r="E365" t="s">
        <v>27</v>
      </c>
      <c r="F365">
        <v>167.1</v>
      </c>
      <c r="G365">
        <v>427470</v>
      </c>
      <c r="H365">
        <v>495390</v>
      </c>
      <c r="I365">
        <v>495390</v>
      </c>
      <c r="J365">
        <v>461460</v>
      </c>
      <c r="K365">
        <v>190</v>
      </c>
      <c r="L365">
        <v>190</v>
      </c>
      <c r="M365">
        <v>132.44999999999999</v>
      </c>
      <c r="N365">
        <v>259.14999999999998</v>
      </c>
      <c r="O365">
        <v>167.1</v>
      </c>
      <c r="P365" s="9">
        <v>46148.455300925925</v>
      </c>
    </row>
    <row r="366" spans="1:16" x14ac:dyDescent="0.25">
      <c r="A366" t="s">
        <v>8</v>
      </c>
      <c r="B366" s="4">
        <v>46168</v>
      </c>
      <c r="C366" t="s">
        <v>175</v>
      </c>
      <c r="D366">
        <v>52100</v>
      </c>
      <c r="E366" t="s">
        <v>26</v>
      </c>
      <c r="F366">
        <v>3222.3</v>
      </c>
      <c r="G366">
        <v>0</v>
      </c>
      <c r="H366">
        <v>600</v>
      </c>
      <c r="I366">
        <v>600</v>
      </c>
      <c r="J366">
        <v>600</v>
      </c>
      <c r="K366">
        <v>0</v>
      </c>
      <c r="L366">
        <v>0</v>
      </c>
      <c r="M366">
        <v>0</v>
      </c>
      <c r="N366">
        <v>3222.3</v>
      </c>
      <c r="O366">
        <v>3333.65</v>
      </c>
      <c r="P366" s="9">
        <v>46146.612407407411</v>
      </c>
    </row>
    <row r="367" spans="1:16" x14ac:dyDescent="0.25">
      <c r="A367" t="s">
        <v>8</v>
      </c>
      <c r="B367" s="4">
        <v>46168</v>
      </c>
      <c r="C367" t="s">
        <v>176</v>
      </c>
      <c r="D367">
        <v>52100</v>
      </c>
      <c r="E367" t="s">
        <v>27</v>
      </c>
      <c r="F367">
        <v>179.2</v>
      </c>
      <c r="G367">
        <v>22710</v>
      </c>
      <c r="H367">
        <v>23490</v>
      </c>
      <c r="I367">
        <v>24510</v>
      </c>
      <c r="J367">
        <v>22230</v>
      </c>
      <c r="K367">
        <v>166.5</v>
      </c>
      <c r="L367">
        <v>184.75</v>
      </c>
      <c r="M367">
        <v>153.75</v>
      </c>
      <c r="N367">
        <v>273.5</v>
      </c>
      <c r="O367">
        <v>176.7</v>
      </c>
      <c r="P367" s="9">
        <v>46148.454965277779</v>
      </c>
    </row>
    <row r="368" spans="1:16" x14ac:dyDescent="0.25">
      <c r="A368" t="s">
        <v>8</v>
      </c>
      <c r="B368" s="4">
        <v>46168</v>
      </c>
      <c r="C368" t="s">
        <v>177</v>
      </c>
      <c r="D368">
        <v>52200</v>
      </c>
      <c r="E368" t="s">
        <v>26</v>
      </c>
      <c r="F368">
        <v>2769</v>
      </c>
      <c r="G368">
        <v>0</v>
      </c>
      <c r="H368">
        <v>510</v>
      </c>
      <c r="I368">
        <v>510</v>
      </c>
      <c r="J368">
        <v>510</v>
      </c>
      <c r="K368">
        <v>0</v>
      </c>
      <c r="L368">
        <v>0</v>
      </c>
      <c r="M368">
        <v>0</v>
      </c>
      <c r="N368">
        <v>2769</v>
      </c>
      <c r="O368">
        <v>3242.3</v>
      </c>
      <c r="P368" s="9">
        <v>46147.45034722222</v>
      </c>
    </row>
    <row r="369" spans="1:16" x14ac:dyDescent="0.25">
      <c r="A369" t="s">
        <v>8</v>
      </c>
      <c r="B369" s="4">
        <v>46168</v>
      </c>
      <c r="C369" t="s">
        <v>178</v>
      </c>
      <c r="D369">
        <v>52200</v>
      </c>
      <c r="E369" t="s">
        <v>27</v>
      </c>
      <c r="F369">
        <v>185.65</v>
      </c>
      <c r="G369">
        <v>31860</v>
      </c>
      <c r="H369">
        <v>29460</v>
      </c>
      <c r="I369">
        <v>29730</v>
      </c>
      <c r="J369">
        <v>25920</v>
      </c>
      <c r="K369">
        <v>160.05000000000001</v>
      </c>
      <c r="L369">
        <v>198</v>
      </c>
      <c r="M369">
        <v>152.44999999999999</v>
      </c>
      <c r="N369">
        <v>291.75</v>
      </c>
      <c r="O369">
        <v>187.15</v>
      </c>
      <c r="P369" s="9">
        <v>46148.454016203701</v>
      </c>
    </row>
    <row r="370" spans="1:16" x14ac:dyDescent="0.25">
      <c r="A370" t="s">
        <v>8</v>
      </c>
      <c r="B370" s="4">
        <v>46168</v>
      </c>
      <c r="C370" t="s">
        <v>179</v>
      </c>
      <c r="D370">
        <v>52300</v>
      </c>
      <c r="E370" t="s">
        <v>26</v>
      </c>
      <c r="F370">
        <v>2800</v>
      </c>
      <c r="G370">
        <v>0</v>
      </c>
      <c r="H370">
        <v>900</v>
      </c>
      <c r="I370">
        <v>900</v>
      </c>
      <c r="J370">
        <v>900</v>
      </c>
      <c r="K370">
        <v>0</v>
      </c>
      <c r="L370">
        <v>0</v>
      </c>
      <c r="M370">
        <v>0</v>
      </c>
      <c r="N370">
        <v>2800</v>
      </c>
      <c r="O370">
        <v>3159.6</v>
      </c>
      <c r="P370" s="9">
        <v>46147.63521990741</v>
      </c>
    </row>
    <row r="371" spans="1:16" x14ac:dyDescent="0.25">
      <c r="A371" t="s">
        <v>8</v>
      </c>
      <c r="B371" s="4">
        <v>46168</v>
      </c>
      <c r="C371" t="s">
        <v>180</v>
      </c>
      <c r="D371">
        <v>52300</v>
      </c>
      <c r="E371" t="s">
        <v>27</v>
      </c>
      <c r="F371">
        <v>198.85</v>
      </c>
      <c r="G371">
        <v>31680</v>
      </c>
      <c r="H371">
        <v>19410</v>
      </c>
      <c r="I371">
        <v>21720</v>
      </c>
      <c r="J371">
        <v>17790</v>
      </c>
      <c r="K371">
        <v>256.3</v>
      </c>
      <c r="L371">
        <v>256.3</v>
      </c>
      <c r="M371">
        <v>168.1</v>
      </c>
      <c r="N371">
        <v>299.7</v>
      </c>
      <c r="O371">
        <v>198.85</v>
      </c>
      <c r="P371" s="9">
        <v>46148.455335648148</v>
      </c>
    </row>
    <row r="372" spans="1:16" x14ac:dyDescent="0.25">
      <c r="A372" t="s">
        <v>8</v>
      </c>
      <c r="B372" s="4">
        <v>46168</v>
      </c>
      <c r="C372" t="s">
        <v>181</v>
      </c>
      <c r="D372">
        <v>52400</v>
      </c>
      <c r="E372" t="s">
        <v>26</v>
      </c>
      <c r="F372">
        <v>4183.5</v>
      </c>
      <c r="G372">
        <v>0</v>
      </c>
      <c r="H372">
        <v>960</v>
      </c>
      <c r="I372">
        <v>960</v>
      </c>
      <c r="J372">
        <v>960</v>
      </c>
      <c r="K372">
        <v>0</v>
      </c>
      <c r="L372">
        <v>0</v>
      </c>
      <c r="M372">
        <v>0</v>
      </c>
      <c r="N372">
        <v>4183.5</v>
      </c>
      <c r="O372">
        <v>3067.7</v>
      </c>
      <c r="P372" s="9">
        <v>46120.604456018518</v>
      </c>
    </row>
    <row r="373" spans="1:16" x14ac:dyDescent="0.25">
      <c r="A373" t="s">
        <v>8</v>
      </c>
      <c r="B373" s="4">
        <v>46168</v>
      </c>
      <c r="C373" t="s">
        <v>182</v>
      </c>
      <c r="D373">
        <v>52400</v>
      </c>
      <c r="E373" t="s">
        <v>27</v>
      </c>
      <c r="F373">
        <v>210.15</v>
      </c>
      <c r="G373">
        <v>44880</v>
      </c>
      <c r="H373">
        <v>21480</v>
      </c>
      <c r="I373">
        <v>21480</v>
      </c>
      <c r="J373">
        <v>18900</v>
      </c>
      <c r="K373">
        <v>185.7</v>
      </c>
      <c r="L373">
        <v>223.3</v>
      </c>
      <c r="M373">
        <v>154</v>
      </c>
      <c r="N373">
        <v>317</v>
      </c>
      <c r="O373">
        <v>210.4</v>
      </c>
      <c r="P373" s="9">
        <v>46148.454652777778</v>
      </c>
    </row>
    <row r="374" spans="1:16" x14ac:dyDescent="0.25">
      <c r="A374" t="s">
        <v>8</v>
      </c>
      <c r="B374" s="4">
        <v>46168</v>
      </c>
      <c r="C374" t="s">
        <v>183</v>
      </c>
      <c r="D374">
        <v>52500</v>
      </c>
      <c r="E374" t="s">
        <v>26</v>
      </c>
      <c r="F374">
        <v>3070</v>
      </c>
      <c r="G374">
        <v>1680</v>
      </c>
      <c r="H374">
        <v>8910</v>
      </c>
      <c r="I374">
        <v>10380</v>
      </c>
      <c r="J374">
        <v>8850</v>
      </c>
      <c r="K374">
        <v>3200</v>
      </c>
      <c r="L374">
        <v>3218.9</v>
      </c>
      <c r="M374">
        <v>3070</v>
      </c>
      <c r="N374">
        <v>2637.45</v>
      </c>
      <c r="O374">
        <v>2993.1</v>
      </c>
      <c r="P374" s="9">
        <v>46148.430011574077</v>
      </c>
    </row>
    <row r="375" spans="1:16" x14ac:dyDescent="0.25">
      <c r="A375" t="s">
        <v>8</v>
      </c>
      <c r="B375" s="4">
        <v>46168</v>
      </c>
      <c r="C375" t="s">
        <v>184</v>
      </c>
      <c r="D375">
        <v>52500</v>
      </c>
      <c r="E375" t="s">
        <v>27</v>
      </c>
      <c r="F375">
        <v>222.45</v>
      </c>
      <c r="G375">
        <v>240750</v>
      </c>
      <c r="H375">
        <v>161970</v>
      </c>
      <c r="I375">
        <v>177960</v>
      </c>
      <c r="J375">
        <v>150480</v>
      </c>
      <c r="K375">
        <v>250</v>
      </c>
      <c r="L375">
        <v>250</v>
      </c>
      <c r="M375">
        <v>174.85</v>
      </c>
      <c r="N375">
        <v>336.7</v>
      </c>
      <c r="O375">
        <v>223.7</v>
      </c>
      <c r="P375" s="9">
        <v>46148.455312500002</v>
      </c>
    </row>
    <row r="376" spans="1:16" x14ac:dyDescent="0.25">
      <c r="A376" t="s">
        <v>8</v>
      </c>
      <c r="B376" s="4">
        <v>46168</v>
      </c>
      <c r="C376" t="s">
        <v>185</v>
      </c>
      <c r="D376">
        <v>52600</v>
      </c>
      <c r="E376" t="s">
        <v>26</v>
      </c>
      <c r="F376">
        <v>2600</v>
      </c>
      <c r="G376">
        <v>0</v>
      </c>
      <c r="H376">
        <v>1200</v>
      </c>
      <c r="I376">
        <v>1200</v>
      </c>
      <c r="J376">
        <v>1200</v>
      </c>
      <c r="K376">
        <v>0</v>
      </c>
      <c r="L376">
        <v>0</v>
      </c>
      <c r="M376">
        <v>0</v>
      </c>
      <c r="N376">
        <v>2600</v>
      </c>
      <c r="O376">
        <v>2909.5</v>
      </c>
      <c r="P376" s="9">
        <v>46147.541134259256</v>
      </c>
    </row>
    <row r="377" spans="1:16" x14ac:dyDescent="0.25">
      <c r="A377" t="s">
        <v>8</v>
      </c>
      <c r="B377" s="4">
        <v>46168</v>
      </c>
      <c r="C377" t="s">
        <v>186</v>
      </c>
      <c r="D377">
        <v>52600</v>
      </c>
      <c r="E377" t="s">
        <v>27</v>
      </c>
      <c r="F377">
        <v>236.4</v>
      </c>
      <c r="G377">
        <v>21030</v>
      </c>
      <c r="H377">
        <v>20700</v>
      </c>
      <c r="I377">
        <v>22740</v>
      </c>
      <c r="J377">
        <v>20160</v>
      </c>
      <c r="K377">
        <v>209.8</v>
      </c>
      <c r="L377">
        <v>246.85</v>
      </c>
      <c r="M377">
        <v>184.65</v>
      </c>
      <c r="N377">
        <v>355.5</v>
      </c>
      <c r="O377">
        <v>235.35</v>
      </c>
      <c r="P377" s="9">
        <v>46148.454699074071</v>
      </c>
    </row>
    <row r="378" spans="1:16" x14ac:dyDescent="0.25">
      <c r="A378" t="s">
        <v>8</v>
      </c>
      <c r="B378" s="4">
        <v>46168</v>
      </c>
      <c r="C378" t="s">
        <v>187</v>
      </c>
      <c r="D378">
        <v>52700</v>
      </c>
      <c r="E378" t="s">
        <v>26</v>
      </c>
      <c r="F378">
        <v>2850</v>
      </c>
      <c r="G378">
        <v>120</v>
      </c>
      <c r="H378">
        <v>1230</v>
      </c>
      <c r="I378">
        <v>1290</v>
      </c>
      <c r="J378">
        <v>1230</v>
      </c>
      <c r="K378">
        <v>3000</v>
      </c>
      <c r="L378">
        <v>3000</v>
      </c>
      <c r="M378">
        <v>2850</v>
      </c>
      <c r="N378">
        <v>2650</v>
      </c>
      <c r="O378">
        <v>2825.35</v>
      </c>
      <c r="P378" s="9">
        <v>46148.418622685182</v>
      </c>
    </row>
    <row r="379" spans="1:16" x14ac:dyDescent="0.25">
      <c r="A379" t="s">
        <v>8</v>
      </c>
      <c r="B379" s="4">
        <v>46168</v>
      </c>
      <c r="C379" t="s">
        <v>188</v>
      </c>
      <c r="D379">
        <v>52700</v>
      </c>
      <c r="E379" t="s">
        <v>27</v>
      </c>
      <c r="F379">
        <v>244.75</v>
      </c>
      <c r="G379">
        <v>25110</v>
      </c>
      <c r="H379">
        <v>16230</v>
      </c>
      <c r="I379">
        <v>19260</v>
      </c>
      <c r="J379">
        <v>16230</v>
      </c>
      <c r="K379">
        <v>236.05</v>
      </c>
      <c r="L379">
        <v>263.7</v>
      </c>
      <c r="M379">
        <v>191.15</v>
      </c>
      <c r="N379">
        <v>371.5</v>
      </c>
      <c r="O379">
        <v>250.2</v>
      </c>
      <c r="P379" s="9">
        <v>46148.455081018517</v>
      </c>
    </row>
    <row r="380" spans="1:16" x14ac:dyDescent="0.25">
      <c r="A380" t="s">
        <v>8</v>
      </c>
      <c r="B380" s="4">
        <v>46168</v>
      </c>
      <c r="C380" t="s">
        <v>189</v>
      </c>
      <c r="D380">
        <v>52800</v>
      </c>
      <c r="E380" t="s">
        <v>26</v>
      </c>
      <c r="F380">
        <v>2561.0500000000002</v>
      </c>
      <c r="G380">
        <v>0</v>
      </c>
      <c r="H380">
        <v>2670</v>
      </c>
      <c r="I380">
        <v>2670</v>
      </c>
      <c r="J380">
        <v>2670</v>
      </c>
      <c r="K380">
        <v>0</v>
      </c>
      <c r="L380">
        <v>0</v>
      </c>
      <c r="M380">
        <v>0</v>
      </c>
      <c r="N380">
        <v>2561.0500000000002</v>
      </c>
      <c r="O380">
        <v>2736.2</v>
      </c>
      <c r="P380" s="9">
        <v>46147.570243055554</v>
      </c>
    </row>
    <row r="381" spans="1:16" x14ac:dyDescent="0.25">
      <c r="A381" t="s">
        <v>8</v>
      </c>
      <c r="B381" s="4">
        <v>46168</v>
      </c>
      <c r="C381" t="s">
        <v>190</v>
      </c>
      <c r="D381">
        <v>52800</v>
      </c>
      <c r="E381" t="s">
        <v>27</v>
      </c>
      <c r="F381">
        <v>263.85000000000002</v>
      </c>
      <c r="G381">
        <v>24210</v>
      </c>
      <c r="H381">
        <v>18420</v>
      </c>
      <c r="I381">
        <v>21630</v>
      </c>
      <c r="J381">
        <v>18180</v>
      </c>
      <c r="K381">
        <v>303.14999999999998</v>
      </c>
      <c r="L381">
        <v>303.14999999999998</v>
      </c>
      <c r="M381">
        <v>204.75</v>
      </c>
      <c r="N381">
        <v>394.15</v>
      </c>
      <c r="O381">
        <v>263.8</v>
      </c>
      <c r="P381" s="9">
        <v>46148.454791666663</v>
      </c>
    </row>
    <row r="382" spans="1:16" x14ac:dyDescent="0.25">
      <c r="A382" t="s">
        <v>8</v>
      </c>
      <c r="B382" s="4">
        <v>46168</v>
      </c>
      <c r="C382" t="s">
        <v>191</v>
      </c>
      <c r="D382">
        <v>52900</v>
      </c>
      <c r="E382" t="s">
        <v>26</v>
      </c>
      <c r="F382">
        <v>2525</v>
      </c>
      <c r="G382">
        <v>0</v>
      </c>
      <c r="H382">
        <v>510</v>
      </c>
      <c r="I382">
        <v>510</v>
      </c>
      <c r="J382">
        <v>510</v>
      </c>
      <c r="K382">
        <v>0</v>
      </c>
      <c r="L382">
        <v>0</v>
      </c>
      <c r="M382">
        <v>0</v>
      </c>
      <c r="N382">
        <v>2525</v>
      </c>
      <c r="O382">
        <v>2641.75</v>
      </c>
      <c r="P382" s="9">
        <v>46147.55027777778</v>
      </c>
    </row>
    <row r="383" spans="1:16" x14ac:dyDescent="0.25">
      <c r="A383" t="s">
        <v>8</v>
      </c>
      <c r="B383" s="4">
        <v>46168</v>
      </c>
      <c r="C383" t="s">
        <v>192</v>
      </c>
      <c r="D383">
        <v>52900</v>
      </c>
      <c r="E383" t="s">
        <v>27</v>
      </c>
      <c r="F383">
        <v>277.75</v>
      </c>
      <c r="G383">
        <v>17610</v>
      </c>
      <c r="H383">
        <v>23580</v>
      </c>
      <c r="I383">
        <v>24870</v>
      </c>
      <c r="J383">
        <v>22770</v>
      </c>
      <c r="K383">
        <v>243.35</v>
      </c>
      <c r="L383">
        <v>290.89999999999998</v>
      </c>
      <c r="M383">
        <v>238.65</v>
      </c>
      <c r="N383">
        <v>416.3</v>
      </c>
      <c r="O383">
        <v>279.2</v>
      </c>
      <c r="P383" s="9">
        <v>46148.454594907409</v>
      </c>
    </row>
    <row r="384" spans="1:16" x14ac:dyDescent="0.25">
      <c r="A384" t="s">
        <v>8</v>
      </c>
      <c r="B384" s="4">
        <v>46168</v>
      </c>
      <c r="C384" t="s">
        <v>193</v>
      </c>
      <c r="D384">
        <v>53000</v>
      </c>
      <c r="E384" t="s">
        <v>26</v>
      </c>
      <c r="F384">
        <v>2600</v>
      </c>
      <c r="G384">
        <v>9930</v>
      </c>
      <c r="H384">
        <v>93810</v>
      </c>
      <c r="I384">
        <v>95640</v>
      </c>
      <c r="J384">
        <v>93600</v>
      </c>
      <c r="K384">
        <v>2610</v>
      </c>
      <c r="L384">
        <v>2800</v>
      </c>
      <c r="M384">
        <v>2577.0500000000002</v>
      </c>
      <c r="N384">
        <v>2249.65</v>
      </c>
      <c r="O384">
        <v>2590</v>
      </c>
      <c r="P384" s="9">
        <v>46148.454861111109</v>
      </c>
    </row>
    <row r="385" spans="1:16" x14ac:dyDescent="0.25">
      <c r="A385" t="s">
        <v>8</v>
      </c>
      <c r="B385" s="4">
        <v>46168</v>
      </c>
      <c r="C385" t="s">
        <v>194</v>
      </c>
      <c r="D385">
        <v>53000</v>
      </c>
      <c r="E385" t="s">
        <v>27</v>
      </c>
      <c r="F385">
        <v>297.39999999999998</v>
      </c>
      <c r="G385">
        <v>636090</v>
      </c>
      <c r="H385">
        <v>478230</v>
      </c>
      <c r="I385">
        <v>478230</v>
      </c>
      <c r="J385">
        <v>361290</v>
      </c>
      <c r="K385">
        <v>330</v>
      </c>
      <c r="L385">
        <v>330</v>
      </c>
      <c r="M385">
        <v>231.5</v>
      </c>
      <c r="N385">
        <v>436.1</v>
      </c>
      <c r="O385">
        <v>294.8</v>
      </c>
      <c r="P385" s="9">
        <v>46148.455358796295</v>
      </c>
    </row>
    <row r="386" spans="1:16" x14ac:dyDescent="0.25">
      <c r="A386" t="s">
        <v>8</v>
      </c>
      <c r="B386" s="4">
        <v>46168</v>
      </c>
      <c r="C386" t="s">
        <v>195</v>
      </c>
      <c r="D386">
        <v>53100</v>
      </c>
      <c r="E386" t="s">
        <v>26</v>
      </c>
      <c r="F386">
        <v>2639.35</v>
      </c>
      <c r="G386">
        <v>0</v>
      </c>
      <c r="H386">
        <v>930</v>
      </c>
      <c r="I386">
        <v>930</v>
      </c>
      <c r="J386">
        <v>930</v>
      </c>
      <c r="K386">
        <v>0</v>
      </c>
      <c r="L386">
        <v>0</v>
      </c>
      <c r="M386">
        <v>0</v>
      </c>
      <c r="N386">
        <v>2639.35</v>
      </c>
      <c r="O386">
        <v>2481.1</v>
      </c>
      <c r="P386" s="9">
        <v>46142.645624999997</v>
      </c>
    </row>
    <row r="387" spans="1:16" x14ac:dyDescent="0.25">
      <c r="A387" t="s">
        <v>8</v>
      </c>
      <c r="B387" s="4">
        <v>46168</v>
      </c>
      <c r="C387" t="s">
        <v>196</v>
      </c>
      <c r="D387">
        <v>53100</v>
      </c>
      <c r="E387" t="s">
        <v>27</v>
      </c>
      <c r="F387">
        <v>310.05</v>
      </c>
      <c r="G387">
        <v>41340</v>
      </c>
      <c r="H387">
        <v>23490</v>
      </c>
      <c r="I387">
        <v>25380</v>
      </c>
      <c r="J387">
        <v>21180</v>
      </c>
      <c r="K387">
        <v>438.65</v>
      </c>
      <c r="L387">
        <v>438.65</v>
      </c>
      <c r="M387">
        <v>243.95</v>
      </c>
      <c r="N387">
        <v>460.55</v>
      </c>
      <c r="O387">
        <v>311</v>
      </c>
      <c r="P387" s="9">
        <v>46148.454768518517</v>
      </c>
    </row>
    <row r="388" spans="1:16" x14ac:dyDescent="0.25">
      <c r="A388" t="s">
        <v>8</v>
      </c>
      <c r="B388" s="4">
        <v>46168</v>
      </c>
      <c r="C388" t="s">
        <v>197</v>
      </c>
      <c r="D388">
        <v>53200</v>
      </c>
      <c r="E388" t="s">
        <v>26</v>
      </c>
      <c r="F388">
        <v>2308.85</v>
      </c>
      <c r="G388">
        <v>0</v>
      </c>
      <c r="H388">
        <v>630</v>
      </c>
      <c r="I388">
        <v>630</v>
      </c>
      <c r="J388">
        <v>630</v>
      </c>
      <c r="K388">
        <v>0</v>
      </c>
      <c r="L388">
        <v>0</v>
      </c>
      <c r="M388">
        <v>0</v>
      </c>
      <c r="N388">
        <v>2308.85</v>
      </c>
      <c r="O388">
        <v>2410.9</v>
      </c>
      <c r="P388" s="9">
        <v>46142.510821759257</v>
      </c>
    </row>
    <row r="389" spans="1:16" x14ac:dyDescent="0.25">
      <c r="A389" t="s">
        <v>8</v>
      </c>
      <c r="B389" s="4">
        <v>46168</v>
      </c>
      <c r="C389" t="s">
        <v>198</v>
      </c>
      <c r="D389">
        <v>53200</v>
      </c>
      <c r="E389" t="s">
        <v>27</v>
      </c>
      <c r="F389">
        <v>323.10000000000002</v>
      </c>
      <c r="G389">
        <v>62790</v>
      </c>
      <c r="H389">
        <v>21900</v>
      </c>
      <c r="I389">
        <v>22470</v>
      </c>
      <c r="J389">
        <v>18420</v>
      </c>
      <c r="K389">
        <v>305.05</v>
      </c>
      <c r="L389">
        <v>346</v>
      </c>
      <c r="M389">
        <v>251.25</v>
      </c>
      <c r="N389">
        <v>481.8</v>
      </c>
      <c r="O389">
        <v>329.25</v>
      </c>
      <c r="P389" s="9">
        <v>46148.455069444448</v>
      </c>
    </row>
    <row r="390" spans="1:16" x14ac:dyDescent="0.25">
      <c r="A390" t="s">
        <v>8</v>
      </c>
      <c r="B390" s="4">
        <v>46168</v>
      </c>
      <c r="C390" t="s">
        <v>199</v>
      </c>
      <c r="D390">
        <v>53300</v>
      </c>
      <c r="E390" t="s">
        <v>26</v>
      </c>
      <c r="F390">
        <v>2408.85</v>
      </c>
      <c r="G390">
        <v>60</v>
      </c>
      <c r="H390">
        <v>3480</v>
      </c>
      <c r="I390">
        <v>3480</v>
      </c>
      <c r="J390">
        <v>3480</v>
      </c>
      <c r="K390">
        <v>2382.0500000000002</v>
      </c>
      <c r="L390">
        <v>2408.85</v>
      </c>
      <c r="M390">
        <v>2382.0500000000002</v>
      </c>
      <c r="N390">
        <v>2002</v>
      </c>
      <c r="O390">
        <v>2326.4499999999998</v>
      </c>
      <c r="P390" s="9">
        <v>46148.430555555555</v>
      </c>
    </row>
    <row r="391" spans="1:16" x14ac:dyDescent="0.25">
      <c r="A391" t="s">
        <v>8</v>
      </c>
      <c r="B391" s="4">
        <v>46168</v>
      </c>
      <c r="C391" t="s">
        <v>200</v>
      </c>
      <c r="D391">
        <v>53300</v>
      </c>
      <c r="E391" t="s">
        <v>27</v>
      </c>
      <c r="F391">
        <v>340.45</v>
      </c>
      <c r="G391">
        <v>39540</v>
      </c>
      <c r="H391">
        <v>27210</v>
      </c>
      <c r="I391">
        <v>28080</v>
      </c>
      <c r="J391">
        <v>24120</v>
      </c>
      <c r="K391">
        <v>379.9</v>
      </c>
      <c r="L391">
        <v>379.9</v>
      </c>
      <c r="M391">
        <v>279.7</v>
      </c>
      <c r="N391">
        <v>507.75</v>
      </c>
      <c r="O391">
        <v>346.85</v>
      </c>
      <c r="P391" s="9">
        <v>46148.455092592594</v>
      </c>
    </row>
    <row r="392" spans="1:16" x14ac:dyDescent="0.25">
      <c r="A392" t="s">
        <v>8</v>
      </c>
      <c r="B392" s="4">
        <v>46168</v>
      </c>
      <c r="C392" t="s">
        <v>201</v>
      </c>
      <c r="D392">
        <v>53400</v>
      </c>
      <c r="E392" t="s">
        <v>26</v>
      </c>
      <c r="F392">
        <v>2090.5500000000002</v>
      </c>
      <c r="G392">
        <v>0</v>
      </c>
      <c r="H392">
        <v>1080</v>
      </c>
      <c r="I392">
        <v>1080</v>
      </c>
      <c r="J392">
        <v>1080</v>
      </c>
      <c r="K392">
        <v>0</v>
      </c>
      <c r="L392">
        <v>0</v>
      </c>
      <c r="M392">
        <v>0</v>
      </c>
      <c r="N392">
        <v>2090.5500000000002</v>
      </c>
      <c r="O392">
        <v>2252.1999999999998</v>
      </c>
      <c r="P392" s="9">
        <v>46147.578645833331</v>
      </c>
    </row>
    <row r="393" spans="1:16" x14ac:dyDescent="0.25">
      <c r="A393" t="s">
        <v>8</v>
      </c>
      <c r="B393" s="4">
        <v>46168</v>
      </c>
      <c r="C393" t="s">
        <v>202</v>
      </c>
      <c r="D393">
        <v>53400</v>
      </c>
      <c r="E393" t="s">
        <v>27</v>
      </c>
      <c r="F393">
        <v>365.45</v>
      </c>
      <c r="G393">
        <v>52680</v>
      </c>
      <c r="H393">
        <v>25080</v>
      </c>
      <c r="I393">
        <v>27060</v>
      </c>
      <c r="J393">
        <v>23490</v>
      </c>
      <c r="K393">
        <v>390.05</v>
      </c>
      <c r="L393">
        <v>390.05</v>
      </c>
      <c r="M393">
        <v>296.7</v>
      </c>
      <c r="N393">
        <v>532.75</v>
      </c>
      <c r="O393">
        <v>366.45</v>
      </c>
      <c r="P393" s="9">
        <v>46148.454652777778</v>
      </c>
    </row>
    <row r="394" spans="1:16" x14ac:dyDescent="0.25">
      <c r="A394" t="s">
        <v>8</v>
      </c>
      <c r="B394" s="4">
        <v>46168</v>
      </c>
      <c r="C394" t="s">
        <v>203</v>
      </c>
      <c r="D394">
        <v>53500</v>
      </c>
      <c r="E394" t="s">
        <v>26</v>
      </c>
      <c r="F394">
        <v>2230</v>
      </c>
      <c r="G394">
        <v>2880</v>
      </c>
      <c r="H394">
        <v>19650</v>
      </c>
      <c r="I394">
        <v>20640</v>
      </c>
      <c r="J394">
        <v>19620</v>
      </c>
      <c r="K394">
        <v>2196.3000000000002</v>
      </c>
      <c r="L394">
        <v>2390</v>
      </c>
      <c r="M394">
        <v>2178.1</v>
      </c>
      <c r="N394">
        <v>1866.2</v>
      </c>
      <c r="O394">
        <v>2179.8000000000002</v>
      </c>
      <c r="P394" s="9">
        <v>46148.452546296299</v>
      </c>
    </row>
    <row r="395" spans="1:16" x14ac:dyDescent="0.25">
      <c r="A395" t="s">
        <v>8</v>
      </c>
      <c r="B395" s="4">
        <v>46168</v>
      </c>
      <c r="C395" t="s">
        <v>204</v>
      </c>
      <c r="D395">
        <v>53500</v>
      </c>
      <c r="E395" t="s">
        <v>27</v>
      </c>
      <c r="F395">
        <v>387.6</v>
      </c>
      <c r="G395">
        <v>288630</v>
      </c>
      <c r="H395">
        <v>224880</v>
      </c>
      <c r="I395">
        <v>244260</v>
      </c>
      <c r="J395">
        <v>224610</v>
      </c>
      <c r="K395">
        <v>447</v>
      </c>
      <c r="L395">
        <v>447</v>
      </c>
      <c r="M395">
        <v>309.45</v>
      </c>
      <c r="N395">
        <v>560.9</v>
      </c>
      <c r="O395">
        <v>386.6</v>
      </c>
      <c r="P395" s="9">
        <v>46148.455370370371</v>
      </c>
    </row>
    <row r="396" spans="1:16" x14ac:dyDescent="0.25">
      <c r="A396" t="s">
        <v>8</v>
      </c>
      <c r="B396" s="4">
        <v>46168</v>
      </c>
      <c r="C396" t="s">
        <v>205</v>
      </c>
      <c r="D396">
        <v>53600</v>
      </c>
      <c r="E396" t="s">
        <v>26</v>
      </c>
      <c r="F396">
        <v>2247.5</v>
      </c>
      <c r="G396">
        <v>180</v>
      </c>
      <c r="H396">
        <v>930</v>
      </c>
      <c r="I396">
        <v>930</v>
      </c>
      <c r="J396">
        <v>840</v>
      </c>
      <c r="K396">
        <v>2307.1999999999998</v>
      </c>
      <c r="L396">
        <v>2307.1999999999998</v>
      </c>
      <c r="M396">
        <v>2239.25</v>
      </c>
      <c r="N396">
        <v>1767.1</v>
      </c>
      <c r="O396">
        <v>2086.1999999999998</v>
      </c>
      <c r="P396" s="9">
        <v>46148.393425925926</v>
      </c>
    </row>
    <row r="397" spans="1:16" x14ac:dyDescent="0.25">
      <c r="A397" t="s">
        <v>8</v>
      </c>
      <c r="B397" s="4">
        <v>46168</v>
      </c>
      <c r="C397" t="s">
        <v>206</v>
      </c>
      <c r="D397">
        <v>53600</v>
      </c>
      <c r="E397" t="s">
        <v>27</v>
      </c>
      <c r="F397">
        <v>407.85</v>
      </c>
      <c r="G397">
        <v>52890</v>
      </c>
      <c r="H397">
        <v>29340</v>
      </c>
      <c r="I397">
        <v>29550</v>
      </c>
      <c r="J397">
        <v>23430</v>
      </c>
      <c r="K397">
        <v>369.05</v>
      </c>
      <c r="L397">
        <v>428.05</v>
      </c>
      <c r="M397">
        <v>316.39999999999998</v>
      </c>
      <c r="N397">
        <v>584.29999999999995</v>
      </c>
      <c r="O397">
        <v>408.2</v>
      </c>
      <c r="P397" s="9">
        <v>46148.455023148148</v>
      </c>
    </row>
    <row r="398" spans="1:16" x14ac:dyDescent="0.25">
      <c r="A398" t="s">
        <v>8</v>
      </c>
      <c r="B398" s="4">
        <v>46168</v>
      </c>
      <c r="C398" t="s">
        <v>207</v>
      </c>
      <c r="D398">
        <v>53700</v>
      </c>
      <c r="E398" t="s">
        <v>26</v>
      </c>
      <c r="F398">
        <v>2125.4</v>
      </c>
      <c r="G398">
        <v>120</v>
      </c>
      <c r="H398">
        <v>4740</v>
      </c>
      <c r="I398">
        <v>4740</v>
      </c>
      <c r="J398">
        <v>4680</v>
      </c>
      <c r="K398">
        <v>2170</v>
      </c>
      <c r="L398">
        <v>2186.85</v>
      </c>
      <c r="M398">
        <v>2125.4</v>
      </c>
      <c r="N398">
        <v>1693.85</v>
      </c>
      <c r="O398">
        <v>2012.95</v>
      </c>
      <c r="P398" s="9">
        <v>46148.447013888886</v>
      </c>
    </row>
    <row r="399" spans="1:16" x14ac:dyDescent="0.25">
      <c r="A399" t="s">
        <v>8</v>
      </c>
      <c r="B399" s="4">
        <v>46168</v>
      </c>
      <c r="C399" t="s">
        <v>208</v>
      </c>
      <c r="D399">
        <v>53700</v>
      </c>
      <c r="E399" t="s">
        <v>27</v>
      </c>
      <c r="F399">
        <v>434.65</v>
      </c>
      <c r="G399">
        <v>39450</v>
      </c>
      <c r="H399">
        <v>33300</v>
      </c>
      <c r="I399">
        <v>33300</v>
      </c>
      <c r="J399">
        <v>29670</v>
      </c>
      <c r="K399">
        <v>375.2</v>
      </c>
      <c r="L399">
        <v>446.6</v>
      </c>
      <c r="M399">
        <v>338.3</v>
      </c>
      <c r="N399">
        <v>616.79999999999995</v>
      </c>
      <c r="O399">
        <v>430.1</v>
      </c>
      <c r="P399" s="9">
        <v>46148.455370370371</v>
      </c>
    </row>
    <row r="400" spans="1:16" x14ac:dyDescent="0.25">
      <c r="A400" t="s">
        <v>8</v>
      </c>
      <c r="B400" s="4">
        <v>46168</v>
      </c>
      <c r="C400" t="s">
        <v>209</v>
      </c>
      <c r="D400">
        <v>53800</v>
      </c>
      <c r="E400" t="s">
        <v>26</v>
      </c>
      <c r="F400">
        <v>2013.6</v>
      </c>
      <c r="G400">
        <v>390</v>
      </c>
      <c r="H400">
        <v>3960</v>
      </c>
      <c r="I400">
        <v>4020</v>
      </c>
      <c r="J400">
        <v>3870</v>
      </c>
      <c r="K400">
        <v>2136.9499999999998</v>
      </c>
      <c r="L400">
        <v>2145.85</v>
      </c>
      <c r="M400">
        <v>1948.5</v>
      </c>
      <c r="N400">
        <v>1660.65</v>
      </c>
      <c r="O400">
        <v>1949.4</v>
      </c>
      <c r="P400" s="9">
        <v>46148.450706018521</v>
      </c>
    </row>
    <row r="401" spans="1:16" x14ac:dyDescent="0.25">
      <c r="A401" t="s">
        <v>8</v>
      </c>
      <c r="B401" s="4">
        <v>46168</v>
      </c>
      <c r="C401" t="s">
        <v>210</v>
      </c>
      <c r="D401">
        <v>53800</v>
      </c>
      <c r="E401" t="s">
        <v>27</v>
      </c>
      <c r="F401">
        <v>452.3</v>
      </c>
      <c r="G401">
        <v>67230</v>
      </c>
      <c r="H401">
        <v>32370</v>
      </c>
      <c r="I401">
        <v>32460</v>
      </c>
      <c r="J401">
        <v>24720</v>
      </c>
      <c r="K401">
        <v>375.2</v>
      </c>
      <c r="L401">
        <v>472.85</v>
      </c>
      <c r="M401">
        <v>358.05</v>
      </c>
      <c r="N401">
        <v>645.85</v>
      </c>
      <c r="O401">
        <v>454.95</v>
      </c>
      <c r="P401" s="9">
        <v>46148.455266203702</v>
      </c>
    </row>
    <row r="402" spans="1:16" x14ac:dyDescent="0.25">
      <c r="A402" t="s">
        <v>8</v>
      </c>
      <c r="B402" s="4">
        <v>46168</v>
      </c>
      <c r="C402" t="s">
        <v>211</v>
      </c>
      <c r="D402">
        <v>53900</v>
      </c>
      <c r="E402" t="s">
        <v>26</v>
      </c>
      <c r="F402">
        <v>1925</v>
      </c>
      <c r="G402">
        <v>510</v>
      </c>
      <c r="H402">
        <v>2700</v>
      </c>
      <c r="I402">
        <v>2850</v>
      </c>
      <c r="J402">
        <v>2700</v>
      </c>
      <c r="K402">
        <v>2049.9499999999998</v>
      </c>
      <c r="L402">
        <v>2055.8000000000002</v>
      </c>
      <c r="M402">
        <v>1893.1</v>
      </c>
      <c r="N402">
        <v>1605.45</v>
      </c>
      <c r="O402">
        <v>1871.45</v>
      </c>
      <c r="P402" s="9">
        <v>46148.452777777777</v>
      </c>
    </row>
    <row r="403" spans="1:16" x14ac:dyDescent="0.25">
      <c r="A403" t="s">
        <v>8</v>
      </c>
      <c r="B403" s="4">
        <v>46168</v>
      </c>
      <c r="C403" t="s">
        <v>212</v>
      </c>
      <c r="D403">
        <v>53900</v>
      </c>
      <c r="E403" t="s">
        <v>27</v>
      </c>
      <c r="F403">
        <v>475.95</v>
      </c>
      <c r="G403">
        <v>68370</v>
      </c>
      <c r="H403">
        <v>29280</v>
      </c>
      <c r="I403">
        <v>29340</v>
      </c>
      <c r="J403">
        <v>26850</v>
      </c>
      <c r="K403">
        <v>585.54999999999995</v>
      </c>
      <c r="L403">
        <v>585.54999999999995</v>
      </c>
      <c r="M403">
        <v>369.3</v>
      </c>
      <c r="N403">
        <v>681.15</v>
      </c>
      <c r="O403">
        <v>479.2</v>
      </c>
      <c r="P403" s="9">
        <v>46148.455069444448</v>
      </c>
    </row>
    <row r="404" spans="1:16" x14ac:dyDescent="0.25">
      <c r="A404" t="s">
        <v>8</v>
      </c>
      <c r="B404" s="4">
        <v>46168</v>
      </c>
      <c r="C404" t="s">
        <v>213</v>
      </c>
      <c r="D404">
        <v>54000</v>
      </c>
      <c r="E404" t="s">
        <v>26</v>
      </c>
      <c r="F404">
        <v>1834.35</v>
      </c>
      <c r="G404">
        <v>175260</v>
      </c>
      <c r="H404">
        <v>225180</v>
      </c>
      <c r="I404">
        <v>228780</v>
      </c>
      <c r="J404">
        <v>165420</v>
      </c>
      <c r="K404">
        <v>1980</v>
      </c>
      <c r="L404">
        <v>2007.05</v>
      </c>
      <c r="M404">
        <v>1779.45</v>
      </c>
      <c r="N404">
        <v>1525.35</v>
      </c>
      <c r="O404">
        <v>1816.25</v>
      </c>
      <c r="P404" s="9">
        <v>46148.455092592594</v>
      </c>
    </row>
    <row r="405" spans="1:16" x14ac:dyDescent="0.25">
      <c r="A405" t="s">
        <v>8</v>
      </c>
      <c r="B405" s="4">
        <v>46168</v>
      </c>
      <c r="C405" t="s">
        <v>214</v>
      </c>
      <c r="D405">
        <v>54000</v>
      </c>
      <c r="E405" t="s">
        <v>27</v>
      </c>
      <c r="F405">
        <v>505.95</v>
      </c>
      <c r="G405">
        <v>549300</v>
      </c>
      <c r="H405">
        <v>511080</v>
      </c>
      <c r="I405">
        <v>512850</v>
      </c>
      <c r="J405">
        <v>471210</v>
      </c>
      <c r="K405">
        <v>570</v>
      </c>
      <c r="L405">
        <v>582.79999999999995</v>
      </c>
      <c r="M405">
        <v>404.05</v>
      </c>
      <c r="N405">
        <v>714.7</v>
      </c>
      <c r="O405">
        <v>504.6</v>
      </c>
      <c r="P405" s="9">
        <v>46148.455347222225</v>
      </c>
    </row>
    <row r="406" spans="1:16" x14ac:dyDescent="0.25">
      <c r="A406" t="s">
        <v>8</v>
      </c>
      <c r="B406" s="4">
        <v>46168</v>
      </c>
      <c r="C406" t="s">
        <v>215</v>
      </c>
      <c r="D406">
        <v>54100</v>
      </c>
      <c r="E406" t="s">
        <v>26</v>
      </c>
      <c r="F406">
        <v>1782.55</v>
      </c>
      <c r="G406">
        <v>2280</v>
      </c>
      <c r="H406">
        <v>7740</v>
      </c>
      <c r="I406">
        <v>7890</v>
      </c>
      <c r="J406">
        <v>7590</v>
      </c>
      <c r="K406">
        <v>1791.4</v>
      </c>
      <c r="L406">
        <v>1932</v>
      </c>
      <c r="M406">
        <v>1712.2</v>
      </c>
      <c r="N406">
        <v>1466.5</v>
      </c>
      <c r="O406">
        <v>1732.1</v>
      </c>
      <c r="P406" s="9">
        <v>46148.451458333337</v>
      </c>
    </row>
    <row r="407" spans="1:16" x14ac:dyDescent="0.25">
      <c r="A407" t="s">
        <v>8</v>
      </c>
      <c r="B407" s="4">
        <v>46168</v>
      </c>
      <c r="C407" t="s">
        <v>216</v>
      </c>
      <c r="D407">
        <v>54100</v>
      </c>
      <c r="E407" t="s">
        <v>27</v>
      </c>
      <c r="F407">
        <v>533.65</v>
      </c>
      <c r="G407">
        <v>97890</v>
      </c>
      <c r="H407">
        <v>44520</v>
      </c>
      <c r="I407">
        <v>44670</v>
      </c>
      <c r="J407">
        <v>31800</v>
      </c>
      <c r="K407">
        <v>600</v>
      </c>
      <c r="L407">
        <v>600</v>
      </c>
      <c r="M407">
        <v>426.65</v>
      </c>
      <c r="N407">
        <v>749.8</v>
      </c>
      <c r="O407">
        <v>530.5</v>
      </c>
      <c r="P407" s="9">
        <v>46148.455335648148</v>
      </c>
    </row>
    <row r="408" spans="1:16" x14ac:dyDescent="0.25">
      <c r="A408" t="s">
        <v>8</v>
      </c>
      <c r="B408" s="4">
        <v>46168</v>
      </c>
      <c r="C408" t="s">
        <v>217</v>
      </c>
      <c r="D408">
        <v>54200</v>
      </c>
      <c r="E408" t="s">
        <v>26</v>
      </c>
      <c r="F408">
        <v>1746</v>
      </c>
      <c r="G408">
        <v>5670</v>
      </c>
      <c r="H408">
        <v>14160</v>
      </c>
      <c r="I408">
        <v>14490</v>
      </c>
      <c r="J408">
        <v>14070</v>
      </c>
      <c r="K408">
        <v>1699.95</v>
      </c>
      <c r="L408">
        <v>1851.25</v>
      </c>
      <c r="M408">
        <v>1656.25</v>
      </c>
      <c r="N408">
        <v>1398.35</v>
      </c>
      <c r="O408">
        <v>1664.05</v>
      </c>
      <c r="P408" s="9">
        <v>46148.447152777779</v>
      </c>
    </row>
    <row r="409" spans="1:16" x14ac:dyDescent="0.25">
      <c r="A409" t="s">
        <v>8</v>
      </c>
      <c r="B409" s="4">
        <v>46168</v>
      </c>
      <c r="C409" t="s">
        <v>218</v>
      </c>
      <c r="D409">
        <v>54200</v>
      </c>
      <c r="E409" t="s">
        <v>27</v>
      </c>
      <c r="F409">
        <v>559.9</v>
      </c>
      <c r="G409">
        <v>159600</v>
      </c>
      <c r="H409">
        <v>55920</v>
      </c>
      <c r="I409">
        <v>61050</v>
      </c>
      <c r="J409">
        <v>50670</v>
      </c>
      <c r="K409">
        <v>650</v>
      </c>
      <c r="L409">
        <v>650</v>
      </c>
      <c r="M409">
        <v>450.1</v>
      </c>
      <c r="N409">
        <v>787.6</v>
      </c>
      <c r="O409">
        <v>559.54999999999995</v>
      </c>
      <c r="P409" s="9">
        <v>46148.455370370371</v>
      </c>
    </row>
    <row r="410" spans="1:16" x14ac:dyDescent="0.25">
      <c r="A410" t="s">
        <v>8</v>
      </c>
      <c r="B410" s="4">
        <v>46168</v>
      </c>
      <c r="C410" t="s">
        <v>219</v>
      </c>
      <c r="D410">
        <v>54300</v>
      </c>
      <c r="E410" t="s">
        <v>26</v>
      </c>
      <c r="F410">
        <v>1684.35</v>
      </c>
      <c r="G410">
        <v>53490</v>
      </c>
      <c r="H410">
        <v>49920</v>
      </c>
      <c r="I410">
        <v>50880</v>
      </c>
      <c r="J410">
        <v>17250</v>
      </c>
      <c r="K410">
        <v>1600</v>
      </c>
      <c r="L410">
        <v>1788.5</v>
      </c>
      <c r="M410">
        <v>1571.85</v>
      </c>
      <c r="N410">
        <v>1334.2</v>
      </c>
      <c r="O410">
        <v>1596.05</v>
      </c>
      <c r="P410" s="9">
        <v>46148.448009259257</v>
      </c>
    </row>
    <row r="411" spans="1:16" x14ac:dyDescent="0.25">
      <c r="A411" t="s">
        <v>8</v>
      </c>
      <c r="B411" s="4">
        <v>46168</v>
      </c>
      <c r="C411" t="s">
        <v>220</v>
      </c>
      <c r="D411">
        <v>54300</v>
      </c>
      <c r="E411" t="s">
        <v>27</v>
      </c>
      <c r="F411">
        <v>583.20000000000005</v>
      </c>
      <c r="G411">
        <v>121920</v>
      </c>
      <c r="H411">
        <v>47010</v>
      </c>
      <c r="I411">
        <v>47250</v>
      </c>
      <c r="J411">
        <v>42300</v>
      </c>
      <c r="K411">
        <v>501.2</v>
      </c>
      <c r="L411">
        <v>614</v>
      </c>
      <c r="M411">
        <v>465.65</v>
      </c>
      <c r="N411">
        <v>825.2</v>
      </c>
      <c r="O411">
        <v>590.95000000000005</v>
      </c>
      <c r="P411" s="9">
        <v>46148.455150462964</v>
      </c>
    </row>
    <row r="412" spans="1:16" x14ac:dyDescent="0.25">
      <c r="A412" t="s">
        <v>8</v>
      </c>
      <c r="B412" s="4">
        <v>46168</v>
      </c>
      <c r="C412" t="s">
        <v>221</v>
      </c>
      <c r="D412">
        <v>54400</v>
      </c>
      <c r="E412" t="s">
        <v>26</v>
      </c>
      <c r="F412">
        <v>1552.5</v>
      </c>
      <c r="G412">
        <v>17520</v>
      </c>
      <c r="H412">
        <v>29760</v>
      </c>
      <c r="I412">
        <v>34710</v>
      </c>
      <c r="J412">
        <v>29610</v>
      </c>
      <c r="K412">
        <v>1450</v>
      </c>
      <c r="L412">
        <v>1714.75</v>
      </c>
      <c r="M412">
        <v>1450</v>
      </c>
      <c r="N412">
        <v>1278.2</v>
      </c>
      <c r="O412">
        <v>1524.35</v>
      </c>
      <c r="P412" s="9">
        <v>46148.453449074077</v>
      </c>
    </row>
    <row r="413" spans="1:16" x14ac:dyDescent="0.25">
      <c r="A413" t="s">
        <v>8</v>
      </c>
      <c r="B413" s="4">
        <v>46168</v>
      </c>
      <c r="C413" t="s">
        <v>222</v>
      </c>
      <c r="D413">
        <v>54400</v>
      </c>
      <c r="E413" t="s">
        <v>27</v>
      </c>
      <c r="F413">
        <v>616.79999999999995</v>
      </c>
      <c r="G413">
        <v>107790</v>
      </c>
      <c r="H413">
        <v>53310</v>
      </c>
      <c r="I413">
        <v>55020</v>
      </c>
      <c r="J413">
        <v>52020</v>
      </c>
      <c r="K413">
        <v>521.20000000000005</v>
      </c>
      <c r="L413">
        <v>647</v>
      </c>
      <c r="M413">
        <v>490.75</v>
      </c>
      <c r="N413">
        <v>864.85</v>
      </c>
      <c r="O413">
        <v>619.6</v>
      </c>
      <c r="P413" s="9">
        <v>46148.455312500002</v>
      </c>
    </row>
    <row r="414" spans="1:16" x14ac:dyDescent="0.25">
      <c r="A414" t="s">
        <v>8</v>
      </c>
      <c r="B414" s="4">
        <v>46168</v>
      </c>
      <c r="C414" t="s">
        <v>223</v>
      </c>
      <c r="D414">
        <v>54500</v>
      </c>
      <c r="E414" t="s">
        <v>26</v>
      </c>
      <c r="F414">
        <v>1477.1</v>
      </c>
      <c r="G414">
        <v>167820</v>
      </c>
      <c r="H414">
        <v>153030</v>
      </c>
      <c r="I414">
        <v>167370</v>
      </c>
      <c r="J414">
        <v>149760</v>
      </c>
      <c r="K414">
        <v>1398</v>
      </c>
      <c r="L414">
        <v>1632.95</v>
      </c>
      <c r="M414">
        <v>1335.65</v>
      </c>
      <c r="N414">
        <v>1218.3</v>
      </c>
      <c r="O414">
        <v>1465.25</v>
      </c>
      <c r="P414" s="9">
        <v>46148.455104166664</v>
      </c>
    </row>
    <row r="415" spans="1:16" x14ac:dyDescent="0.25">
      <c r="A415" t="s">
        <v>8</v>
      </c>
      <c r="B415" s="4">
        <v>46168</v>
      </c>
      <c r="C415" t="s">
        <v>224</v>
      </c>
      <c r="D415">
        <v>54500</v>
      </c>
      <c r="E415" t="s">
        <v>27</v>
      </c>
      <c r="F415">
        <v>651.79999999999995</v>
      </c>
      <c r="G415">
        <v>486180</v>
      </c>
      <c r="H415">
        <v>281130</v>
      </c>
      <c r="I415">
        <v>282150</v>
      </c>
      <c r="J415">
        <v>268710</v>
      </c>
      <c r="K415">
        <v>700.05</v>
      </c>
      <c r="L415">
        <v>700.05</v>
      </c>
      <c r="M415">
        <v>526.65</v>
      </c>
      <c r="N415">
        <v>903.9</v>
      </c>
      <c r="O415">
        <v>651.79999999999995</v>
      </c>
      <c r="P415" s="9">
        <v>46148.455254629633</v>
      </c>
    </row>
    <row r="416" spans="1:16" x14ac:dyDescent="0.25">
      <c r="A416" t="s">
        <v>8</v>
      </c>
      <c r="B416" s="4">
        <v>46168</v>
      </c>
      <c r="C416" t="s">
        <v>225</v>
      </c>
      <c r="D416">
        <v>54600</v>
      </c>
      <c r="E416" t="s">
        <v>26</v>
      </c>
      <c r="F416">
        <v>1409.2</v>
      </c>
      <c r="G416">
        <v>68820</v>
      </c>
      <c r="H416">
        <v>50940</v>
      </c>
      <c r="I416">
        <v>65940</v>
      </c>
      <c r="J416">
        <v>50190</v>
      </c>
      <c r="K416">
        <v>1333</v>
      </c>
      <c r="L416">
        <v>1562.65</v>
      </c>
      <c r="M416">
        <v>1333</v>
      </c>
      <c r="N416">
        <v>1163.25</v>
      </c>
      <c r="O416">
        <v>1393.75</v>
      </c>
      <c r="P416" s="9">
        <v>46148.45516203704</v>
      </c>
    </row>
    <row r="417" spans="1:16" x14ac:dyDescent="0.25">
      <c r="A417" t="s">
        <v>8</v>
      </c>
      <c r="B417" s="4">
        <v>46168</v>
      </c>
      <c r="C417" t="s">
        <v>226</v>
      </c>
      <c r="D417">
        <v>54600</v>
      </c>
      <c r="E417" t="s">
        <v>27</v>
      </c>
      <c r="F417">
        <v>675.9</v>
      </c>
      <c r="G417">
        <v>153840</v>
      </c>
      <c r="H417">
        <v>61560</v>
      </c>
      <c r="I417">
        <v>67950</v>
      </c>
      <c r="J417">
        <v>60810</v>
      </c>
      <c r="K417">
        <v>789.95</v>
      </c>
      <c r="L417">
        <v>789.95</v>
      </c>
      <c r="M417">
        <v>551.15</v>
      </c>
      <c r="N417">
        <v>947.65</v>
      </c>
      <c r="O417">
        <v>685.15</v>
      </c>
      <c r="P417" s="9">
        <v>46148.455081018517</v>
      </c>
    </row>
    <row r="418" spans="1:16" x14ac:dyDescent="0.25">
      <c r="A418" t="s">
        <v>8</v>
      </c>
      <c r="B418" s="4">
        <v>46168</v>
      </c>
      <c r="C418" t="s">
        <v>227</v>
      </c>
      <c r="D418">
        <v>54700</v>
      </c>
      <c r="E418" t="s">
        <v>26</v>
      </c>
      <c r="F418">
        <v>1330.5</v>
      </c>
      <c r="G418">
        <v>103470</v>
      </c>
      <c r="H418">
        <v>71370</v>
      </c>
      <c r="I418">
        <v>87150</v>
      </c>
      <c r="J418">
        <v>67260</v>
      </c>
      <c r="K418">
        <v>1350</v>
      </c>
      <c r="L418">
        <v>1493.65</v>
      </c>
      <c r="M418">
        <v>1304.55</v>
      </c>
      <c r="N418">
        <v>1109.05</v>
      </c>
      <c r="O418">
        <v>1333.75</v>
      </c>
      <c r="P418" s="9">
        <v>46148.455011574071</v>
      </c>
    </row>
    <row r="419" spans="1:16" x14ac:dyDescent="0.25">
      <c r="A419" t="s">
        <v>8</v>
      </c>
      <c r="B419" s="4">
        <v>46168</v>
      </c>
      <c r="C419" t="s">
        <v>228</v>
      </c>
      <c r="D419">
        <v>54700</v>
      </c>
      <c r="E419" t="s">
        <v>27</v>
      </c>
      <c r="F419">
        <v>720.65</v>
      </c>
      <c r="G419">
        <v>198990</v>
      </c>
      <c r="H419">
        <v>73500</v>
      </c>
      <c r="I419">
        <v>75840</v>
      </c>
      <c r="J419">
        <v>64140</v>
      </c>
      <c r="K419">
        <v>631.20000000000005</v>
      </c>
      <c r="L419">
        <v>750.3</v>
      </c>
      <c r="M419">
        <v>582.75</v>
      </c>
      <c r="N419">
        <v>990.25</v>
      </c>
      <c r="O419">
        <v>719.9</v>
      </c>
      <c r="P419" s="9">
        <v>46148.455300925925</v>
      </c>
    </row>
    <row r="420" spans="1:16" x14ac:dyDescent="0.25">
      <c r="A420" t="s">
        <v>8</v>
      </c>
      <c r="B420" s="4">
        <v>46168</v>
      </c>
      <c r="C420" t="s">
        <v>229</v>
      </c>
      <c r="D420">
        <v>54800</v>
      </c>
      <c r="E420" t="s">
        <v>26</v>
      </c>
      <c r="F420">
        <v>1278</v>
      </c>
      <c r="G420">
        <v>118710</v>
      </c>
      <c r="H420">
        <v>80820</v>
      </c>
      <c r="I420">
        <v>102720</v>
      </c>
      <c r="J420">
        <v>78120</v>
      </c>
      <c r="K420">
        <v>1222</v>
      </c>
      <c r="L420">
        <v>1437.1</v>
      </c>
      <c r="M420">
        <v>1150.05</v>
      </c>
      <c r="N420">
        <v>1053.45</v>
      </c>
      <c r="O420">
        <v>1270.3499999999999</v>
      </c>
      <c r="P420" s="9">
        <v>46148.455231481479</v>
      </c>
    </row>
    <row r="421" spans="1:16" x14ac:dyDescent="0.25">
      <c r="A421" t="s">
        <v>8</v>
      </c>
      <c r="B421" s="4">
        <v>46168</v>
      </c>
      <c r="C421" t="s">
        <v>230</v>
      </c>
      <c r="D421">
        <v>54800</v>
      </c>
      <c r="E421" t="s">
        <v>27</v>
      </c>
      <c r="F421">
        <v>759.1</v>
      </c>
      <c r="G421">
        <v>184140</v>
      </c>
      <c r="H421">
        <v>67710</v>
      </c>
      <c r="I421">
        <v>67710</v>
      </c>
      <c r="J421">
        <v>63360</v>
      </c>
      <c r="K421">
        <v>841</v>
      </c>
      <c r="L421">
        <v>841</v>
      </c>
      <c r="M421">
        <v>610.15</v>
      </c>
      <c r="N421">
        <v>1036.8</v>
      </c>
      <c r="O421">
        <v>759.05</v>
      </c>
      <c r="P421" s="9">
        <v>46148.455335648148</v>
      </c>
    </row>
    <row r="422" spans="1:16" x14ac:dyDescent="0.25">
      <c r="A422" t="s">
        <v>8</v>
      </c>
      <c r="B422" s="4">
        <v>46168</v>
      </c>
      <c r="C422" t="s">
        <v>231</v>
      </c>
      <c r="D422">
        <v>54900</v>
      </c>
      <c r="E422" t="s">
        <v>26</v>
      </c>
      <c r="F422">
        <v>1212</v>
      </c>
      <c r="G422">
        <v>118530</v>
      </c>
      <c r="H422">
        <v>60510</v>
      </c>
      <c r="I422">
        <v>66570</v>
      </c>
      <c r="J422">
        <v>55920</v>
      </c>
      <c r="K422">
        <v>1200</v>
      </c>
      <c r="L422">
        <v>1360</v>
      </c>
      <c r="M422">
        <v>1186.0999999999999</v>
      </c>
      <c r="N422">
        <v>1000.4</v>
      </c>
      <c r="O422">
        <v>1210.2</v>
      </c>
      <c r="P422" s="9">
        <v>46148.455335648148</v>
      </c>
    </row>
    <row r="423" spans="1:16" x14ac:dyDescent="0.25">
      <c r="A423" t="s">
        <v>8</v>
      </c>
      <c r="B423" s="4">
        <v>46168</v>
      </c>
      <c r="C423" t="s">
        <v>232</v>
      </c>
      <c r="D423">
        <v>54900</v>
      </c>
      <c r="E423" t="s">
        <v>27</v>
      </c>
      <c r="F423">
        <v>799.95</v>
      </c>
      <c r="G423">
        <v>187410</v>
      </c>
      <c r="H423">
        <v>55800</v>
      </c>
      <c r="I423">
        <v>58620</v>
      </c>
      <c r="J423">
        <v>54900</v>
      </c>
      <c r="K423">
        <v>855</v>
      </c>
      <c r="L423">
        <v>855</v>
      </c>
      <c r="M423">
        <v>659</v>
      </c>
      <c r="N423">
        <v>1079.7</v>
      </c>
      <c r="O423">
        <v>795.6</v>
      </c>
      <c r="P423" s="9">
        <v>46148.455358796295</v>
      </c>
    </row>
    <row r="424" spans="1:16" x14ac:dyDescent="0.25">
      <c r="A424" t="s">
        <v>8</v>
      </c>
      <c r="B424" s="4">
        <v>46168</v>
      </c>
      <c r="C424" t="s">
        <v>233</v>
      </c>
      <c r="D424">
        <v>55000</v>
      </c>
      <c r="E424" t="s">
        <v>26</v>
      </c>
      <c r="F424">
        <v>1152.5999999999999</v>
      </c>
      <c r="G424">
        <v>1020300</v>
      </c>
      <c r="H424">
        <v>558630</v>
      </c>
      <c r="I424">
        <v>566010</v>
      </c>
      <c r="J424">
        <v>535350</v>
      </c>
      <c r="K424">
        <v>1150</v>
      </c>
      <c r="L424">
        <v>1298.45</v>
      </c>
      <c r="M424">
        <v>1125</v>
      </c>
      <c r="N424">
        <v>948.45</v>
      </c>
      <c r="O424">
        <v>1150.05</v>
      </c>
      <c r="P424" s="9">
        <v>46148.455347222225</v>
      </c>
    </row>
    <row r="425" spans="1:16" x14ac:dyDescent="0.25">
      <c r="A425" t="s">
        <v>8</v>
      </c>
      <c r="B425" s="4">
        <v>46168</v>
      </c>
      <c r="C425" t="s">
        <v>234</v>
      </c>
      <c r="D425">
        <v>55000</v>
      </c>
      <c r="E425" t="s">
        <v>27</v>
      </c>
      <c r="F425">
        <v>840</v>
      </c>
      <c r="G425">
        <v>1196250</v>
      </c>
      <c r="H425">
        <v>678600</v>
      </c>
      <c r="I425">
        <v>686640</v>
      </c>
      <c r="J425">
        <v>598080</v>
      </c>
      <c r="K425">
        <v>1099.1500000000001</v>
      </c>
      <c r="L425">
        <v>1099.1500000000001</v>
      </c>
      <c r="M425">
        <v>690.6</v>
      </c>
      <c r="N425">
        <v>1135.25</v>
      </c>
      <c r="O425">
        <v>837</v>
      </c>
      <c r="P425" s="9">
        <v>46148.455358796295</v>
      </c>
    </row>
    <row r="426" spans="1:16" x14ac:dyDescent="0.25">
      <c r="A426" t="s">
        <v>8</v>
      </c>
      <c r="B426" s="4">
        <v>46168</v>
      </c>
      <c r="C426" t="s">
        <v>235</v>
      </c>
      <c r="D426">
        <v>55100</v>
      </c>
      <c r="E426" t="s">
        <v>26</v>
      </c>
      <c r="F426">
        <v>1095.3</v>
      </c>
      <c r="G426">
        <v>414390</v>
      </c>
      <c r="H426">
        <v>92460</v>
      </c>
      <c r="I426">
        <v>97560</v>
      </c>
      <c r="J426">
        <v>56100</v>
      </c>
      <c r="K426">
        <v>1157.2</v>
      </c>
      <c r="L426">
        <v>1236.2</v>
      </c>
      <c r="M426">
        <v>1069.05</v>
      </c>
      <c r="N426">
        <v>897.7</v>
      </c>
      <c r="O426">
        <v>1094.25</v>
      </c>
      <c r="P426" s="9">
        <v>46148.455347222225</v>
      </c>
    </row>
    <row r="427" spans="1:16" x14ac:dyDescent="0.25">
      <c r="A427" t="s">
        <v>8</v>
      </c>
      <c r="B427" s="4">
        <v>46168</v>
      </c>
      <c r="C427" t="s">
        <v>236</v>
      </c>
      <c r="D427">
        <v>55100</v>
      </c>
      <c r="E427" t="s">
        <v>27</v>
      </c>
      <c r="F427">
        <v>879</v>
      </c>
      <c r="G427">
        <v>510180</v>
      </c>
      <c r="H427">
        <v>78000</v>
      </c>
      <c r="I427">
        <v>83790</v>
      </c>
      <c r="J427">
        <v>37560</v>
      </c>
      <c r="K427">
        <v>900.05</v>
      </c>
      <c r="L427">
        <v>910.4</v>
      </c>
      <c r="M427">
        <v>719.45</v>
      </c>
      <c r="N427">
        <v>1179.3499999999999</v>
      </c>
      <c r="O427">
        <v>877.5</v>
      </c>
      <c r="P427" s="9">
        <v>46148.455347222225</v>
      </c>
    </row>
    <row r="428" spans="1:16" x14ac:dyDescent="0.25">
      <c r="A428" t="s">
        <v>8</v>
      </c>
      <c r="B428" s="4">
        <v>46168</v>
      </c>
      <c r="C428" t="s">
        <v>237</v>
      </c>
      <c r="D428">
        <v>55200</v>
      </c>
      <c r="E428" t="s">
        <v>26</v>
      </c>
      <c r="F428">
        <v>1040.3</v>
      </c>
      <c r="G428">
        <v>593040</v>
      </c>
      <c r="H428">
        <v>150180</v>
      </c>
      <c r="I428">
        <v>161460</v>
      </c>
      <c r="J428">
        <v>69390</v>
      </c>
      <c r="K428">
        <v>1051.95</v>
      </c>
      <c r="L428">
        <v>1187</v>
      </c>
      <c r="M428">
        <v>1012.45</v>
      </c>
      <c r="N428">
        <v>849.75</v>
      </c>
      <c r="O428">
        <v>1037.1500000000001</v>
      </c>
      <c r="P428" s="9">
        <v>46148.455335648148</v>
      </c>
    </row>
    <row r="429" spans="1:16" x14ac:dyDescent="0.25">
      <c r="A429" t="s">
        <v>8</v>
      </c>
      <c r="B429" s="4">
        <v>46168</v>
      </c>
      <c r="C429" t="s">
        <v>238</v>
      </c>
      <c r="D429">
        <v>55200</v>
      </c>
      <c r="E429" t="s">
        <v>27</v>
      </c>
      <c r="F429">
        <v>918.55</v>
      </c>
      <c r="G429">
        <v>731400</v>
      </c>
      <c r="H429">
        <v>126720</v>
      </c>
      <c r="I429">
        <v>140700</v>
      </c>
      <c r="J429">
        <v>58110</v>
      </c>
      <c r="K429">
        <v>1189.5</v>
      </c>
      <c r="L429">
        <v>1189.5</v>
      </c>
      <c r="M429">
        <v>770</v>
      </c>
      <c r="N429">
        <v>1231.7</v>
      </c>
      <c r="O429">
        <v>921.05</v>
      </c>
      <c r="P429" s="9">
        <v>46148.45521990741</v>
      </c>
    </row>
    <row r="430" spans="1:16" x14ac:dyDescent="0.25">
      <c r="A430" t="s">
        <v>8</v>
      </c>
      <c r="B430" s="4">
        <v>46168</v>
      </c>
      <c r="C430" t="s">
        <v>239</v>
      </c>
      <c r="D430">
        <v>55300</v>
      </c>
      <c r="E430" t="s">
        <v>26</v>
      </c>
      <c r="F430">
        <v>983.9</v>
      </c>
      <c r="G430">
        <v>427680</v>
      </c>
      <c r="H430">
        <v>99270</v>
      </c>
      <c r="I430">
        <v>104580</v>
      </c>
      <c r="J430">
        <v>63960</v>
      </c>
      <c r="K430">
        <v>1050</v>
      </c>
      <c r="L430">
        <v>1117.95</v>
      </c>
      <c r="M430">
        <v>961</v>
      </c>
      <c r="N430">
        <v>808.6</v>
      </c>
      <c r="O430">
        <v>983.95</v>
      </c>
      <c r="P430" s="9">
        <v>46148.455370370371</v>
      </c>
    </row>
    <row r="431" spans="1:16" x14ac:dyDescent="0.25">
      <c r="A431" t="s">
        <v>8</v>
      </c>
      <c r="B431" s="4">
        <v>46168</v>
      </c>
      <c r="C431" t="s">
        <v>240</v>
      </c>
      <c r="D431">
        <v>55300</v>
      </c>
      <c r="E431" t="s">
        <v>27</v>
      </c>
      <c r="F431">
        <v>967.75</v>
      </c>
      <c r="G431">
        <v>451830</v>
      </c>
      <c r="H431">
        <v>76890</v>
      </c>
      <c r="I431">
        <v>86160</v>
      </c>
      <c r="J431">
        <v>46710</v>
      </c>
      <c r="K431">
        <v>950.05</v>
      </c>
      <c r="L431">
        <v>1000</v>
      </c>
      <c r="M431">
        <v>805.55</v>
      </c>
      <c r="N431">
        <v>1286</v>
      </c>
      <c r="O431">
        <v>966.05</v>
      </c>
      <c r="P431" s="9">
        <v>46148.455370370371</v>
      </c>
    </row>
    <row r="432" spans="1:16" x14ac:dyDescent="0.25">
      <c r="A432" t="s">
        <v>8</v>
      </c>
      <c r="B432" s="4">
        <v>46168</v>
      </c>
      <c r="C432" t="s">
        <v>241</v>
      </c>
      <c r="D432">
        <v>55400</v>
      </c>
      <c r="E432" t="s">
        <v>26</v>
      </c>
      <c r="F432">
        <v>928.2</v>
      </c>
      <c r="G432">
        <v>324120</v>
      </c>
      <c r="H432">
        <v>104850</v>
      </c>
      <c r="I432">
        <v>116490</v>
      </c>
      <c r="J432">
        <v>91140</v>
      </c>
      <c r="K432">
        <v>840.6</v>
      </c>
      <c r="L432">
        <v>1059.1500000000001</v>
      </c>
      <c r="M432">
        <v>840.6</v>
      </c>
      <c r="N432">
        <v>764.7</v>
      </c>
      <c r="O432">
        <v>929.2</v>
      </c>
      <c r="P432" s="9">
        <v>46148.455347222225</v>
      </c>
    </row>
    <row r="433" spans="1:16" x14ac:dyDescent="0.25">
      <c r="A433" t="s">
        <v>8</v>
      </c>
      <c r="B433" s="4">
        <v>46168</v>
      </c>
      <c r="C433" t="s">
        <v>242</v>
      </c>
      <c r="D433">
        <v>55400</v>
      </c>
      <c r="E433" t="s">
        <v>27</v>
      </c>
      <c r="F433">
        <v>1004.55</v>
      </c>
      <c r="G433">
        <v>239100</v>
      </c>
      <c r="H433">
        <v>66510</v>
      </c>
      <c r="I433">
        <v>69600</v>
      </c>
      <c r="J433">
        <v>39990</v>
      </c>
      <c r="K433">
        <v>1189.45</v>
      </c>
      <c r="L433">
        <v>1189.45</v>
      </c>
      <c r="M433">
        <v>861.15</v>
      </c>
      <c r="N433">
        <v>1339.05</v>
      </c>
      <c r="O433">
        <v>1010.7</v>
      </c>
      <c r="P433" s="9">
        <v>46148.455243055556</v>
      </c>
    </row>
    <row r="434" spans="1:16" x14ac:dyDescent="0.25">
      <c r="A434" t="s">
        <v>8</v>
      </c>
      <c r="B434" s="4">
        <v>46168</v>
      </c>
      <c r="C434" t="s">
        <v>243</v>
      </c>
      <c r="D434">
        <v>55500</v>
      </c>
      <c r="E434" t="s">
        <v>26</v>
      </c>
      <c r="F434">
        <v>882.15</v>
      </c>
      <c r="G434">
        <v>776310</v>
      </c>
      <c r="H434">
        <v>360360</v>
      </c>
      <c r="I434">
        <v>364590</v>
      </c>
      <c r="J434">
        <v>332040</v>
      </c>
      <c r="K434">
        <v>850</v>
      </c>
      <c r="L434">
        <v>1004.35</v>
      </c>
      <c r="M434">
        <v>850</v>
      </c>
      <c r="N434">
        <v>719.3</v>
      </c>
      <c r="O434">
        <v>881.05</v>
      </c>
      <c r="P434" s="9">
        <v>46148.455324074072</v>
      </c>
    </row>
    <row r="435" spans="1:16" x14ac:dyDescent="0.25">
      <c r="A435" t="s">
        <v>8</v>
      </c>
      <c r="B435" s="4">
        <v>46168</v>
      </c>
      <c r="C435" t="s">
        <v>244</v>
      </c>
      <c r="D435">
        <v>55500</v>
      </c>
      <c r="E435" t="s">
        <v>27</v>
      </c>
      <c r="F435">
        <v>1059.25</v>
      </c>
      <c r="G435">
        <v>523950</v>
      </c>
      <c r="H435">
        <v>296580</v>
      </c>
      <c r="I435">
        <v>312840</v>
      </c>
      <c r="J435">
        <v>265590</v>
      </c>
      <c r="K435">
        <v>1178.5</v>
      </c>
      <c r="L435">
        <v>1178.5</v>
      </c>
      <c r="M435">
        <v>902.7</v>
      </c>
      <c r="N435">
        <v>1390.95</v>
      </c>
      <c r="O435">
        <v>1058.5999999999999</v>
      </c>
      <c r="P435" s="9">
        <v>46148.455370370371</v>
      </c>
    </row>
    <row r="436" spans="1:16" x14ac:dyDescent="0.25">
      <c r="A436" t="s">
        <v>8</v>
      </c>
      <c r="B436" s="4">
        <v>46168</v>
      </c>
      <c r="C436" t="s">
        <v>245</v>
      </c>
      <c r="D436">
        <v>55600</v>
      </c>
      <c r="E436" t="s">
        <v>26</v>
      </c>
      <c r="F436">
        <v>831.25</v>
      </c>
      <c r="G436">
        <v>152940</v>
      </c>
      <c r="H436">
        <v>89070</v>
      </c>
      <c r="I436">
        <v>89610</v>
      </c>
      <c r="J436">
        <v>85710</v>
      </c>
      <c r="K436">
        <v>830.05</v>
      </c>
      <c r="L436">
        <v>949.7</v>
      </c>
      <c r="M436">
        <v>808.8</v>
      </c>
      <c r="N436">
        <v>679.8</v>
      </c>
      <c r="O436">
        <v>830.05</v>
      </c>
      <c r="P436" s="9">
        <v>46148.455324074072</v>
      </c>
    </row>
    <row r="437" spans="1:16" x14ac:dyDescent="0.25">
      <c r="A437" t="s">
        <v>8</v>
      </c>
      <c r="B437" s="4">
        <v>46168</v>
      </c>
      <c r="C437" t="s">
        <v>246</v>
      </c>
      <c r="D437">
        <v>55600</v>
      </c>
      <c r="E437" t="s">
        <v>27</v>
      </c>
      <c r="F437">
        <v>1100.7</v>
      </c>
      <c r="G437">
        <v>81780</v>
      </c>
      <c r="H437">
        <v>47610</v>
      </c>
      <c r="I437">
        <v>47940</v>
      </c>
      <c r="J437">
        <v>41130</v>
      </c>
      <c r="K437">
        <v>1017.7</v>
      </c>
      <c r="L437">
        <v>1137.9000000000001</v>
      </c>
      <c r="M437">
        <v>963.9</v>
      </c>
      <c r="N437">
        <v>1460.35</v>
      </c>
      <c r="O437">
        <v>1110.4000000000001</v>
      </c>
      <c r="P437" s="9">
        <v>46148.455092592594</v>
      </c>
    </row>
    <row r="438" spans="1:16" x14ac:dyDescent="0.25">
      <c r="A438" t="s">
        <v>8</v>
      </c>
      <c r="B438" s="4">
        <v>46168</v>
      </c>
      <c r="C438" t="s">
        <v>247</v>
      </c>
      <c r="D438">
        <v>55700</v>
      </c>
      <c r="E438" t="s">
        <v>26</v>
      </c>
      <c r="F438">
        <v>785.85</v>
      </c>
      <c r="G438">
        <v>122100</v>
      </c>
      <c r="H438">
        <v>65880</v>
      </c>
      <c r="I438">
        <v>67770</v>
      </c>
      <c r="J438">
        <v>62880</v>
      </c>
      <c r="K438">
        <v>780</v>
      </c>
      <c r="L438">
        <v>896</v>
      </c>
      <c r="M438">
        <v>764.75</v>
      </c>
      <c r="N438">
        <v>642.79999999999995</v>
      </c>
      <c r="O438">
        <v>783.65</v>
      </c>
      <c r="P438" s="9">
        <v>46148.455277777779</v>
      </c>
    </row>
    <row r="439" spans="1:16" x14ac:dyDescent="0.25">
      <c r="A439" t="s">
        <v>8</v>
      </c>
      <c r="B439" s="4">
        <v>46168</v>
      </c>
      <c r="C439" t="s">
        <v>248</v>
      </c>
      <c r="D439">
        <v>55700</v>
      </c>
      <c r="E439" t="s">
        <v>27</v>
      </c>
      <c r="F439">
        <v>1148.25</v>
      </c>
      <c r="G439">
        <v>42210</v>
      </c>
      <c r="H439">
        <v>49140</v>
      </c>
      <c r="I439">
        <v>49590</v>
      </c>
      <c r="J439">
        <v>45780</v>
      </c>
      <c r="K439">
        <v>1082.8</v>
      </c>
      <c r="L439">
        <v>1194</v>
      </c>
      <c r="M439">
        <v>1006.55</v>
      </c>
      <c r="N439">
        <v>1518.95</v>
      </c>
      <c r="O439">
        <v>1160.0999999999999</v>
      </c>
      <c r="P439" s="9">
        <v>46148.455092592594</v>
      </c>
    </row>
    <row r="440" spans="1:16" x14ac:dyDescent="0.25">
      <c r="A440" t="s">
        <v>8</v>
      </c>
      <c r="B440" s="4">
        <v>46168</v>
      </c>
      <c r="C440" t="s">
        <v>249</v>
      </c>
      <c r="D440">
        <v>55800</v>
      </c>
      <c r="E440" t="s">
        <v>26</v>
      </c>
      <c r="F440">
        <v>745.75</v>
      </c>
      <c r="G440">
        <v>149820</v>
      </c>
      <c r="H440">
        <v>100650</v>
      </c>
      <c r="I440">
        <v>102630</v>
      </c>
      <c r="J440">
        <v>93600</v>
      </c>
      <c r="K440">
        <v>768</v>
      </c>
      <c r="L440">
        <v>846.9</v>
      </c>
      <c r="M440">
        <v>718.85</v>
      </c>
      <c r="N440">
        <v>603.45000000000005</v>
      </c>
      <c r="O440">
        <v>738.15</v>
      </c>
      <c r="P440" s="9">
        <v>46148.455196759256</v>
      </c>
    </row>
    <row r="441" spans="1:16" x14ac:dyDescent="0.25">
      <c r="A441" t="s">
        <v>8</v>
      </c>
      <c r="B441" s="4">
        <v>46168</v>
      </c>
      <c r="C441" t="s">
        <v>250</v>
      </c>
      <c r="D441">
        <v>55800</v>
      </c>
      <c r="E441" t="s">
        <v>27</v>
      </c>
      <c r="F441">
        <v>1206.7</v>
      </c>
      <c r="G441">
        <v>47250</v>
      </c>
      <c r="H441">
        <v>62460</v>
      </c>
      <c r="I441">
        <v>72840</v>
      </c>
      <c r="J441">
        <v>61860</v>
      </c>
      <c r="K441">
        <v>1079.2</v>
      </c>
      <c r="L441">
        <v>1242.8499999999999</v>
      </c>
      <c r="M441">
        <v>1038.05</v>
      </c>
      <c r="N441">
        <v>1573.85</v>
      </c>
      <c r="O441">
        <v>1212.3</v>
      </c>
      <c r="P441" s="9">
        <v>46148.45516203704</v>
      </c>
    </row>
    <row r="442" spans="1:16" x14ac:dyDescent="0.25">
      <c r="A442" t="s">
        <v>8</v>
      </c>
      <c r="B442" s="4">
        <v>46168</v>
      </c>
      <c r="C442" t="s">
        <v>251</v>
      </c>
      <c r="D442">
        <v>55900</v>
      </c>
      <c r="E442" t="s">
        <v>26</v>
      </c>
      <c r="F442">
        <v>695.85</v>
      </c>
      <c r="G442">
        <v>79410</v>
      </c>
      <c r="H442">
        <v>69030</v>
      </c>
      <c r="I442">
        <v>69360</v>
      </c>
      <c r="J442">
        <v>64710</v>
      </c>
      <c r="K442">
        <v>721.95</v>
      </c>
      <c r="L442">
        <v>801.45</v>
      </c>
      <c r="M442">
        <v>675.75</v>
      </c>
      <c r="N442">
        <v>568.70000000000005</v>
      </c>
      <c r="O442">
        <v>695.05</v>
      </c>
      <c r="P442" s="9">
        <v>46148.455023148148</v>
      </c>
    </row>
    <row r="443" spans="1:16" x14ac:dyDescent="0.25">
      <c r="A443" t="s">
        <v>8</v>
      </c>
      <c r="B443" s="4">
        <v>46168</v>
      </c>
      <c r="C443" t="s">
        <v>252</v>
      </c>
      <c r="D443">
        <v>55900</v>
      </c>
      <c r="E443" t="s">
        <v>27</v>
      </c>
      <c r="F443">
        <v>1274.5</v>
      </c>
      <c r="G443">
        <v>9000</v>
      </c>
      <c r="H443">
        <v>37350</v>
      </c>
      <c r="I443">
        <v>37470</v>
      </c>
      <c r="J443">
        <v>36510</v>
      </c>
      <c r="K443">
        <v>1112.2</v>
      </c>
      <c r="L443">
        <v>1286.5</v>
      </c>
      <c r="M443">
        <v>1112.2</v>
      </c>
      <c r="N443">
        <v>1645.4</v>
      </c>
      <c r="O443">
        <v>1267.3499999999999</v>
      </c>
      <c r="P443" s="9">
        <v>46148.454953703702</v>
      </c>
    </row>
    <row r="444" spans="1:16" x14ac:dyDescent="0.25">
      <c r="A444" t="s">
        <v>8</v>
      </c>
      <c r="B444" s="4">
        <v>46168</v>
      </c>
      <c r="C444" t="s">
        <v>253</v>
      </c>
      <c r="D444">
        <v>56000</v>
      </c>
      <c r="E444" t="s">
        <v>26</v>
      </c>
      <c r="F444">
        <v>653.04999999999995</v>
      </c>
      <c r="G444">
        <v>865560</v>
      </c>
      <c r="H444">
        <v>1004430</v>
      </c>
      <c r="I444">
        <v>1018200</v>
      </c>
      <c r="J444">
        <v>966840</v>
      </c>
      <c r="K444">
        <v>625.79999999999995</v>
      </c>
      <c r="L444">
        <v>750</v>
      </c>
      <c r="M444">
        <v>625.79999999999995</v>
      </c>
      <c r="N444">
        <v>532.15</v>
      </c>
      <c r="O444">
        <v>652</v>
      </c>
      <c r="P444" s="9">
        <v>46148.455358796295</v>
      </c>
    </row>
    <row r="445" spans="1:16" x14ac:dyDescent="0.25">
      <c r="A445" t="s">
        <v>8</v>
      </c>
      <c r="B445" s="4">
        <v>46168</v>
      </c>
      <c r="C445" t="s">
        <v>254</v>
      </c>
      <c r="D445">
        <v>56000</v>
      </c>
      <c r="E445" t="s">
        <v>27</v>
      </c>
      <c r="F445">
        <v>1325</v>
      </c>
      <c r="G445">
        <v>187500</v>
      </c>
      <c r="H445">
        <v>778890</v>
      </c>
      <c r="I445">
        <v>779940</v>
      </c>
      <c r="J445">
        <v>770040</v>
      </c>
      <c r="K445">
        <v>1262.6500000000001</v>
      </c>
      <c r="L445">
        <v>1367.3</v>
      </c>
      <c r="M445">
        <v>1160</v>
      </c>
      <c r="N445">
        <v>1707.45</v>
      </c>
      <c r="O445">
        <v>1331.15</v>
      </c>
      <c r="P445" s="9">
        <v>46148.455312500002</v>
      </c>
    </row>
    <row r="446" spans="1:16" x14ac:dyDescent="0.25">
      <c r="A446" t="s">
        <v>8</v>
      </c>
      <c r="B446" s="4">
        <v>46168</v>
      </c>
      <c r="C446" t="s">
        <v>255</v>
      </c>
      <c r="D446">
        <v>56100</v>
      </c>
      <c r="E446" t="s">
        <v>26</v>
      </c>
      <c r="F446">
        <v>617.70000000000005</v>
      </c>
      <c r="G446">
        <v>86970</v>
      </c>
      <c r="H446">
        <v>82350</v>
      </c>
      <c r="I446">
        <v>82350</v>
      </c>
      <c r="J446">
        <v>76020</v>
      </c>
      <c r="K446">
        <v>601</v>
      </c>
      <c r="L446">
        <v>709.8</v>
      </c>
      <c r="M446">
        <v>599.6</v>
      </c>
      <c r="N446">
        <v>501.05</v>
      </c>
      <c r="O446">
        <v>612.65</v>
      </c>
      <c r="P446" s="9">
        <v>46148.455034722225</v>
      </c>
    </row>
    <row r="447" spans="1:16" x14ac:dyDescent="0.25">
      <c r="A447" t="s">
        <v>8</v>
      </c>
      <c r="B447" s="4">
        <v>46168</v>
      </c>
      <c r="C447" t="s">
        <v>256</v>
      </c>
      <c r="D447">
        <v>56100</v>
      </c>
      <c r="E447" t="s">
        <v>27</v>
      </c>
      <c r="F447">
        <v>1336.45</v>
      </c>
      <c r="G447">
        <v>2190</v>
      </c>
      <c r="H447">
        <v>35970</v>
      </c>
      <c r="I447">
        <v>36210</v>
      </c>
      <c r="J447">
        <v>35940</v>
      </c>
      <c r="K447">
        <v>1234.55</v>
      </c>
      <c r="L447">
        <v>1408</v>
      </c>
      <c r="M447">
        <v>1230.4000000000001</v>
      </c>
      <c r="N447">
        <v>1634.35</v>
      </c>
      <c r="O447">
        <v>1377.85</v>
      </c>
      <c r="P447" s="9">
        <v>46148.440081018518</v>
      </c>
    </row>
    <row r="448" spans="1:16" x14ac:dyDescent="0.25">
      <c r="A448" t="s">
        <v>8</v>
      </c>
      <c r="B448" s="4">
        <v>46168</v>
      </c>
      <c r="C448" t="s">
        <v>257</v>
      </c>
      <c r="D448">
        <v>56200</v>
      </c>
      <c r="E448" t="s">
        <v>26</v>
      </c>
      <c r="F448">
        <v>578.6</v>
      </c>
      <c r="G448">
        <v>65460</v>
      </c>
      <c r="H448">
        <v>75480</v>
      </c>
      <c r="I448">
        <v>76410</v>
      </c>
      <c r="J448">
        <v>73740</v>
      </c>
      <c r="K448">
        <v>580</v>
      </c>
      <c r="L448">
        <v>667.95</v>
      </c>
      <c r="M448">
        <v>556.5</v>
      </c>
      <c r="N448">
        <v>468.35</v>
      </c>
      <c r="O448">
        <v>572.85</v>
      </c>
      <c r="P448" s="9">
        <v>46148.455277777779</v>
      </c>
    </row>
    <row r="449" spans="1:16" x14ac:dyDescent="0.25">
      <c r="A449" t="s">
        <v>8</v>
      </c>
      <c r="B449" s="4">
        <v>46168</v>
      </c>
      <c r="C449" t="s">
        <v>258</v>
      </c>
      <c r="D449">
        <v>56200</v>
      </c>
      <c r="E449" t="s">
        <v>27</v>
      </c>
      <c r="F449">
        <v>1374</v>
      </c>
      <c r="G449">
        <v>2070</v>
      </c>
      <c r="H449">
        <v>51240</v>
      </c>
      <c r="I449">
        <v>51330</v>
      </c>
      <c r="J449">
        <v>51210</v>
      </c>
      <c r="K449">
        <v>1376</v>
      </c>
      <c r="L449">
        <v>1390</v>
      </c>
      <c r="M449">
        <v>1288.25</v>
      </c>
      <c r="N449">
        <v>1839.95</v>
      </c>
      <c r="O449">
        <v>1436.5</v>
      </c>
      <c r="P449" s="9">
        <v>46148.448333333334</v>
      </c>
    </row>
    <row r="450" spans="1:16" x14ac:dyDescent="0.25">
      <c r="A450" t="s">
        <v>8</v>
      </c>
      <c r="B450" s="4">
        <v>46168</v>
      </c>
      <c r="C450" t="s">
        <v>259</v>
      </c>
      <c r="D450">
        <v>56300</v>
      </c>
      <c r="E450" t="s">
        <v>26</v>
      </c>
      <c r="F450">
        <v>541.95000000000005</v>
      </c>
      <c r="G450">
        <v>64530</v>
      </c>
      <c r="H450">
        <v>77400</v>
      </c>
      <c r="I450">
        <v>77730</v>
      </c>
      <c r="J450">
        <v>71610</v>
      </c>
      <c r="K450">
        <v>500</v>
      </c>
      <c r="L450">
        <v>624.85</v>
      </c>
      <c r="M450">
        <v>500</v>
      </c>
      <c r="N450">
        <v>437.7</v>
      </c>
      <c r="O450">
        <v>538.1</v>
      </c>
      <c r="P450" s="9">
        <v>46148.455138888887</v>
      </c>
    </row>
    <row r="451" spans="1:16" x14ac:dyDescent="0.25">
      <c r="A451" t="s">
        <v>8</v>
      </c>
      <c r="B451" s="4">
        <v>46168</v>
      </c>
      <c r="C451" t="s">
        <v>260</v>
      </c>
      <c r="D451">
        <v>56300</v>
      </c>
      <c r="E451" t="s">
        <v>27</v>
      </c>
      <c r="F451">
        <v>1500</v>
      </c>
      <c r="G451">
        <v>6180</v>
      </c>
      <c r="H451">
        <v>52530</v>
      </c>
      <c r="I451">
        <v>54990</v>
      </c>
      <c r="J451">
        <v>52530</v>
      </c>
      <c r="K451">
        <v>1419.9</v>
      </c>
      <c r="L451">
        <v>1522</v>
      </c>
      <c r="M451">
        <v>1326.5</v>
      </c>
      <c r="N451">
        <v>1905.75</v>
      </c>
      <c r="O451">
        <v>1501.4</v>
      </c>
      <c r="P451" s="9">
        <v>46148.454583333332</v>
      </c>
    </row>
    <row r="452" spans="1:16" x14ac:dyDescent="0.25">
      <c r="A452" t="s">
        <v>8</v>
      </c>
      <c r="B452" s="4">
        <v>46168</v>
      </c>
      <c r="C452" t="s">
        <v>261</v>
      </c>
      <c r="D452">
        <v>56400</v>
      </c>
      <c r="E452" t="s">
        <v>26</v>
      </c>
      <c r="F452">
        <v>507.95</v>
      </c>
      <c r="G452">
        <v>61680</v>
      </c>
      <c r="H452">
        <v>59460</v>
      </c>
      <c r="I452">
        <v>59580</v>
      </c>
      <c r="J452">
        <v>55020</v>
      </c>
      <c r="K452">
        <v>600</v>
      </c>
      <c r="L452">
        <v>600</v>
      </c>
      <c r="M452">
        <v>485</v>
      </c>
      <c r="N452">
        <v>413.15</v>
      </c>
      <c r="O452">
        <v>503.25</v>
      </c>
      <c r="P452" s="9">
        <v>46148.45516203704</v>
      </c>
    </row>
    <row r="453" spans="1:16" x14ac:dyDescent="0.25">
      <c r="A453" t="s">
        <v>8</v>
      </c>
      <c r="B453" s="4">
        <v>46168</v>
      </c>
      <c r="C453" t="s">
        <v>262</v>
      </c>
      <c r="D453">
        <v>56400</v>
      </c>
      <c r="E453" t="s">
        <v>27</v>
      </c>
      <c r="F453">
        <v>1580</v>
      </c>
      <c r="G453">
        <v>47340</v>
      </c>
      <c r="H453">
        <v>36600</v>
      </c>
      <c r="I453">
        <v>55290</v>
      </c>
      <c r="J453">
        <v>34200</v>
      </c>
      <c r="K453">
        <v>1420</v>
      </c>
      <c r="L453">
        <v>1603</v>
      </c>
      <c r="M453">
        <v>1396.6</v>
      </c>
      <c r="N453">
        <v>1957.1</v>
      </c>
      <c r="O453">
        <v>1564.2</v>
      </c>
      <c r="P453" s="9">
        <v>46148.454861111109</v>
      </c>
    </row>
    <row r="454" spans="1:16" x14ac:dyDescent="0.25">
      <c r="A454" t="s">
        <v>8</v>
      </c>
      <c r="B454" s="4">
        <v>46168</v>
      </c>
      <c r="C454" t="s">
        <v>263</v>
      </c>
      <c r="D454">
        <v>56500</v>
      </c>
      <c r="E454" t="s">
        <v>26</v>
      </c>
      <c r="F454">
        <v>471</v>
      </c>
      <c r="G454">
        <v>703320</v>
      </c>
      <c r="H454">
        <v>512310</v>
      </c>
      <c r="I454">
        <v>534210</v>
      </c>
      <c r="J454">
        <v>486720</v>
      </c>
      <c r="K454">
        <v>484</v>
      </c>
      <c r="L454">
        <v>548</v>
      </c>
      <c r="M454">
        <v>453.05</v>
      </c>
      <c r="N454">
        <v>383.9</v>
      </c>
      <c r="O454">
        <v>470.85</v>
      </c>
      <c r="P454" s="9">
        <v>46148.455370370371</v>
      </c>
    </row>
    <row r="455" spans="1:16" x14ac:dyDescent="0.25">
      <c r="A455" t="s">
        <v>8</v>
      </c>
      <c r="B455" s="4">
        <v>46168</v>
      </c>
      <c r="C455" t="s">
        <v>264</v>
      </c>
      <c r="D455">
        <v>56500</v>
      </c>
      <c r="E455" t="s">
        <v>27</v>
      </c>
      <c r="F455">
        <v>1625</v>
      </c>
      <c r="G455">
        <v>35370</v>
      </c>
      <c r="H455">
        <v>361980</v>
      </c>
      <c r="I455">
        <v>363120</v>
      </c>
      <c r="J455">
        <v>358440</v>
      </c>
      <c r="K455">
        <v>1515.05</v>
      </c>
      <c r="L455">
        <v>1676.9</v>
      </c>
      <c r="M455">
        <v>1456.95</v>
      </c>
      <c r="N455">
        <v>2057.8000000000002</v>
      </c>
      <c r="O455">
        <v>1633.25</v>
      </c>
      <c r="P455" s="9">
        <v>46148.455081018517</v>
      </c>
    </row>
    <row r="456" spans="1:16" x14ac:dyDescent="0.25">
      <c r="A456" t="s">
        <v>8</v>
      </c>
      <c r="B456" s="4">
        <v>46168</v>
      </c>
      <c r="C456" t="s">
        <v>265</v>
      </c>
      <c r="D456">
        <v>56600</v>
      </c>
      <c r="E456" t="s">
        <v>26</v>
      </c>
      <c r="F456">
        <v>445.3</v>
      </c>
      <c r="G456">
        <v>119250</v>
      </c>
      <c r="H456">
        <v>56820</v>
      </c>
      <c r="I456">
        <v>60210</v>
      </c>
      <c r="J456">
        <v>47370</v>
      </c>
      <c r="K456">
        <v>425</v>
      </c>
      <c r="L456">
        <v>513.29999999999995</v>
      </c>
      <c r="M456">
        <v>423.4</v>
      </c>
      <c r="N456">
        <v>360.75</v>
      </c>
      <c r="O456">
        <v>439.9</v>
      </c>
      <c r="P456" s="9">
        <v>46148.455057870371</v>
      </c>
    </row>
    <row r="457" spans="1:16" x14ac:dyDescent="0.25">
      <c r="A457" t="s">
        <v>8</v>
      </c>
      <c r="B457" s="4">
        <v>46168</v>
      </c>
      <c r="C457" t="s">
        <v>266</v>
      </c>
      <c r="D457">
        <v>56600</v>
      </c>
      <c r="E457" t="s">
        <v>27</v>
      </c>
      <c r="F457">
        <v>1740</v>
      </c>
      <c r="G457">
        <v>1290</v>
      </c>
      <c r="H457">
        <v>27270</v>
      </c>
      <c r="I457">
        <v>27390</v>
      </c>
      <c r="J457">
        <v>27060</v>
      </c>
      <c r="K457">
        <v>1566.8</v>
      </c>
      <c r="L457">
        <v>1740</v>
      </c>
      <c r="M457">
        <v>1563.3</v>
      </c>
      <c r="N457">
        <v>2265</v>
      </c>
      <c r="O457">
        <v>1688.9</v>
      </c>
      <c r="P457" s="9">
        <v>46148.421006944445</v>
      </c>
    </row>
    <row r="458" spans="1:16" x14ac:dyDescent="0.25">
      <c r="A458" t="s">
        <v>8</v>
      </c>
      <c r="B458" s="4">
        <v>46168</v>
      </c>
      <c r="C458" t="s">
        <v>267</v>
      </c>
      <c r="D458">
        <v>56700</v>
      </c>
      <c r="E458" t="s">
        <v>26</v>
      </c>
      <c r="F458">
        <v>410</v>
      </c>
      <c r="G458">
        <v>45000</v>
      </c>
      <c r="H458">
        <v>49260</v>
      </c>
      <c r="I458">
        <v>49350</v>
      </c>
      <c r="J458">
        <v>46890</v>
      </c>
      <c r="K458">
        <v>449.95</v>
      </c>
      <c r="L458">
        <v>479.85</v>
      </c>
      <c r="M458">
        <v>393.25</v>
      </c>
      <c r="N458">
        <v>336.25</v>
      </c>
      <c r="O458">
        <v>408.4</v>
      </c>
      <c r="P458" s="9">
        <v>46148.455023148148</v>
      </c>
    </row>
    <row r="459" spans="1:16" x14ac:dyDescent="0.25">
      <c r="A459" t="s">
        <v>8</v>
      </c>
      <c r="B459" s="4">
        <v>46168</v>
      </c>
      <c r="C459" t="s">
        <v>268</v>
      </c>
      <c r="D459">
        <v>56700</v>
      </c>
      <c r="E459" t="s">
        <v>27</v>
      </c>
      <c r="F459">
        <v>1746.55</v>
      </c>
      <c r="G459">
        <v>270</v>
      </c>
      <c r="H459">
        <v>23880</v>
      </c>
      <c r="I459">
        <v>23880</v>
      </c>
      <c r="J459">
        <v>23850</v>
      </c>
      <c r="K459">
        <v>1649.95</v>
      </c>
      <c r="L459">
        <v>1746.55</v>
      </c>
      <c r="M459">
        <v>1635</v>
      </c>
      <c r="N459">
        <v>2201</v>
      </c>
      <c r="O459">
        <v>1768.35</v>
      </c>
      <c r="P459" s="9">
        <v>46148.440081018518</v>
      </c>
    </row>
    <row r="460" spans="1:16" x14ac:dyDescent="0.25">
      <c r="A460" t="s">
        <v>8</v>
      </c>
      <c r="B460" s="4">
        <v>46168</v>
      </c>
      <c r="C460" t="s">
        <v>269</v>
      </c>
      <c r="D460">
        <v>56800</v>
      </c>
      <c r="E460" t="s">
        <v>26</v>
      </c>
      <c r="F460">
        <v>383.5</v>
      </c>
      <c r="G460">
        <v>107040</v>
      </c>
      <c r="H460">
        <v>100710</v>
      </c>
      <c r="I460">
        <v>100710</v>
      </c>
      <c r="J460">
        <v>87030</v>
      </c>
      <c r="K460">
        <v>402.7</v>
      </c>
      <c r="L460">
        <v>447.35</v>
      </c>
      <c r="M460">
        <v>366.5</v>
      </c>
      <c r="N460">
        <v>313.14999999999998</v>
      </c>
      <c r="O460">
        <v>381.65</v>
      </c>
      <c r="P460" s="9">
        <v>46148.455231481479</v>
      </c>
    </row>
    <row r="461" spans="1:16" x14ac:dyDescent="0.25">
      <c r="A461" t="s">
        <v>8</v>
      </c>
      <c r="B461" s="4">
        <v>46168</v>
      </c>
      <c r="C461" t="s">
        <v>270</v>
      </c>
      <c r="D461">
        <v>56800</v>
      </c>
      <c r="E461" t="s">
        <v>27</v>
      </c>
      <c r="F461">
        <v>1877.75</v>
      </c>
      <c r="G461">
        <v>1410</v>
      </c>
      <c r="H461">
        <v>69270</v>
      </c>
      <c r="I461">
        <v>69300</v>
      </c>
      <c r="J461">
        <v>69240</v>
      </c>
      <c r="K461">
        <v>1700</v>
      </c>
      <c r="L461">
        <v>1877.75</v>
      </c>
      <c r="M461">
        <v>1681.25</v>
      </c>
      <c r="N461">
        <v>2297.75</v>
      </c>
      <c r="O461">
        <v>1839.55</v>
      </c>
      <c r="P461" s="9">
        <v>46148.419490740744</v>
      </c>
    </row>
    <row r="462" spans="1:16" x14ac:dyDescent="0.25">
      <c r="A462" t="s">
        <v>8</v>
      </c>
      <c r="B462" s="4">
        <v>46168</v>
      </c>
      <c r="C462" t="s">
        <v>271</v>
      </c>
      <c r="D462">
        <v>56900</v>
      </c>
      <c r="E462" t="s">
        <v>26</v>
      </c>
      <c r="F462">
        <v>356.55</v>
      </c>
      <c r="G462">
        <v>72750</v>
      </c>
      <c r="H462">
        <v>43440</v>
      </c>
      <c r="I462">
        <v>44130</v>
      </c>
      <c r="J462">
        <v>37110</v>
      </c>
      <c r="K462">
        <v>382</v>
      </c>
      <c r="L462">
        <v>418.35</v>
      </c>
      <c r="M462">
        <v>340.65</v>
      </c>
      <c r="N462">
        <v>293.95</v>
      </c>
      <c r="O462">
        <v>354.4</v>
      </c>
      <c r="P462" s="9">
        <v>46148.455324074072</v>
      </c>
    </row>
    <row r="463" spans="1:16" x14ac:dyDescent="0.25">
      <c r="A463" t="s">
        <v>8</v>
      </c>
      <c r="B463" s="4">
        <v>46168</v>
      </c>
      <c r="C463" t="s">
        <v>272</v>
      </c>
      <c r="D463">
        <v>56900</v>
      </c>
      <c r="E463" t="s">
        <v>27</v>
      </c>
      <c r="F463">
        <v>1799</v>
      </c>
      <c r="G463">
        <v>120</v>
      </c>
      <c r="H463">
        <v>12810</v>
      </c>
      <c r="I463">
        <v>12810</v>
      </c>
      <c r="J463">
        <v>12780</v>
      </c>
      <c r="K463">
        <v>1799</v>
      </c>
      <c r="L463">
        <v>1950</v>
      </c>
      <c r="M463">
        <v>1799</v>
      </c>
      <c r="N463">
        <v>2165</v>
      </c>
      <c r="O463">
        <v>1912.5</v>
      </c>
      <c r="P463" s="9">
        <v>46148.447291666664</v>
      </c>
    </row>
    <row r="464" spans="1:16" x14ac:dyDescent="0.25">
      <c r="A464" t="s">
        <v>8</v>
      </c>
      <c r="B464" s="4">
        <v>46168</v>
      </c>
      <c r="C464" t="s">
        <v>273</v>
      </c>
      <c r="D464">
        <v>57000</v>
      </c>
      <c r="E464" t="s">
        <v>26</v>
      </c>
      <c r="F464">
        <v>330.45</v>
      </c>
      <c r="G464">
        <v>780780</v>
      </c>
      <c r="H464">
        <v>734250</v>
      </c>
      <c r="I464">
        <v>778620</v>
      </c>
      <c r="J464">
        <v>734250</v>
      </c>
      <c r="K464">
        <v>325.05</v>
      </c>
      <c r="L464">
        <v>388.9</v>
      </c>
      <c r="M464">
        <v>317</v>
      </c>
      <c r="N464">
        <v>272.7</v>
      </c>
      <c r="O464">
        <v>331.15</v>
      </c>
      <c r="P464" s="9">
        <v>46148.455358796295</v>
      </c>
    </row>
    <row r="465" spans="1:16" x14ac:dyDescent="0.25">
      <c r="A465" t="s">
        <v>8</v>
      </c>
      <c r="B465" s="4">
        <v>46168</v>
      </c>
      <c r="C465" t="s">
        <v>274</v>
      </c>
      <c r="D465">
        <v>57000</v>
      </c>
      <c r="E465" t="s">
        <v>27</v>
      </c>
      <c r="F465">
        <v>1998</v>
      </c>
      <c r="G465">
        <v>62400</v>
      </c>
      <c r="H465">
        <v>379380</v>
      </c>
      <c r="I465">
        <v>384210</v>
      </c>
      <c r="J465">
        <v>377310</v>
      </c>
      <c r="K465">
        <v>2012</v>
      </c>
      <c r="L465">
        <v>2030.95</v>
      </c>
      <c r="M465">
        <v>1500</v>
      </c>
      <c r="N465">
        <v>2444.9</v>
      </c>
      <c r="O465">
        <v>1991.45</v>
      </c>
      <c r="P465" s="9">
        <v>46148.455231481479</v>
      </c>
    </row>
    <row r="466" spans="1:16" x14ac:dyDescent="0.25">
      <c r="A466" t="s">
        <v>8</v>
      </c>
      <c r="B466" s="4">
        <v>46168</v>
      </c>
      <c r="C466" t="s">
        <v>275</v>
      </c>
      <c r="D466">
        <v>57100</v>
      </c>
      <c r="E466" t="s">
        <v>26</v>
      </c>
      <c r="F466">
        <v>306.85000000000002</v>
      </c>
      <c r="G466">
        <v>104310</v>
      </c>
      <c r="H466">
        <v>44070</v>
      </c>
      <c r="I466">
        <v>50550</v>
      </c>
      <c r="J466">
        <v>44070</v>
      </c>
      <c r="K466">
        <v>352.9</v>
      </c>
      <c r="L466">
        <v>363.1</v>
      </c>
      <c r="M466">
        <v>295.89999999999998</v>
      </c>
      <c r="N466">
        <v>256</v>
      </c>
      <c r="O466">
        <v>308.8</v>
      </c>
      <c r="P466" s="9">
        <v>46148.454907407409</v>
      </c>
    </row>
    <row r="467" spans="1:16" x14ac:dyDescent="0.25">
      <c r="A467" t="s">
        <v>8</v>
      </c>
      <c r="B467" s="4">
        <v>46168</v>
      </c>
      <c r="C467" t="s">
        <v>276</v>
      </c>
      <c r="D467">
        <v>57100</v>
      </c>
      <c r="E467" t="s">
        <v>27</v>
      </c>
      <c r="F467">
        <v>2550</v>
      </c>
      <c r="G467">
        <v>0</v>
      </c>
      <c r="H467">
        <v>7080</v>
      </c>
      <c r="I467">
        <v>7080</v>
      </c>
      <c r="J467">
        <v>7080</v>
      </c>
      <c r="K467">
        <v>0</v>
      </c>
      <c r="L467">
        <v>0</v>
      </c>
      <c r="M467">
        <v>0</v>
      </c>
      <c r="N467">
        <v>2550</v>
      </c>
      <c r="O467">
        <v>2019.55</v>
      </c>
      <c r="P467" s="9">
        <v>46147.422418981485</v>
      </c>
    </row>
    <row r="468" spans="1:16" x14ac:dyDescent="0.25">
      <c r="A468" t="s">
        <v>8</v>
      </c>
      <c r="B468" s="4">
        <v>46168</v>
      </c>
      <c r="C468" t="s">
        <v>277</v>
      </c>
      <c r="D468">
        <v>57200</v>
      </c>
      <c r="E468" t="s">
        <v>26</v>
      </c>
      <c r="F468">
        <v>286.10000000000002</v>
      </c>
      <c r="G468">
        <v>65760</v>
      </c>
      <c r="H468">
        <v>60150</v>
      </c>
      <c r="I468">
        <v>61080</v>
      </c>
      <c r="J468">
        <v>57840</v>
      </c>
      <c r="K468">
        <v>305</v>
      </c>
      <c r="L468">
        <v>338.55</v>
      </c>
      <c r="M468">
        <v>272.8</v>
      </c>
      <c r="N468">
        <v>240</v>
      </c>
      <c r="O468">
        <v>286.05</v>
      </c>
      <c r="P468" s="9">
        <v>46148.455347222225</v>
      </c>
    </row>
    <row r="469" spans="1:16" x14ac:dyDescent="0.25">
      <c r="A469" t="s">
        <v>8</v>
      </c>
      <c r="B469" s="4">
        <v>46168</v>
      </c>
      <c r="C469" t="s">
        <v>278</v>
      </c>
      <c r="D469">
        <v>57200</v>
      </c>
      <c r="E469" t="s">
        <v>27</v>
      </c>
      <c r="F469">
        <v>2005</v>
      </c>
      <c r="G469">
        <v>30</v>
      </c>
      <c r="H469">
        <v>9840</v>
      </c>
      <c r="I469">
        <v>9840</v>
      </c>
      <c r="J469">
        <v>9840</v>
      </c>
      <c r="K469">
        <v>2005</v>
      </c>
      <c r="L469">
        <v>2005</v>
      </c>
      <c r="M469">
        <v>2005</v>
      </c>
      <c r="N469">
        <v>2900</v>
      </c>
      <c r="O469">
        <v>2131.8000000000002</v>
      </c>
      <c r="P469" s="9">
        <v>46148.389027777775</v>
      </c>
    </row>
    <row r="470" spans="1:16" x14ac:dyDescent="0.25">
      <c r="A470" t="s">
        <v>8</v>
      </c>
      <c r="B470" s="4">
        <v>46168</v>
      </c>
      <c r="C470" t="s">
        <v>279</v>
      </c>
      <c r="D470">
        <v>57300</v>
      </c>
      <c r="E470" t="s">
        <v>26</v>
      </c>
      <c r="F470">
        <v>267.55</v>
      </c>
      <c r="G470">
        <v>82170</v>
      </c>
      <c r="H470">
        <v>77460</v>
      </c>
      <c r="I470">
        <v>84870</v>
      </c>
      <c r="J470">
        <v>75840</v>
      </c>
      <c r="K470">
        <v>298.95</v>
      </c>
      <c r="L470">
        <v>321</v>
      </c>
      <c r="M470">
        <v>238.2</v>
      </c>
      <c r="N470">
        <v>222.25</v>
      </c>
      <c r="O470">
        <v>266.10000000000002</v>
      </c>
      <c r="P470" s="9">
        <v>46148.455324074072</v>
      </c>
    </row>
    <row r="471" spans="1:16" x14ac:dyDescent="0.25">
      <c r="A471" t="s">
        <v>8</v>
      </c>
      <c r="B471" s="4">
        <v>46168</v>
      </c>
      <c r="C471" t="s">
        <v>280</v>
      </c>
      <c r="D471">
        <v>57300</v>
      </c>
      <c r="E471" t="s">
        <v>27</v>
      </c>
      <c r="F471">
        <v>2151.1</v>
      </c>
      <c r="G471">
        <v>60</v>
      </c>
      <c r="H471">
        <v>13200</v>
      </c>
      <c r="I471">
        <v>13200</v>
      </c>
      <c r="J471">
        <v>13200</v>
      </c>
      <c r="K471">
        <v>2150</v>
      </c>
      <c r="L471">
        <v>2151.1</v>
      </c>
      <c r="M471">
        <v>2150</v>
      </c>
      <c r="N471">
        <v>2500.4499999999998</v>
      </c>
      <c r="O471">
        <v>2217.3000000000002</v>
      </c>
      <c r="P471" s="9">
        <v>46148.408090277779</v>
      </c>
    </row>
    <row r="472" spans="1:16" x14ac:dyDescent="0.25">
      <c r="A472" t="s">
        <v>8</v>
      </c>
      <c r="B472" s="4">
        <v>46168</v>
      </c>
      <c r="C472" t="s">
        <v>281</v>
      </c>
      <c r="D472">
        <v>57400</v>
      </c>
      <c r="E472" t="s">
        <v>26</v>
      </c>
      <c r="F472">
        <v>250</v>
      </c>
      <c r="G472">
        <v>64560</v>
      </c>
      <c r="H472">
        <v>44970</v>
      </c>
      <c r="I472">
        <v>62160</v>
      </c>
      <c r="J472">
        <v>44940</v>
      </c>
      <c r="K472">
        <v>261.60000000000002</v>
      </c>
      <c r="L472">
        <v>292.39999999999998</v>
      </c>
      <c r="M472">
        <v>236.15</v>
      </c>
      <c r="N472">
        <v>205.8</v>
      </c>
      <c r="O472">
        <v>246.95</v>
      </c>
      <c r="P472" s="9">
        <v>46148.455034722225</v>
      </c>
    </row>
    <row r="473" spans="1:16" x14ac:dyDescent="0.25">
      <c r="A473" t="s">
        <v>8</v>
      </c>
      <c r="B473" s="4">
        <v>46168</v>
      </c>
      <c r="C473" t="s">
        <v>282</v>
      </c>
      <c r="D473">
        <v>57400</v>
      </c>
      <c r="E473" t="s">
        <v>27</v>
      </c>
      <c r="F473">
        <v>2110</v>
      </c>
      <c r="G473">
        <v>90</v>
      </c>
      <c r="H473">
        <v>8970</v>
      </c>
      <c r="I473">
        <v>8970</v>
      </c>
      <c r="J473">
        <v>8970</v>
      </c>
      <c r="K473">
        <v>2110</v>
      </c>
      <c r="L473">
        <v>2110</v>
      </c>
      <c r="M473">
        <v>2110</v>
      </c>
      <c r="N473">
        <v>2829.25</v>
      </c>
      <c r="O473">
        <v>2294.15</v>
      </c>
      <c r="P473" s="9">
        <v>46148.391701388886</v>
      </c>
    </row>
    <row r="474" spans="1:16" x14ac:dyDescent="0.25">
      <c r="A474" t="s">
        <v>8</v>
      </c>
      <c r="B474" s="4">
        <v>46168</v>
      </c>
      <c r="C474" t="s">
        <v>283</v>
      </c>
      <c r="D474">
        <v>57500</v>
      </c>
      <c r="E474" t="s">
        <v>26</v>
      </c>
      <c r="F474">
        <v>229.2</v>
      </c>
      <c r="G474">
        <v>408120</v>
      </c>
      <c r="H474">
        <v>351540</v>
      </c>
      <c r="I474">
        <v>355260</v>
      </c>
      <c r="J474">
        <v>319980</v>
      </c>
      <c r="K474">
        <v>250</v>
      </c>
      <c r="L474">
        <v>271.10000000000002</v>
      </c>
      <c r="M474">
        <v>217.8</v>
      </c>
      <c r="N474">
        <v>193.45</v>
      </c>
      <c r="O474">
        <v>229.3</v>
      </c>
      <c r="P474" s="9">
        <v>46148.455335648148</v>
      </c>
    </row>
    <row r="475" spans="1:16" x14ac:dyDescent="0.25">
      <c r="A475" t="s">
        <v>8</v>
      </c>
      <c r="B475" s="4">
        <v>46168</v>
      </c>
      <c r="C475" t="s">
        <v>284</v>
      </c>
      <c r="D475">
        <v>57500</v>
      </c>
      <c r="E475" t="s">
        <v>27</v>
      </c>
      <c r="F475">
        <v>2300</v>
      </c>
      <c r="G475">
        <v>15300</v>
      </c>
      <c r="H475">
        <v>136950</v>
      </c>
      <c r="I475">
        <v>139110</v>
      </c>
      <c r="J475">
        <v>135180</v>
      </c>
      <c r="K475">
        <v>2325</v>
      </c>
      <c r="L475">
        <v>2360.0500000000002</v>
      </c>
      <c r="M475">
        <v>2099.9499999999998</v>
      </c>
      <c r="N475">
        <v>2870.55</v>
      </c>
      <c r="O475">
        <v>2384.5500000000002</v>
      </c>
      <c r="P475" s="9">
        <v>46148.446759259263</v>
      </c>
    </row>
    <row r="476" spans="1:16" x14ac:dyDescent="0.25">
      <c r="A476" t="s">
        <v>8</v>
      </c>
      <c r="B476" s="4">
        <v>46168</v>
      </c>
      <c r="C476" t="s">
        <v>285</v>
      </c>
      <c r="D476">
        <v>57600</v>
      </c>
      <c r="E476" t="s">
        <v>26</v>
      </c>
      <c r="F476">
        <v>212.9</v>
      </c>
      <c r="G476">
        <v>37890</v>
      </c>
      <c r="H476">
        <v>46230</v>
      </c>
      <c r="I476">
        <v>50160</v>
      </c>
      <c r="J476">
        <v>45150</v>
      </c>
      <c r="K476">
        <v>234</v>
      </c>
      <c r="L476">
        <v>252.6</v>
      </c>
      <c r="M476">
        <v>200.95</v>
      </c>
      <c r="N476">
        <v>179.8</v>
      </c>
      <c r="O476">
        <v>212.4</v>
      </c>
      <c r="P476" s="9">
        <v>46148.455023148148</v>
      </c>
    </row>
    <row r="477" spans="1:16" x14ac:dyDescent="0.25">
      <c r="A477" t="s">
        <v>8</v>
      </c>
      <c r="B477" s="4">
        <v>46168</v>
      </c>
      <c r="C477" t="s">
        <v>286</v>
      </c>
      <c r="D477">
        <v>57600</v>
      </c>
      <c r="E477" t="s">
        <v>27</v>
      </c>
      <c r="F477">
        <v>2302.6999999999998</v>
      </c>
      <c r="G477">
        <v>15540</v>
      </c>
      <c r="H477">
        <v>24000</v>
      </c>
      <c r="I477">
        <v>26190</v>
      </c>
      <c r="J477">
        <v>24000</v>
      </c>
      <c r="K477">
        <v>2250</v>
      </c>
      <c r="L477">
        <v>2326.4</v>
      </c>
      <c r="M477">
        <v>2249.9499999999998</v>
      </c>
      <c r="N477">
        <v>2915.2</v>
      </c>
      <c r="O477">
        <v>2461.5500000000002</v>
      </c>
      <c r="P477" s="9">
        <v>46148.38622685185</v>
      </c>
    </row>
    <row r="478" spans="1:16" x14ac:dyDescent="0.25">
      <c r="A478" t="s">
        <v>8</v>
      </c>
      <c r="B478" s="4">
        <v>46168</v>
      </c>
      <c r="C478" t="s">
        <v>287</v>
      </c>
      <c r="D478">
        <v>57700</v>
      </c>
      <c r="E478" t="s">
        <v>26</v>
      </c>
      <c r="F478">
        <v>197.65</v>
      </c>
      <c r="G478">
        <v>47880</v>
      </c>
      <c r="H478">
        <v>65640</v>
      </c>
      <c r="I478">
        <v>65640</v>
      </c>
      <c r="J478">
        <v>62940</v>
      </c>
      <c r="K478">
        <v>200</v>
      </c>
      <c r="L478">
        <v>235</v>
      </c>
      <c r="M478">
        <v>186.5</v>
      </c>
      <c r="N478">
        <v>168.1</v>
      </c>
      <c r="O478">
        <v>197.4</v>
      </c>
      <c r="P478" s="9">
        <v>46148.455231481479</v>
      </c>
    </row>
    <row r="479" spans="1:16" x14ac:dyDescent="0.25">
      <c r="A479" t="s">
        <v>8</v>
      </c>
      <c r="B479" s="4">
        <v>46168</v>
      </c>
      <c r="C479" t="s">
        <v>288</v>
      </c>
      <c r="D479">
        <v>57700</v>
      </c>
      <c r="E479" t="s">
        <v>27</v>
      </c>
      <c r="F479">
        <v>3080</v>
      </c>
      <c r="G479">
        <v>0</v>
      </c>
      <c r="H479">
        <v>5940</v>
      </c>
      <c r="I479">
        <v>5940</v>
      </c>
      <c r="J479">
        <v>5940</v>
      </c>
      <c r="K479">
        <v>0</v>
      </c>
      <c r="L479">
        <v>0</v>
      </c>
      <c r="M479">
        <v>0</v>
      </c>
      <c r="N479">
        <v>3080</v>
      </c>
      <c r="O479">
        <v>2531.9499999999998</v>
      </c>
      <c r="P479" s="9">
        <v>46147.62908564815</v>
      </c>
    </row>
    <row r="480" spans="1:16" x14ac:dyDescent="0.25">
      <c r="A480" t="s">
        <v>8</v>
      </c>
      <c r="B480" s="4">
        <v>46168</v>
      </c>
      <c r="C480" t="s">
        <v>289</v>
      </c>
      <c r="D480">
        <v>57800</v>
      </c>
      <c r="E480" t="s">
        <v>26</v>
      </c>
      <c r="F480">
        <v>184.5</v>
      </c>
      <c r="G480">
        <v>50970</v>
      </c>
      <c r="H480">
        <v>84030</v>
      </c>
      <c r="I480">
        <v>86130</v>
      </c>
      <c r="J480">
        <v>81720</v>
      </c>
      <c r="K480">
        <v>208.35</v>
      </c>
      <c r="L480">
        <v>218.65</v>
      </c>
      <c r="M480">
        <v>174</v>
      </c>
      <c r="N480">
        <v>157.75</v>
      </c>
      <c r="O480">
        <v>183.3</v>
      </c>
      <c r="P480" s="9">
        <v>46148.454618055555</v>
      </c>
    </row>
    <row r="481" spans="1:16" x14ac:dyDescent="0.25">
      <c r="A481" t="s">
        <v>8</v>
      </c>
      <c r="B481" s="4">
        <v>46168</v>
      </c>
      <c r="C481" t="s">
        <v>290</v>
      </c>
      <c r="D481">
        <v>57800</v>
      </c>
      <c r="E481" t="s">
        <v>27</v>
      </c>
      <c r="F481">
        <v>3147.15</v>
      </c>
      <c r="G481">
        <v>0</v>
      </c>
      <c r="H481">
        <v>7410</v>
      </c>
      <c r="I481">
        <v>7410</v>
      </c>
      <c r="J481">
        <v>7410</v>
      </c>
      <c r="K481">
        <v>0</v>
      </c>
      <c r="L481">
        <v>0</v>
      </c>
      <c r="M481">
        <v>0</v>
      </c>
      <c r="N481">
        <v>3147.15</v>
      </c>
      <c r="O481">
        <v>2580</v>
      </c>
      <c r="P481" s="9">
        <v>46147.643900462965</v>
      </c>
    </row>
    <row r="482" spans="1:16" x14ac:dyDescent="0.25">
      <c r="A482" t="s">
        <v>8</v>
      </c>
      <c r="B482" s="4">
        <v>46168</v>
      </c>
      <c r="C482" t="s">
        <v>291</v>
      </c>
      <c r="D482">
        <v>57900</v>
      </c>
      <c r="E482" t="s">
        <v>26</v>
      </c>
      <c r="F482">
        <v>174.5</v>
      </c>
      <c r="G482">
        <v>51360</v>
      </c>
      <c r="H482">
        <v>64050</v>
      </c>
      <c r="I482">
        <v>71700</v>
      </c>
      <c r="J482">
        <v>62610</v>
      </c>
      <c r="K482">
        <v>180</v>
      </c>
      <c r="L482">
        <v>202.9</v>
      </c>
      <c r="M482">
        <v>161.6</v>
      </c>
      <c r="N482">
        <v>146.44999999999999</v>
      </c>
      <c r="O482">
        <v>169.95</v>
      </c>
      <c r="P482" s="9">
        <v>46148.455046296294</v>
      </c>
    </row>
    <row r="483" spans="1:16" x14ac:dyDescent="0.25">
      <c r="A483" t="s">
        <v>8</v>
      </c>
      <c r="B483" s="4">
        <v>46168</v>
      </c>
      <c r="C483" t="s">
        <v>292</v>
      </c>
      <c r="D483">
        <v>57900</v>
      </c>
      <c r="E483" t="s">
        <v>27</v>
      </c>
      <c r="F483">
        <v>2571</v>
      </c>
      <c r="G483">
        <v>360</v>
      </c>
      <c r="H483">
        <v>3180</v>
      </c>
      <c r="I483">
        <v>3180</v>
      </c>
      <c r="J483">
        <v>3150</v>
      </c>
      <c r="K483">
        <v>2498.85</v>
      </c>
      <c r="L483">
        <v>2600.35</v>
      </c>
      <c r="M483">
        <v>2498.85</v>
      </c>
      <c r="N483">
        <v>2860.35</v>
      </c>
      <c r="O483">
        <v>2691.95</v>
      </c>
      <c r="P483" s="9">
        <v>46148.396296296298</v>
      </c>
    </row>
    <row r="484" spans="1:16" x14ac:dyDescent="0.25">
      <c r="A484" t="s">
        <v>8</v>
      </c>
      <c r="B484" s="4">
        <v>46168</v>
      </c>
      <c r="C484" t="s">
        <v>293</v>
      </c>
      <c r="D484">
        <v>58000</v>
      </c>
      <c r="E484" t="s">
        <v>26</v>
      </c>
      <c r="F484">
        <v>157.30000000000001</v>
      </c>
      <c r="G484">
        <v>687120</v>
      </c>
      <c r="H484">
        <v>879120</v>
      </c>
      <c r="I484">
        <v>935820</v>
      </c>
      <c r="J484">
        <v>870390</v>
      </c>
      <c r="K484">
        <v>162</v>
      </c>
      <c r="L484">
        <v>190</v>
      </c>
      <c r="M484">
        <v>149.30000000000001</v>
      </c>
      <c r="N484">
        <v>136.9</v>
      </c>
      <c r="O484">
        <v>157.6</v>
      </c>
      <c r="P484" s="9">
        <v>46148.455347222225</v>
      </c>
    </row>
    <row r="485" spans="1:16" x14ac:dyDescent="0.25">
      <c r="A485" t="s">
        <v>8</v>
      </c>
      <c r="B485" s="4">
        <v>46168</v>
      </c>
      <c r="C485" t="s">
        <v>294</v>
      </c>
      <c r="D485">
        <v>58000</v>
      </c>
      <c r="E485" t="s">
        <v>27</v>
      </c>
      <c r="F485">
        <v>2820</v>
      </c>
      <c r="G485">
        <v>5070</v>
      </c>
      <c r="H485">
        <v>266730</v>
      </c>
      <c r="I485">
        <v>267690</v>
      </c>
      <c r="J485">
        <v>266700</v>
      </c>
      <c r="K485">
        <v>2644.3</v>
      </c>
      <c r="L485">
        <v>2826.55</v>
      </c>
      <c r="M485">
        <v>2591</v>
      </c>
      <c r="N485">
        <v>3294.5</v>
      </c>
      <c r="O485">
        <v>2803.75</v>
      </c>
      <c r="P485" s="9">
        <v>46148.454872685186</v>
      </c>
    </row>
    <row r="486" spans="1:16" x14ac:dyDescent="0.25">
      <c r="A486" t="s">
        <v>8</v>
      </c>
      <c r="B486" s="4">
        <v>46168</v>
      </c>
      <c r="C486" t="s">
        <v>295</v>
      </c>
      <c r="D486">
        <v>58100</v>
      </c>
      <c r="E486" t="s">
        <v>26</v>
      </c>
      <c r="F486">
        <v>147</v>
      </c>
      <c r="G486">
        <v>37980</v>
      </c>
      <c r="H486">
        <v>43350</v>
      </c>
      <c r="I486">
        <v>47190</v>
      </c>
      <c r="J486">
        <v>43170</v>
      </c>
      <c r="K486">
        <v>147.85</v>
      </c>
      <c r="L486">
        <v>176.25</v>
      </c>
      <c r="M486">
        <v>139.25</v>
      </c>
      <c r="N486">
        <v>126.7</v>
      </c>
      <c r="O486">
        <v>146</v>
      </c>
      <c r="P486" s="9">
        <v>46148.455023148148</v>
      </c>
    </row>
    <row r="487" spans="1:16" x14ac:dyDescent="0.25">
      <c r="A487" t="s">
        <v>8</v>
      </c>
      <c r="B487" s="4">
        <v>46168</v>
      </c>
      <c r="C487" t="s">
        <v>296</v>
      </c>
      <c r="D487">
        <v>58100</v>
      </c>
      <c r="E487" t="s">
        <v>27</v>
      </c>
      <c r="F487">
        <v>2750</v>
      </c>
      <c r="G487">
        <v>30</v>
      </c>
      <c r="H487">
        <v>1590</v>
      </c>
      <c r="I487">
        <v>1590</v>
      </c>
      <c r="J487">
        <v>1590</v>
      </c>
      <c r="K487">
        <v>2750</v>
      </c>
      <c r="L487">
        <v>2750</v>
      </c>
      <c r="M487">
        <v>2750</v>
      </c>
      <c r="N487">
        <v>3697.9</v>
      </c>
      <c r="O487">
        <v>2870.4</v>
      </c>
      <c r="P487" s="9">
        <v>46148.391898148147</v>
      </c>
    </row>
    <row r="488" spans="1:16" x14ac:dyDescent="0.25">
      <c r="A488" t="s">
        <v>8</v>
      </c>
      <c r="B488" s="4">
        <v>46168</v>
      </c>
      <c r="C488" t="s">
        <v>297</v>
      </c>
      <c r="D488">
        <v>58200</v>
      </c>
      <c r="E488" t="s">
        <v>26</v>
      </c>
      <c r="F488">
        <v>134.6</v>
      </c>
      <c r="G488">
        <v>28350</v>
      </c>
      <c r="H488">
        <v>47670</v>
      </c>
      <c r="I488">
        <v>47670</v>
      </c>
      <c r="J488">
        <v>45810</v>
      </c>
      <c r="K488">
        <v>122</v>
      </c>
      <c r="L488">
        <v>163.95</v>
      </c>
      <c r="M488">
        <v>122</v>
      </c>
      <c r="N488">
        <v>118.35</v>
      </c>
      <c r="O488">
        <v>135.15</v>
      </c>
      <c r="P488" s="9">
        <v>46148.454664351855</v>
      </c>
    </row>
    <row r="489" spans="1:16" x14ac:dyDescent="0.25">
      <c r="A489" t="s">
        <v>8</v>
      </c>
      <c r="B489" s="4">
        <v>46168</v>
      </c>
      <c r="C489" t="s">
        <v>298</v>
      </c>
      <c r="D489">
        <v>58200</v>
      </c>
      <c r="E489" t="s">
        <v>27</v>
      </c>
      <c r="F489">
        <v>3647.1</v>
      </c>
      <c r="G489">
        <v>0</v>
      </c>
      <c r="H489">
        <v>2700</v>
      </c>
      <c r="I489">
        <v>2700</v>
      </c>
      <c r="J489">
        <v>2700</v>
      </c>
      <c r="K489">
        <v>0</v>
      </c>
      <c r="L489">
        <v>0</v>
      </c>
      <c r="M489">
        <v>0</v>
      </c>
      <c r="N489">
        <v>3647.1</v>
      </c>
      <c r="O489">
        <v>2926.95</v>
      </c>
      <c r="P489" s="9">
        <v>46147.472025462965</v>
      </c>
    </row>
    <row r="490" spans="1:16" x14ac:dyDescent="0.25">
      <c r="A490" t="s">
        <v>8</v>
      </c>
      <c r="B490" s="4">
        <v>46168</v>
      </c>
      <c r="C490" t="s">
        <v>299</v>
      </c>
      <c r="D490">
        <v>58300</v>
      </c>
      <c r="E490" t="s">
        <v>26</v>
      </c>
      <c r="F490">
        <v>126.15</v>
      </c>
      <c r="G490">
        <v>35040</v>
      </c>
      <c r="H490">
        <v>33510</v>
      </c>
      <c r="I490">
        <v>34380</v>
      </c>
      <c r="J490">
        <v>31170</v>
      </c>
      <c r="K490">
        <v>142.94999999999999</v>
      </c>
      <c r="L490">
        <v>151.5</v>
      </c>
      <c r="M490">
        <v>119.45</v>
      </c>
      <c r="N490">
        <v>110.5</v>
      </c>
      <c r="O490">
        <v>125.55</v>
      </c>
      <c r="P490" s="9">
        <v>46148.455335648148</v>
      </c>
    </row>
    <row r="491" spans="1:16" x14ac:dyDescent="0.25">
      <c r="A491" t="s">
        <v>8</v>
      </c>
      <c r="B491" s="4">
        <v>46168</v>
      </c>
      <c r="C491" t="s">
        <v>300</v>
      </c>
      <c r="D491">
        <v>58300</v>
      </c>
      <c r="E491" t="s">
        <v>27</v>
      </c>
      <c r="F491">
        <v>3063.5</v>
      </c>
      <c r="G491">
        <v>150</v>
      </c>
      <c r="H491">
        <v>3600</v>
      </c>
      <c r="I491">
        <v>3600</v>
      </c>
      <c r="J491">
        <v>3570</v>
      </c>
      <c r="K491">
        <v>3003.75</v>
      </c>
      <c r="L491">
        <v>3063.5</v>
      </c>
      <c r="M491">
        <v>3003.75</v>
      </c>
      <c r="N491">
        <v>3544.85</v>
      </c>
      <c r="O491">
        <v>3040.4</v>
      </c>
      <c r="P491" s="9">
        <v>46148.41914351852</v>
      </c>
    </row>
    <row r="492" spans="1:16" x14ac:dyDescent="0.25">
      <c r="A492" t="s">
        <v>8</v>
      </c>
      <c r="B492" s="4">
        <v>46168</v>
      </c>
      <c r="C492" t="s">
        <v>301</v>
      </c>
      <c r="D492">
        <v>58400</v>
      </c>
      <c r="E492" t="s">
        <v>26</v>
      </c>
      <c r="F492">
        <v>116.9</v>
      </c>
      <c r="G492">
        <v>40260</v>
      </c>
      <c r="H492">
        <v>35460</v>
      </c>
      <c r="I492">
        <v>36540</v>
      </c>
      <c r="J492">
        <v>29730</v>
      </c>
      <c r="K492">
        <v>136.19999999999999</v>
      </c>
      <c r="L492">
        <v>142.30000000000001</v>
      </c>
      <c r="M492">
        <v>111.55</v>
      </c>
      <c r="N492">
        <v>103.85</v>
      </c>
      <c r="O492">
        <v>116.65</v>
      </c>
      <c r="P492" s="9">
        <v>46148.453622685185</v>
      </c>
    </row>
    <row r="493" spans="1:16" x14ac:dyDescent="0.25">
      <c r="A493" t="s">
        <v>8</v>
      </c>
      <c r="B493" s="4">
        <v>46168</v>
      </c>
      <c r="C493" t="s">
        <v>302</v>
      </c>
      <c r="D493">
        <v>58400</v>
      </c>
      <c r="E493" t="s">
        <v>27</v>
      </c>
      <c r="F493">
        <v>3784.65</v>
      </c>
      <c r="G493">
        <v>0</v>
      </c>
      <c r="H493">
        <v>1620</v>
      </c>
      <c r="I493">
        <v>1620</v>
      </c>
      <c r="J493">
        <v>1620</v>
      </c>
      <c r="K493">
        <v>0</v>
      </c>
      <c r="L493">
        <v>0</v>
      </c>
      <c r="M493">
        <v>0</v>
      </c>
      <c r="N493">
        <v>3784.65</v>
      </c>
      <c r="O493">
        <v>3104.6</v>
      </c>
      <c r="P493" s="9">
        <v>46147.434467592589</v>
      </c>
    </row>
    <row r="494" spans="1:16" x14ac:dyDescent="0.25">
      <c r="A494" t="s">
        <v>8</v>
      </c>
      <c r="B494" s="4">
        <v>46168</v>
      </c>
      <c r="C494" t="s">
        <v>303</v>
      </c>
      <c r="D494">
        <v>58500</v>
      </c>
      <c r="E494" t="s">
        <v>26</v>
      </c>
      <c r="F494">
        <v>108.1</v>
      </c>
      <c r="G494">
        <v>266130</v>
      </c>
      <c r="H494">
        <v>317310</v>
      </c>
      <c r="I494">
        <v>337890</v>
      </c>
      <c r="J494">
        <v>317190</v>
      </c>
      <c r="K494">
        <v>110</v>
      </c>
      <c r="L494">
        <v>131.30000000000001</v>
      </c>
      <c r="M494">
        <v>103</v>
      </c>
      <c r="N494">
        <v>96.55</v>
      </c>
      <c r="O494">
        <v>107.85</v>
      </c>
      <c r="P494" s="9">
        <v>46148.455335648148</v>
      </c>
    </row>
    <row r="495" spans="1:16" x14ac:dyDescent="0.25">
      <c r="A495" t="s">
        <v>8</v>
      </c>
      <c r="B495" s="4">
        <v>46168</v>
      </c>
      <c r="C495" t="s">
        <v>304</v>
      </c>
      <c r="D495">
        <v>58500</v>
      </c>
      <c r="E495" t="s">
        <v>27</v>
      </c>
      <c r="F495">
        <v>3139.45</v>
      </c>
      <c r="G495">
        <v>420</v>
      </c>
      <c r="H495">
        <v>62250</v>
      </c>
      <c r="I495">
        <v>62310</v>
      </c>
      <c r="J495">
        <v>62250</v>
      </c>
      <c r="K495">
        <v>3145</v>
      </c>
      <c r="L495">
        <v>3240.95</v>
      </c>
      <c r="M495">
        <v>3139.45</v>
      </c>
      <c r="N495">
        <v>4045.35</v>
      </c>
      <c r="O495">
        <v>3245.95</v>
      </c>
      <c r="P495" s="9">
        <v>46148.449826388889</v>
      </c>
    </row>
    <row r="496" spans="1:16" x14ac:dyDescent="0.25">
      <c r="A496" t="s">
        <v>8</v>
      </c>
      <c r="B496" s="4">
        <v>46168</v>
      </c>
      <c r="C496" t="s">
        <v>305</v>
      </c>
      <c r="D496">
        <v>58600</v>
      </c>
      <c r="E496" t="s">
        <v>26</v>
      </c>
      <c r="F496">
        <v>101.8</v>
      </c>
      <c r="G496">
        <v>30720</v>
      </c>
      <c r="H496">
        <v>36720</v>
      </c>
      <c r="I496">
        <v>43050</v>
      </c>
      <c r="J496">
        <v>36600</v>
      </c>
      <c r="K496">
        <v>91</v>
      </c>
      <c r="L496">
        <v>124.25</v>
      </c>
      <c r="M496">
        <v>90.05</v>
      </c>
      <c r="N496">
        <v>90.95</v>
      </c>
      <c r="O496">
        <v>100.35</v>
      </c>
      <c r="P496" s="9">
        <v>46148.453449074077</v>
      </c>
    </row>
    <row r="497" spans="1:16" x14ac:dyDescent="0.25">
      <c r="A497" t="s">
        <v>8</v>
      </c>
      <c r="B497" s="4">
        <v>46168</v>
      </c>
      <c r="C497" t="s">
        <v>306</v>
      </c>
      <c r="D497">
        <v>58600</v>
      </c>
      <c r="E497" t="s">
        <v>27</v>
      </c>
      <c r="F497">
        <v>3866.85</v>
      </c>
      <c r="G497">
        <v>0</v>
      </c>
      <c r="H497">
        <v>420</v>
      </c>
      <c r="I497">
        <v>420</v>
      </c>
      <c r="J497">
        <v>420</v>
      </c>
      <c r="K497">
        <v>0</v>
      </c>
      <c r="L497">
        <v>0</v>
      </c>
      <c r="M497">
        <v>0</v>
      </c>
      <c r="N497">
        <v>3866.85</v>
      </c>
      <c r="O497">
        <v>3162.45</v>
      </c>
      <c r="P497" s="9">
        <v>46142.400868055556</v>
      </c>
    </row>
    <row r="498" spans="1:16" x14ac:dyDescent="0.25">
      <c r="A498" t="s">
        <v>8</v>
      </c>
      <c r="B498" s="4">
        <v>46168</v>
      </c>
      <c r="C498" t="s">
        <v>307</v>
      </c>
      <c r="D498">
        <v>58700</v>
      </c>
      <c r="E498" t="s">
        <v>26</v>
      </c>
      <c r="F498">
        <v>93.6</v>
      </c>
      <c r="G498">
        <v>24720</v>
      </c>
      <c r="H498">
        <v>31770</v>
      </c>
      <c r="I498">
        <v>34290</v>
      </c>
      <c r="J498">
        <v>31140</v>
      </c>
      <c r="K498">
        <v>105.5</v>
      </c>
      <c r="L498">
        <v>112.7</v>
      </c>
      <c r="M498">
        <v>89</v>
      </c>
      <c r="N498">
        <v>84.7</v>
      </c>
      <c r="O498">
        <v>93.1</v>
      </c>
      <c r="P498" s="9">
        <v>46148.455127314817</v>
      </c>
    </row>
    <row r="499" spans="1:16" x14ac:dyDescent="0.25">
      <c r="A499" t="s">
        <v>8</v>
      </c>
      <c r="B499" s="4">
        <v>46168</v>
      </c>
      <c r="C499" t="s">
        <v>308</v>
      </c>
      <c r="D499">
        <v>58700</v>
      </c>
      <c r="E499" t="s">
        <v>27</v>
      </c>
      <c r="F499">
        <v>3970.85</v>
      </c>
      <c r="G499">
        <v>0</v>
      </c>
      <c r="H499">
        <v>450</v>
      </c>
      <c r="I499">
        <v>450</v>
      </c>
      <c r="J499">
        <v>450</v>
      </c>
      <c r="K499">
        <v>0</v>
      </c>
      <c r="L499">
        <v>0</v>
      </c>
      <c r="M499">
        <v>0</v>
      </c>
      <c r="N499">
        <v>3970.85</v>
      </c>
      <c r="O499">
        <v>3289.2</v>
      </c>
      <c r="P499" s="9">
        <v>46142.400879629633</v>
      </c>
    </row>
    <row r="500" spans="1:16" x14ac:dyDescent="0.25">
      <c r="A500" t="s">
        <v>8</v>
      </c>
      <c r="B500" s="4">
        <v>46168</v>
      </c>
      <c r="C500" t="s">
        <v>309</v>
      </c>
      <c r="D500">
        <v>58800</v>
      </c>
      <c r="E500" t="s">
        <v>26</v>
      </c>
      <c r="F500">
        <v>89.5</v>
      </c>
      <c r="G500">
        <v>44850</v>
      </c>
      <c r="H500">
        <v>56190</v>
      </c>
      <c r="I500">
        <v>57030</v>
      </c>
      <c r="J500">
        <v>41010</v>
      </c>
      <c r="K500">
        <v>98.1</v>
      </c>
      <c r="L500">
        <v>106.95</v>
      </c>
      <c r="M500">
        <v>82.75</v>
      </c>
      <c r="N500">
        <v>79.099999999999994</v>
      </c>
      <c r="O500">
        <v>86.85</v>
      </c>
      <c r="P500" s="9">
        <v>46148.45417824074</v>
      </c>
    </row>
    <row r="501" spans="1:16" x14ac:dyDescent="0.25">
      <c r="A501" t="s">
        <v>8</v>
      </c>
      <c r="B501" s="4">
        <v>46168</v>
      </c>
      <c r="C501" t="s">
        <v>310</v>
      </c>
      <c r="D501">
        <v>58800</v>
      </c>
      <c r="E501" t="s">
        <v>27</v>
      </c>
      <c r="F501">
        <v>4027.15</v>
      </c>
      <c r="G501">
        <v>0</v>
      </c>
      <c r="H501">
        <v>120</v>
      </c>
      <c r="I501">
        <v>120</v>
      </c>
      <c r="J501">
        <v>120</v>
      </c>
      <c r="K501">
        <v>0</v>
      </c>
      <c r="L501">
        <v>0</v>
      </c>
      <c r="M501">
        <v>0</v>
      </c>
      <c r="N501">
        <v>4027.15</v>
      </c>
      <c r="O501">
        <v>3379.3</v>
      </c>
      <c r="P501" s="9">
        <v>46142.39744212963</v>
      </c>
    </row>
    <row r="502" spans="1:16" x14ac:dyDescent="0.25">
      <c r="A502" t="s">
        <v>8</v>
      </c>
      <c r="B502" s="4">
        <v>46168</v>
      </c>
      <c r="C502" t="s">
        <v>311</v>
      </c>
      <c r="D502">
        <v>58900</v>
      </c>
      <c r="E502" t="s">
        <v>26</v>
      </c>
      <c r="F502">
        <v>81.349999999999994</v>
      </c>
      <c r="G502">
        <v>16080</v>
      </c>
      <c r="H502">
        <v>34080</v>
      </c>
      <c r="I502">
        <v>38430</v>
      </c>
      <c r="J502">
        <v>33510</v>
      </c>
      <c r="K502">
        <v>98.25</v>
      </c>
      <c r="L502">
        <v>98.25</v>
      </c>
      <c r="M502">
        <v>76.7</v>
      </c>
      <c r="N502">
        <v>73.95</v>
      </c>
      <c r="O502">
        <v>80.400000000000006</v>
      </c>
      <c r="P502" s="9">
        <v>46148.454525462963</v>
      </c>
    </row>
    <row r="503" spans="1:16" x14ac:dyDescent="0.25">
      <c r="A503" t="s">
        <v>8</v>
      </c>
      <c r="B503" s="4">
        <v>46168</v>
      </c>
      <c r="C503" t="s">
        <v>312</v>
      </c>
      <c r="D503">
        <v>58900</v>
      </c>
      <c r="E503" t="s">
        <v>27</v>
      </c>
      <c r="F503">
        <v>3573.9</v>
      </c>
      <c r="G503">
        <v>0</v>
      </c>
      <c r="H503">
        <v>60</v>
      </c>
      <c r="I503">
        <v>60</v>
      </c>
      <c r="J503">
        <v>60</v>
      </c>
      <c r="K503">
        <v>0</v>
      </c>
      <c r="L503">
        <v>0</v>
      </c>
      <c r="M503">
        <v>0</v>
      </c>
      <c r="N503">
        <v>3573.9</v>
      </c>
      <c r="O503">
        <v>3511.8</v>
      </c>
      <c r="P503" s="9">
        <v>46146.528773148151</v>
      </c>
    </row>
    <row r="504" spans="1:16" x14ac:dyDescent="0.25">
      <c r="A504" t="s">
        <v>8</v>
      </c>
      <c r="B504" s="4">
        <v>46168</v>
      </c>
      <c r="C504" t="s">
        <v>313</v>
      </c>
      <c r="D504">
        <v>59000</v>
      </c>
      <c r="E504" t="s">
        <v>26</v>
      </c>
      <c r="F504">
        <v>75.400000000000006</v>
      </c>
      <c r="G504">
        <v>526140</v>
      </c>
      <c r="H504">
        <v>645990</v>
      </c>
      <c r="I504">
        <v>647610</v>
      </c>
      <c r="J504">
        <v>584550</v>
      </c>
      <c r="K504">
        <v>75.7</v>
      </c>
      <c r="L504">
        <v>92.9</v>
      </c>
      <c r="M504">
        <v>72</v>
      </c>
      <c r="N504">
        <v>69</v>
      </c>
      <c r="O504">
        <v>75.400000000000006</v>
      </c>
      <c r="P504" s="9">
        <v>46148.454837962963</v>
      </c>
    </row>
    <row r="505" spans="1:16" x14ac:dyDescent="0.25">
      <c r="A505" t="s">
        <v>8</v>
      </c>
      <c r="B505" s="4">
        <v>46168</v>
      </c>
      <c r="C505" t="s">
        <v>314</v>
      </c>
      <c r="D505">
        <v>59000</v>
      </c>
      <c r="E505" t="s">
        <v>27</v>
      </c>
      <c r="F505">
        <v>3659.3</v>
      </c>
      <c r="G505">
        <v>14490</v>
      </c>
      <c r="H505">
        <v>124170</v>
      </c>
      <c r="I505">
        <v>133140</v>
      </c>
      <c r="J505">
        <v>124170</v>
      </c>
      <c r="K505">
        <v>3600</v>
      </c>
      <c r="L505">
        <v>3775.05</v>
      </c>
      <c r="M505">
        <v>3487.7</v>
      </c>
      <c r="N505">
        <v>4207.8</v>
      </c>
      <c r="O505">
        <v>3706.05</v>
      </c>
      <c r="P505" s="9">
        <v>46148.452638888892</v>
      </c>
    </row>
    <row r="506" spans="1:16" x14ac:dyDescent="0.25">
      <c r="A506" t="s">
        <v>8</v>
      </c>
      <c r="B506" s="4">
        <v>46168</v>
      </c>
      <c r="C506" t="s">
        <v>315</v>
      </c>
      <c r="D506">
        <v>59100</v>
      </c>
      <c r="E506" t="s">
        <v>26</v>
      </c>
      <c r="F506">
        <v>69.75</v>
      </c>
      <c r="G506">
        <v>8730</v>
      </c>
      <c r="H506">
        <v>26670</v>
      </c>
      <c r="I506">
        <v>28410</v>
      </c>
      <c r="J506">
        <v>26670</v>
      </c>
      <c r="K506">
        <v>78.599999999999994</v>
      </c>
      <c r="L506">
        <v>82.45</v>
      </c>
      <c r="M506">
        <v>66.849999999999994</v>
      </c>
      <c r="N506">
        <v>64.75</v>
      </c>
      <c r="O506">
        <v>69.45</v>
      </c>
      <c r="P506" s="9">
        <v>46148.454907407409</v>
      </c>
    </row>
    <row r="507" spans="1:16" x14ac:dyDescent="0.25">
      <c r="A507" t="s">
        <v>8</v>
      </c>
      <c r="B507" s="4">
        <v>46168</v>
      </c>
      <c r="C507" t="s">
        <v>316</v>
      </c>
      <c r="D507">
        <v>59100</v>
      </c>
      <c r="E507" t="s">
        <v>27</v>
      </c>
      <c r="F507">
        <v>3746.65</v>
      </c>
      <c r="G507">
        <v>0</v>
      </c>
      <c r="H507">
        <v>390</v>
      </c>
      <c r="I507">
        <v>390</v>
      </c>
      <c r="J507">
        <v>390</v>
      </c>
      <c r="K507">
        <v>0</v>
      </c>
      <c r="L507">
        <v>0</v>
      </c>
      <c r="M507">
        <v>0</v>
      </c>
      <c r="N507">
        <v>3746.65</v>
      </c>
      <c r="O507">
        <v>3717.8</v>
      </c>
      <c r="P507" s="9">
        <v>46146.508946759262</v>
      </c>
    </row>
    <row r="508" spans="1:16" x14ac:dyDescent="0.25">
      <c r="A508" t="s">
        <v>8</v>
      </c>
      <c r="B508" s="4">
        <v>46168</v>
      </c>
      <c r="C508" t="s">
        <v>317</v>
      </c>
      <c r="D508">
        <v>59200</v>
      </c>
      <c r="E508" t="s">
        <v>26</v>
      </c>
      <c r="F508">
        <v>64.95</v>
      </c>
      <c r="G508">
        <v>16080</v>
      </c>
      <c r="H508">
        <v>40680</v>
      </c>
      <c r="I508">
        <v>41250</v>
      </c>
      <c r="J508">
        <v>39660</v>
      </c>
      <c r="K508">
        <v>71.849999999999994</v>
      </c>
      <c r="L508">
        <v>78.45</v>
      </c>
      <c r="M508">
        <v>61.55</v>
      </c>
      <c r="N508">
        <v>59.9</v>
      </c>
      <c r="O508">
        <v>64.55</v>
      </c>
      <c r="P508" s="9">
        <v>46148.453321759262</v>
      </c>
    </row>
    <row r="509" spans="1:16" x14ac:dyDescent="0.25">
      <c r="A509" t="s">
        <v>8</v>
      </c>
      <c r="B509" s="4">
        <v>46168</v>
      </c>
      <c r="C509" t="s">
        <v>318</v>
      </c>
      <c r="D509">
        <v>59200</v>
      </c>
      <c r="E509" t="s">
        <v>27</v>
      </c>
      <c r="F509">
        <v>3804.45</v>
      </c>
      <c r="G509">
        <v>30</v>
      </c>
      <c r="H509">
        <v>1260</v>
      </c>
      <c r="I509">
        <v>1260</v>
      </c>
      <c r="J509">
        <v>1260</v>
      </c>
      <c r="K509">
        <v>3804.45</v>
      </c>
      <c r="L509">
        <v>3804.45</v>
      </c>
      <c r="M509">
        <v>3804.45</v>
      </c>
      <c r="N509">
        <v>3723.05</v>
      </c>
      <c r="O509">
        <v>3476.1</v>
      </c>
      <c r="P509" s="9">
        <v>46148.431018518517</v>
      </c>
    </row>
    <row r="510" spans="1:16" x14ac:dyDescent="0.25">
      <c r="A510" t="s">
        <v>8</v>
      </c>
      <c r="B510" s="4">
        <v>46168</v>
      </c>
      <c r="C510" t="s">
        <v>319</v>
      </c>
      <c r="D510">
        <v>59300</v>
      </c>
      <c r="E510" t="s">
        <v>26</v>
      </c>
      <c r="F510">
        <v>61.05</v>
      </c>
      <c r="G510">
        <v>16350</v>
      </c>
      <c r="H510">
        <v>24330</v>
      </c>
      <c r="I510">
        <v>25710</v>
      </c>
      <c r="J510">
        <v>24150</v>
      </c>
      <c r="K510">
        <v>70.7</v>
      </c>
      <c r="L510">
        <v>75.599999999999994</v>
      </c>
      <c r="M510">
        <v>58.8</v>
      </c>
      <c r="N510">
        <v>56.6</v>
      </c>
      <c r="O510">
        <v>60.1</v>
      </c>
      <c r="P510" s="9">
        <v>46148.455231481479</v>
      </c>
    </row>
    <row r="511" spans="1:16" x14ac:dyDescent="0.25">
      <c r="A511" t="s">
        <v>8</v>
      </c>
      <c r="B511" s="4">
        <v>46168</v>
      </c>
      <c r="C511" t="s">
        <v>320</v>
      </c>
      <c r="D511">
        <v>59300</v>
      </c>
      <c r="E511" t="s">
        <v>27</v>
      </c>
      <c r="F511">
        <v>3164.65</v>
      </c>
      <c r="G511">
        <v>0</v>
      </c>
      <c r="H511">
        <v>1080</v>
      </c>
      <c r="I511">
        <v>1080</v>
      </c>
      <c r="J511">
        <v>1080</v>
      </c>
      <c r="K511">
        <v>0</v>
      </c>
      <c r="L511">
        <v>0</v>
      </c>
      <c r="M511">
        <v>0</v>
      </c>
      <c r="N511">
        <v>3164.65</v>
      </c>
      <c r="O511">
        <v>3823.4</v>
      </c>
      <c r="P511" s="9">
        <v>46140.463460648149</v>
      </c>
    </row>
    <row r="512" spans="1:16" x14ac:dyDescent="0.25">
      <c r="A512" t="s">
        <v>8</v>
      </c>
      <c r="B512" s="4">
        <v>46168</v>
      </c>
      <c r="C512" t="s">
        <v>321</v>
      </c>
      <c r="D512">
        <v>59400</v>
      </c>
      <c r="E512" t="s">
        <v>26</v>
      </c>
      <c r="F512">
        <v>55.9</v>
      </c>
      <c r="G512">
        <v>17160</v>
      </c>
      <c r="H512">
        <v>40770</v>
      </c>
      <c r="I512">
        <v>40770</v>
      </c>
      <c r="J512">
        <v>39240</v>
      </c>
      <c r="K512">
        <v>61.7</v>
      </c>
      <c r="L512">
        <v>69.400000000000006</v>
      </c>
      <c r="M512">
        <v>54.65</v>
      </c>
      <c r="N512">
        <v>52.85</v>
      </c>
      <c r="O512">
        <v>55.95</v>
      </c>
      <c r="P512" s="9">
        <v>46148.452141203707</v>
      </c>
    </row>
    <row r="513" spans="1:16" x14ac:dyDescent="0.25">
      <c r="A513" t="s">
        <v>8</v>
      </c>
      <c r="B513" s="4">
        <v>46168</v>
      </c>
      <c r="C513" t="s">
        <v>322</v>
      </c>
      <c r="D513">
        <v>59400</v>
      </c>
      <c r="E513" t="s">
        <v>27</v>
      </c>
      <c r="F513">
        <v>4259.75</v>
      </c>
      <c r="G513">
        <v>0</v>
      </c>
      <c r="H513">
        <v>330</v>
      </c>
      <c r="I513">
        <v>330</v>
      </c>
      <c r="J513">
        <v>330</v>
      </c>
      <c r="K513">
        <v>0</v>
      </c>
      <c r="L513">
        <v>0</v>
      </c>
      <c r="M513">
        <v>0</v>
      </c>
      <c r="N513">
        <v>4259.75</v>
      </c>
      <c r="O513">
        <v>3919.95</v>
      </c>
      <c r="P513" s="9">
        <v>46146.630324074074</v>
      </c>
    </row>
    <row r="514" spans="1:16" x14ac:dyDescent="0.25">
      <c r="A514" t="s">
        <v>8</v>
      </c>
      <c r="B514" s="4">
        <v>46168</v>
      </c>
      <c r="C514" t="s">
        <v>323</v>
      </c>
      <c r="D514">
        <v>59500</v>
      </c>
      <c r="E514" t="s">
        <v>26</v>
      </c>
      <c r="F514">
        <v>53.1</v>
      </c>
      <c r="G514">
        <v>242850</v>
      </c>
      <c r="H514">
        <v>233400</v>
      </c>
      <c r="I514">
        <v>233940</v>
      </c>
      <c r="J514">
        <v>219630</v>
      </c>
      <c r="K514">
        <v>58.45</v>
      </c>
      <c r="L514">
        <v>64.7</v>
      </c>
      <c r="M514">
        <v>50.75</v>
      </c>
      <c r="N514">
        <v>49.5</v>
      </c>
      <c r="O514">
        <v>52.8</v>
      </c>
      <c r="P514" s="9">
        <v>46148.455335648148</v>
      </c>
    </row>
    <row r="515" spans="1:16" x14ac:dyDescent="0.25">
      <c r="A515" t="s">
        <v>8</v>
      </c>
      <c r="B515" s="4">
        <v>46168</v>
      </c>
      <c r="C515" t="s">
        <v>324</v>
      </c>
      <c r="D515">
        <v>59500</v>
      </c>
      <c r="E515" t="s">
        <v>27</v>
      </c>
      <c r="F515">
        <v>4055</v>
      </c>
      <c r="G515">
        <v>570</v>
      </c>
      <c r="H515">
        <v>14640</v>
      </c>
      <c r="I515">
        <v>14640</v>
      </c>
      <c r="J515">
        <v>14430</v>
      </c>
      <c r="K515">
        <v>4100</v>
      </c>
      <c r="L515">
        <v>4100</v>
      </c>
      <c r="M515">
        <v>4055</v>
      </c>
      <c r="N515">
        <v>5037</v>
      </c>
      <c r="O515">
        <v>4182.5</v>
      </c>
      <c r="P515" s="9">
        <v>46148.412789351853</v>
      </c>
    </row>
    <row r="516" spans="1:16" x14ac:dyDescent="0.25">
      <c r="A516" t="s">
        <v>8</v>
      </c>
      <c r="B516" s="4">
        <v>46168</v>
      </c>
      <c r="C516" t="s">
        <v>325</v>
      </c>
      <c r="D516">
        <v>59600</v>
      </c>
      <c r="E516" t="s">
        <v>26</v>
      </c>
      <c r="F516">
        <v>49.8</v>
      </c>
      <c r="G516">
        <v>14370</v>
      </c>
      <c r="H516">
        <v>41940</v>
      </c>
      <c r="I516">
        <v>44550</v>
      </c>
      <c r="J516">
        <v>41220</v>
      </c>
      <c r="K516">
        <v>54.3</v>
      </c>
      <c r="L516">
        <v>59.3</v>
      </c>
      <c r="M516">
        <v>47.45</v>
      </c>
      <c r="N516">
        <v>46.7</v>
      </c>
      <c r="O516">
        <v>48.5</v>
      </c>
      <c r="P516" s="9">
        <v>46148.453784722224</v>
      </c>
    </row>
    <row r="517" spans="1:16" x14ac:dyDescent="0.25">
      <c r="A517" t="s">
        <v>8</v>
      </c>
      <c r="B517" s="4">
        <v>46168</v>
      </c>
      <c r="C517" t="s">
        <v>326</v>
      </c>
      <c r="D517">
        <v>59600</v>
      </c>
      <c r="E517" t="s">
        <v>27</v>
      </c>
      <c r="F517">
        <v>3627.55</v>
      </c>
      <c r="G517">
        <v>0</v>
      </c>
      <c r="H517">
        <v>780</v>
      </c>
      <c r="I517">
        <v>780</v>
      </c>
      <c r="J517">
        <v>780</v>
      </c>
      <c r="K517">
        <v>0</v>
      </c>
      <c r="L517">
        <v>0</v>
      </c>
      <c r="M517">
        <v>0</v>
      </c>
      <c r="N517">
        <v>3627.55</v>
      </c>
      <c r="O517">
        <v>4138.7</v>
      </c>
      <c r="P517" s="9">
        <v>46136.572013888886</v>
      </c>
    </row>
    <row r="518" spans="1:16" x14ac:dyDescent="0.25">
      <c r="A518" t="s">
        <v>8</v>
      </c>
      <c r="B518" s="4">
        <v>46168</v>
      </c>
      <c r="C518" t="s">
        <v>327</v>
      </c>
      <c r="D518">
        <v>59700</v>
      </c>
      <c r="E518" t="s">
        <v>26</v>
      </c>
      <c r="F518">
        <v>46.45</v>
      </c>
      <c r="G518">
        <v>13050</v>
      </c>
      <c r="H518">
        <v>18600</v>
      </c>
      <c r="I518">
        <v>20190</v>
      </c>
      <c r="J518">
        <v>18600</v>
      </c>
      <c r="K518">
        <v>53.85</v>
      </c>
      <c r="L518">
        <v>55.5</v>
      </c>
      <c r="M518">
        <v>44.8</v>
      </c>
      <c r="N518">
        <v>43.85</v>
      </c>
      <c r="O518">
        <v>45.3</v>
      </c>
      <c r="P518" s="9">
        <v>46148.455046296294</v>
      </c>
    </row>
    <row r="519" spans="1:16" x14ac:dyDescent="0.25">
      <c r="A519" t="s">
        <v>8</v>
      </c>
      <c r="B519" s="4">
        <v>46168</v>
      </c>
      <c r="C519" t="s">
        <v>328</v>
      </c>
      <c r="D519">
        <v>59700</v>
      </c>
      <c r="E519" t="s">
        <v>27</v>
      </c>
      <c r="F519">
        <v>3620</v>
      </c>
      <c r="G519">
        <v>0</v>
      </c>
      <c r="H519">
        <v>810</v>
      </c>
      <c r="I519">
        <v>810</v>
      </c>
      <c r="J519">
        <v>810</v>
      </c>
      <c r="K519">
        <v>0</v>
      </c>
      <c r="L519">
        <v>0</v>
      </c>
      <c r="M519">
        <v>0</v>
      </c>
      <c r="N519">
        <v>3620</v>
      </c>
      <c r="O519">
        <v>4285.1000000000004</v>
      </c>
      <c r="P519" s="9">
        <v>46141.443796296298</v>
      </c>
    </row>
    <row r="520" spans="1:16" x14ac:dyDescent="0.25">
      <c r="A520" t="s">
        <v>8</v>
      </c>
      <c r="B520" s="4">
        <v>46168</v>
      </c>
      <c r="C520" t="s">
        <v>329</v>
      </c>
      <c r="D520">
        <v>59800</v>
      </c>
      <c r="E520" t="s">
        <v>26</v>
      </c>
      <c r="F520">
        <v>43.05</v>
      </c>
      <c r="G520">
        <v>10980</v>
      </c>
      <c r="H520">
        <v>25260</v>
      </c>
      <c r="I520">
        <v>26730</v>
      </c>
      <c r="J520">
        <v>25260</v>
      </c>
      <c r="K520">
        <v>46.45</v>
      </c>
      <c r="L520">
        <v>50.2</v>
      </c>
      <c r="M520">
        <v>41.55</v>
      </c>
      <c r="N520">
        <v>39.950000000000003</v>
      </c>
      <c r="O520">
        <v>42.95</v>
      </c>
      <c r="P520" s="9">
        <v>46148.454710648148</v>
      </c>
    </row>
    <row r="521" spans="1:16" x14ac:dyDescent="0.25">
      <c r="A521" t="s">
        <v>8</v>
      </c>
      <c r="B521" s="4">
        <v>46168</v>
      </c>
      <c r="C521" t="s">
        <v>330</v>
      </c>
      <c r="D521">
        <v>59800</v>
      </c>
      <c r="E521" t="s">
        <v>27</v>
      </c>
      <c r="F521">
        <v>3280</v>
      </c>
      <c r="G521">
        <v>0</v>
      </c>
      <c r="H521">
        <v>1050</v>
      </c>
      <c r="I521">
        <v>1050</v>
      </c>
      <c r="J521">
        <v>1050</v>
      </c>
      <c r="K521">
        <v>0</v>
      </c>
      <c r="L521">
        <v>0</v>
      </c>
      <c r="M521">
        <v>0</v>
      </c>
      <c r="N521">
        <v>3280</v>
      </c>
      <c r="O521">
        <v>4344.1000000000004</v>
      </c>
      <c r="P521" s="9">
        <v>46139.602708333332</v>
      </c>
    </row>
    <row r="522" spans="1:16" x14ac:dyDescent="0.25">
      <c r="A522" t="s">
        <v>8</v>
      </c>
      <c r="B522" s="4">
        <v>46168</v>
      </c>
      <c r="C522" t="s">
        <v>331</v>
      </c>
      <c r="D522">
        <v>59900</v>
      </c>
      <c r="E522" t="s">
        <v>26</v>
      </c>
      <c r="F522">
        <v>40.35</v>
      </c>
      <c r="G522">
        <v>8280</v>
      </c>
      <c r="H522">
        <v>22890</v>
      </c>
      <c r="I522">
        <v>25170</v>
      </c>
      <c r="J522">
        <v>22890</v>
      </c>
      <c r="K522">
        <v>43.95</v>
      </c>
      <c r="L522">
        <v>46</v>
      </c>
      <c r="M522">
        <v>39.6</v>
      </c>
      <c r="N522">
        <v>37.9</v>
      </c>
      <c r="O522">
        <v>39.700000000000003</v>
      </c>
      <c r="P522" s="9">
        <v>46148.453726851854</v>
      </c>
    </row>
    <row r="523" spans="1:16" x14ac:dyDescent="0.25">
      <c r="A523" t="s">
        <v>8</v>
      </c>
      <c r="B523" s="4">
        <v>46168</v>
      </c>
      <c r="C523" t="s">
        <v>332</v>
      </c>
      <c r="D523">
        <v>59900</v>
      </c>
      <c r="E523" t="s">
        <v>27</v>
      </c>
      <c r="F523">
        <v>4065</v>
      </c>
      <c r="G523">
        <v>30</v>
      </c>
      <c r="H523">
        <v>630</v>
      </c>
      <c r="I523">
        <v>630</v>
      </c>
      <c r="J523">
        <v>630</v>
      </c>
      <c r="K523">
        <v>4065</v>
      </c>
      <c r="L523">
        <v>4065</v>
      </c>
      <c r="M523">
        <v>4065</v>
      </c>
      <c r="N523">
        <v>3649.85</v>
      </c>
      <c r="O523">
        <v>4526.6499999999996</v>
      </c>
      <c r="P523" s="9">
        <v>46148.405925925923</v>
      </c>
    </row>
    <row r="524" spans="1:16" x14ac:dyDescent="0.25">
      <c r="A524" t="s">
        <v>8</v>
      </c>
      <c r="B524" s="4">
        <v>46168</v>
      </c>
      <c r="C524" t="s">
        <v>333</v>
      </c>
      <c r="D524">
        <v>60000</v>
      </c>
      <c r="E524" t="s">
        <v>26</v>
      </c>
      <c r="F524">
        <v>37</v>
      </c>
      <c r="G524">
        <v>591810</v>
      </c>
      <c r="H524">
        <v>2303250</v>
      </c>
      <c r="I524">
        <v>2304300</v>
      </c>
      <c r="J524">
        <v>2266230</v>
      </c>
      <c r="K524">
        <v>39.85</v>
      </c>
      <c r="L524">
        <v>44.8</v>
      </c>
      <c r="M524">
        <v>36.5</v>
      </c>
      <c r="N524">
        <v>35.950000000000003</v>
      </c>
      <c r="O524">
        <v>37.200000000000003</v>
      </c>
      <c r="P524" s="9">
        <v>46148.454675925925</v>
      </c>
    </row>
    <row r="525" spans="1:16" x14ac:dyDescent="0.25">
      <c r="A525" t="s">
        <v>8</v>
      </c>
      <c r="B525" s="4">
        <v>46168</v>
      </c>
      <c r="C525" t="s">
        <v>334</v>
      </c>
      <c r="D525">
        <v>60000</v>
      </c>
      <c r="E525" t="s">
        <v>27</v>
      </c>
      <c r="F525">
        <v>4620</v>
      </c>
      <c r="G525">
        <v>28920</v>
      </c>
      <c r="H525">
        <v>1072530</v>
      </c>
      <c r="I525">
        <v>1072920</v>
      </c>
      <c r="J525">
        <v>1046670</v>
      </c>
      <c r="K525">
        <v>4485.6499999999996</v>
      </c>
      <c r="L525">
        <v>4706.7</v>
      </c>
      <c r="M525">
        <v>4451.75</v>
      </c>
      <c r="N525">
        <v>5176.2</v>
      </c>
      <c r="O525">
        <v>4662.55</v>
      </c>
      <c r="P525" s="9">
        <v>46148.45275462963</v>
      </c>
    </row>
    <row r="526" spans="1:16" x14ac:dyDescent="0.25">
      <c r="A526" t="s">
        <v>8</v>
      </c>
      <c r="B526" s="4">
        <v>46168</v>
      </c>
      <c r="C526" t="s">
        <v>335</v>
      </c>
      <c r="D526">
        <v>60100</v>
      </c>
      <c r="E526" t="s">
        <v>26</v>
      </c>
      <c r="F526">
        <v>35.6</v>
      </c>
      <c r="G526">
        <v>13200</v>
      </c>
      <c r="H526">
        <v>54990</v>
      </c>
      <c r="I526">
        <v>55050</v>
      </c>
      <c r="J526">
        <v>53130</v>
      </c>
      <c r="K526">
        <v>44.75</v>
      </c>
      <c r="L526">
        <v>44.75</v>
      </c>
      <c r="M526">
        <v>35.1</v>
      </c>
      <c r="N526">
        <v>33.950000000000003</v>
      </c>
      <c r="O526">
        <v>35</v>
      </c>
      <c r="P526" s="9">
        <v>46148.454560185186</v>
      </c>
    </row>
    <row r="527" spans="1:16" x14ac:dyDescent="0.25">
      <c r="A527" t="s">
        <v>8</v>
      </c>
      <c r="B527" s="4">
        <v>46168</v>
      </c>
      <c r="C527" t="s">
        <v>336</v>
      </c>
      <c r="D527">
        <v>60100</v>
      </c>
      <c r="E527" t="s">
        <v>27</v>
      </c>
      <c r="F527">
        <v>4892.5</v>
      </c>
      <c r="G527">
        <v>0</v>
      </c>
      <c r="H527">
        <v>1050</v>
      </c>
      <c r="I527">
        <v>1050</v>
      </c>
      <c r="J527">
        <v>1050</v>
      </c>
      <c r="K527">
        <v>0</v>
      </c>
      <c r="L527">
        <v>0</v>
      </c>
      <c r="M527">
        <v>0</v>
      </c>
      <c r="N527">
        <v>4892.5</v>
      </c>
      <c r="O527">
        <v>4609.55</v>
      </c>
      <c r="P527" s="9">
        <v>46146.591435185182</v>
      </c>
    </row>
    <row r="528" spans="1:16" x14ac:dyDescent="0.25">
      <c r="A528" t="s">
        <v>8</v>
      </c>
      <c r="B528" s="4">
        <v>46168</v>
      </c>
      <c r="C528" t="s">
        <v>337</v>
      </c>
      <c r="D528">
        <v>60200</v>
      </c>
      <c r="E528" t="s">
        <v>26</v>
      </c>
      <c r="F528">
        <v>32.65</v>
      </c>
      <c r="G528">
        <v>2760</v>
      </c>
      <c r="H528">
        <v>17130</v>
      </c>
      <c r="I528">
        <v>17190</v>
      </c>
      <c r="J528">
        <v>16800</v>
      </c>
      <c r="K528">
        <v>38.4</v>
      </c>
      <c r="L528">
        <v>38.549999999999997</v>
      </c>
      <c r="M528">
        <v>32.5</v>
      </c>
      <c r="N528">
        <v>32.299999999999997</v>
      </c>
      <c r="O528">
        <v>32.950000000000003</v>
      </c>
      <c r="P528" s="9">
        <v>46148.453981481478</v>
      </c>
    </row>
    <row r="529" spans="1:16" x14ac:dyDescent="0.25">
      <c r="A529" t="s">
        <v>8</v>
      </c>
      <c r="B529" s="4">
        <v>46168</v>
      </c>
      <c r="C529" t="s">
        <v>338</v>
      </c>
      <c r="D529">
        <v>60200</v>
      </c>
      <c r="E529" t="s">
        <v>27</v>
      </c>
      <c r="F529">
        <v>4220</v>
      </c>
      <c r="G529">
        <v>0</v>
      </c>
      <c r="H529">
        <v>1380</v>
      </c>
      <c r="I529">
        <v>1380</v>
      </c>
      <c r="J529">
        <v>1380</v>
      </c>
      <c r="K529">
        <v>0</v>
      </c>
      <c r="L529">
        <v>0</v>
      </c>
      <c r="M529">
        <v>0</v>
      </c>
      <c r="N529">
        <v>4220</v>
      </c>
      <c r="O529">
        <v>4490.45</v>
      </c>
      <c r="P529" s="9">
        <v>46140.62537037037</v>
      </c>
    </row>
    <row r="530" spans="1:16" x14ac:dyDescent="0.25">
      <c r="A530" t="s">
        <v>8</v>
      </c>
      <c r="B530" s="4">
        <v>46168</v>
      </c>
      <c r="C530" t="s">
        <v>339</v>
      </c>
      <c r="D530">
        <v>60300</v>
      </c>
      <c r="E530" t="s">
        <v>26</v>
      </c>
      <c r="F530">
        <v>31.9</v>
      </c>
      <c r="G530">
        <v>1770</v>
      </c>
      <c r="H530">
        <v>13680</v>
      </c>
      <c r="I530">
        <v>13860</v>
      </c>
      <c r="J530">
        <v>13680</v>
      </c>
      <c r="K530">
        <v>36.950000000000003</v>
      </c>
      <c r="L530">
        <v>36.950000000000003</v>
      </c>
      <c r="M530">
        <v>30</v>
      </c>
      <c r="N530">
        <v>30.7</v>
      </c>
      <c r="O530">
        <v>30.6</v>
      </c>
      <c r="P530" s="9">
        <v>46148.453217592592</v>
      </c>
    </row>
    <row r="531" spans="1:16" x14ac:dyDescent="0.25">
      <c r="A531" t="s">
        <v>8</v>
      </c>
      <c r="B531" s="4">
        <v>46168</v>
      </c>
      <c r="C531" t="s">
        <v>340</v>
      </c>
      <c r="D531">
        <v>60300</v>
      </c>
      <c r="E531" t="s">
        <v>27</v>
      </c>
      <c r="F531">
        <v>3930.55</v>
      </c>
      <c r="G531">
        <v>0</v>
      </c>
      <c r="H531">
        <v>810</v>
      </c>
      <c r="I531">
        <v>810</v>
      </c>
      <c r="J531">
        <v>810</v>
      </c>
      <c r="K531">
        <v>0</v>
      </c>
      <c r="L531">
        <v>0</v>
      </c>
      <c r="M531">
        <v>0</v>
      </c>
      <c r="N531">
        <v>3930.55</v>
      </c>
      <c r="O531">
        <v>4862.95</v>
      </c>
      <c r="P531" s="9">
        <v>46140.438634259262</v>
      </c>
    </row>
    <row r="532" spans="1:16" x14ac:dyDescent="0.25">
      <c r="A532" t="s">
        <v>8</v>
      </c>
      <c r="B532" s="4">
        <v>46168</v>
      </c>
      <c r="C532" t="s">
        <v>341</v>
      </c>
      <c r="D532">
        <v>60400</v>
      </c>
      <c r="E532" t="s">
        <v>26</v>
      </c>
      <c r="F532">
        <v>28.7</v>
      </c>
      <c r="G532">
        <v>6780</v>
      </c>
      <c r="H532">
        <v>10920</v>
      </c>
      <c r="I532">
        <v>11730</v>
      </c>
      <c r="J532">
        <v>9300</v>
      </c>
      <c r="K532">
        <v>33</v>
      </c>
      <c r="L532">
        <v>33.799999999999997</v>
      </c>
      <c r="M532">
        <v>28.15</v>
      </c>
      <c r="N532">
        <v>28.65</v>
      </c>
      <c r="O532">
        <v>28.6</v>
      </c>
      <c r="P532" s="9">
        <v>46148.45480324074</v>
      </c>
    </row>
    <row r="533" spans="1:16" x14ac:dyDescent="0.25">
      <c r="A533" t="s">
        <v>8</v>
      </c>
      <c r="B533" s="4">
        <v>46168</v>
      </c>
      <c r="C533" t="s">
        <v>342</v>
      </c>
      <c r="D533">
        <v>60400</v>
      </c>
      <c r="E533" t="s">
        <v>27</v>
      </c>
      <c r="F533">
        <v>4130</v>
      </c>
      <c r="G533">
        <v>0</v>
      </c>
      <c r="H533">
        <v>450</v>
      </c>
      <c r="I533">
        <v>450</v>
      </c>
      <c r="J533">
        <v>450</v>
      </c>
      <c r="K533">
        <v>0</v>
      </c>
      <c r="L533">
        <v>0</v>
      </c>
      <c r="M533">
        <v>0</v>
      </c>
      <c r="N533">
        <v>4130</v>
      </c>
      <c r="O533">
        <v>4941.95</v>
      </c>
      <c r="P533" s="9">
        <v>46139.5078125</v>
      </c>
    </row>
    <row r="534" spans="1:16" x14ac:dyDescent="0.25">
      <c r="A534" t="s">
        <v>8</v>
      </c>
      <c r="B534" s="4">
        <v>46168</v>
      </c>
      <c r="C534" t="s">
        <v>343</v>
      </c>
      <c r="D534">
        <v>60500</v>
      </c>
      <c r="E534" t="s">
        <v>26</v>
      </c>
      <c r="F534">
        <v>26.9</v>
      </c>
      <c r="G534">
        <v>116070</v>
      </c>
      <c r="H534">
        <v>211680</v>
      </c>
      <c r="I534">
        <v>217620</v>
      </c>
      <c r="J534">
        <v>195990</v>
      </c>
      <c r="K534">
        <v>29</v>
      </c>
      <c r="L534">
        <v>31.8</v>
      </c>
      <c r="M534">
        <v>26.35</v>
      </c>
      <c r="N534">
        <v>25.95</v>
      </c>
      <c r="O534">
        <v>26.65</v>
      </c>
      <c r="P534" s="9">
        <v>46148.454513888886</v>
      </c>
    </row>
    <row r="535" spans="1:16" x14ac:dyDescent="0.25">
      <c r="A535" t="s">
        <v>8</v>
      </c>
      <c r="B535" s="4">
        <v>46168</v>
      </c>
      <c r="C535" t="s">
        <v>344</v>
      </c>
      <c r="D535">
        <v>60500</v>
      </c>
      <c r="E535" t="s">
        <v>27</v>
      </c>
      <c r="F535">
        <v>5342.75</v>
      </c>
      <c r="G535">
        <v>0</v>
      </c>
      <c r="H535">
        <v>14280</v>
      </c>
      <c r="I535">
        <v>14280</v>
      </c>
      <c r="J535">
        <v>14280</v>
      </c>
      <c r="K535">
        <v>0</v>
      </c>
      <c r="L535">
        <v>0</v>
      </c>
      <c r="M535">
        <v>0</v>
      </c>
      <c r="N535">
        <v>5342.75</v>
      </c>
      <c r="O535">
        <v>5035.8</v>
      </c>
      <c r="P535" s="9">
        <v>46146.554120370369</v>
      </c>
    </row>
    <row r="536" spans="1:16" x14ac:dyDescent="0.25">
      <c r="A536" t="s">
        <v>8</v>
      </c>
      <c r="B536" s="4">
        <v>46168</v>
      </c>
      <c r="C536" t="s">
        <v>345</v>
      </c>
      <c r="D536">
        <v>60600</v>
      </c>
      <c r="E536" t="s">
        <v>26</v>
      </c>
      <c r="F536">
        <v>24.95</v>
      </c>
      <c r="G536">
        <v>2700</v>
      </c>
      <c r="H536">
        <v>7860</v>
      </c>
      <c r="I536">
        <v>8340</v>
      </c>
      <c r="J536">
        <v>7530</v>
      </c>
      <c r="K536">
        <v>26</v>
      </c>
      <c r="L536">
        <v>29.75</v>
      </c>
      <c r="M536">
        <v>24.95</v>
      </c>
      <c r="N536">
        <v>25.5</v>
      </c>
      <c r="O536">
        <v>25.1</v>
      </c>
      <c r="P536" s="9">
        <v>46148.449178240742</v>
      </c>
    </row>
    <row r="537" spans="1:16" x14ac:dyDescent="0.25">
      <c r="A537" t="s">
        <v>8</v>
      </c>
      <c r="B537" s="4">
        <v>46168</v>
      </c>
      <c r="C537" t="s">
        <v>346</v>
      </c>
      <c r="D537">
        <v>60600</v>
      </c>
      <c r="E537" t="s">
        <v>27</v>
      </c>
      <c r="F537">
        <v>5117.6000000000004</v>
      </c>
      <c r="G537">
        <v>0</v>
      </c>
      <c r="H537">
        <v>1050</v>
      </c>
      <c r="I537">
        <v>1050</v>
      </c>
      <c r="J537">
        <v>1050</v>
      </c>
      <c r="K537">
        <v>0</v>
      </c>
      <c r="L537">
        <v>0</v>
      </c>
      <c r="M537">
        <v>0</v>
      </c>
      <c r="N537">
        <v>5117.6000000000004</v>
      </c>
      <c r="O537">
        <v>5022.2</v>
      </c>
      <c r="P537" s="9">
        <v>46146.507905092592</v>
      </c>
    </row>
    <row r="538" spans="1:16" x14ac:dyDescent="0.25">
      <c r="A538" t="s">
        <v>8</v>
      </c>
      <c r="B538" s="4">
        <v>46168</v>
      </c>
      <c r="C538" t="s">
        <v>347</v>
      </c>
      <c r="D538">
        <v>60700</v>
      </c>
      <c r="E538" t="s">
        <v>26</v>
      </c>
      <c r="F538">
        <v>24.7</v>
      </c>
      <c r="G538">
        <v>7290</v>
      </c>
      <c r="H538">
        <v>11520</v>
      </c>
      <c r="I538">
        <v>12480</v>
      </c>
      <c r="J538">
        <v>11460</v>
      </c>
      <c r="K538">
        <v>25.5</v>
      </c>
      <c r="L538">
        <v>29.05</v>
      </c>
      <c r="M538">
        <v>23.05</v>
      </c>
      <c r="N538">
        <v>23.8</v>
      </c>
      <c r="O538">
        <v>23.75</v>
      </c>
      <c r="P538" s="9">
        <v>46148.454247685186</v>
      </c>
    </row>
    <row r="539" spans="1:16" x14ac:dyDescent="0.25">
      <c r="A539" t="s">
        <v>8</v>
      </c>
      <c r="B539" s="4">
        <v>46168</v>
      </c>
      <c r="C539" t="s">
        <v>348</v>
      </c>
      <c r="D539">
        <v>60700</v>
      </c>
      <c r="E539" t="s">
        <v>27</v>
      </c>
      <c r="F539">
        <v>4710.3999999999996</v>
      </c>
      <c r="G539">
        <v>0</v>
      </c>
      <c r="H539">
        <v>510</v>
      </c>
      <c r="I539">
        <v>510</v>
      </c>
      <c r="J539">
        <v>510</v>
      </c>
      <c r="K539">
        <v>0</v>
      </c>
      <c r="L539">
        <v>0</v>
      </c>
      <c r="M539">
        <v>0</v>
      </c>
      <c r="N539">
        <v>4710.3999999999996</v>
      </c>
      <c r="O539">
        <v>5214.5</v>
      </c>
      <c r="P539" s="9">
        <v>46141.636828703704</v>
      </c>
    </row>
    <row r="540" spans="1:16" x14ac:dyDescent="0.25">
      <c r="A540" t="s">
        <v>8</v>
      </c>
      <c r="B540" s="4">
        <v>46168</v>
      </c>
      <c r="C540" t="s">
        <v>349</v>
      </c>
      <c r="D540">
        <v>60800</v>
      </c>
      <c r="E540" t="s">
        <v>26</v>
      </c>
      <c r="F540">
        <v>22.4</v>
      </c>
      <c r="G540">
        <v>1170</v>
      </c>
      <c r="H540">
        <v>10260</v>
      </c>
      <c r="I540">
        <v>10260</v>
      </c>
      <c r="J540">
        <v>9720</v>
      </c>
      <c r="K540">
        <v>24.25</v>
      </c>
      <c r="L540">
        <v>24.55</v>
      </c>
      <c r="M540">
        <v>22.2</v>
      </c>
      <c r="N540">
        <v>22.4</v>
      </c>
      <c r="O540">
        <v>22.4</v>
      </c>
      <c r="P540" s="9">
        <v>46148.446921296294</v>
      </c>
    </row>
    <row r="541" spans="1:16" x14ac:dyDescent="0.25">
      <c r="A541" t="s">
        <v>8</v>
      </c>
      <c r="B541" s="4">
        <v>46168</v>
      </c>
      <c r="C541" t="s">
        <v>350</v>
      </c>
      <c r="D541">
        <v>60800</v>
      </c>
      <c r="E541" t="s">
        <v>27</v>
      </c>
      <c r="F541">
        <v>6000</v>
      </c>
      <c r="G541">
        <v>0</v>
      </c>
      <c r="H541">
        <v>240</v>
      </c>
      <c r="I541">
        <v>240</v>
      </c>
      <c r="J541">
        <v>240</v>
      </c>
      <c r="K541">
        <v>0</v>
      </c>
      <c r="L541">
        <v>0</v>
      </c>
      <c r="M541">
        <v>0</v>
      </c>
      <c r="N541">
        <v>6000</v>
      </c>
      <c r="O541">
        <v>5313.45</v>
      </c>
      <c r="P541" s="9">
        <v>46147.403229166666</v>
      </c>
    </row>
    <row r="542" spans="1:16" x14ac:dyDescent="0.25">
      <c r="A542" t="s">
        <v>8</v>
      </c>
      <c r="B542" s="4">
        <v>46168</v>
      </c>
      <c r="C542" t="s">
        <v>351</v>
      </c>
      <c r="D542">
        <v>60900</v>
      </c>
      <c r="E542" t="s">
        <v>26</v>
      </c>
      <c r="F542">
        <v>20.399999999999999</v>
      </c>
      <c r="G542">
        <v>2460</v>
      </c>
      <c r="H542">
        <v>7290</v>
      </c>
      <c r="I542">
        <v>7590</v>
      </c>
      <c r="J542">
        <v>7200</v>
      </c>
      <c r="K542">
        <v>22</v>
      </c>
      <c r="L542">
        <v>25.9</v>
      </c>
      <c r="M542">
        <v>20.399999999999999</v>
      </c>
      <c r="N542">
        <v>21.4</v>
      </c>
      <c r="O542">
        <v>20.7</v>
      </c>
      <c r="P542" s="9">
        <v>46148.453888888886</v>
      </c>
    </row>
    <row r="543" spans="1:16" x14ac:dyDescent="0.25">
      <c r="A543" t="s">
        <v>8</v>
      </c>
      <c r="B543" s="4">
        <v>46168</v>
      </c>
      <c r="C543" t="s">
        <v>352</v>
      </c>
      <c r="D543">
        <v>60900</v>
      </c>
      <c r="E543" t="s">
        <v>27</v>
      </c>
      <c r="F543">
        <v>7396.6</v>
      </c>
      <c r="G543">
        <v>0</v>
      </c>
      <c r="H543">
        <v>180</v>
      </c>
      <c r="I543">
        <v>180</v>
      </c>
      <c r="J543">
        <v>180</v>
      </c>
      <c r="K543">
        <v>0</v>
      </c>
      <c r="L543">
        <v>0</v>
      </c>
      <c r="M543">
        <v>0</v>
      </c>
      <c r="N543">
        <v>7396.6</v>
      </c>
      <c r="O543">
        <v>5377.05</v>
      </c>
      <c r="P543" s="9">
        <v>46105.594710648147</v>
      </c>
    </row>
    <row r="544" spans="1:16" x14ac:dyDescent="0.25">
      <c r="A544" t="s">
        <v>8</v>
      </c>
      <c r="B544" s="4">
        <v>46168</v>
      </c>
      <c r="C544" t="s">
        <v>353</v>
      </c>
      <c r="D544">
        <v>61000</v>
      </c>
      <c r="E544" t="s">
        <v>26</v>
      </c>
      <c r="F544">
        <v>20</v>
      </c>
      <c r="G544">
        <v>344430</v>
      </c>
      <c r="H544">
        <v>541050</v>
      </c>
      <c r="I544">
        <v>575310</v>
      </c>
      <c r="J544">
        <v>517530</v>
      </c>
      <c r="K544">
        <v>18.5</v>
      </c>
      <c r="L544">
        <v>24.05</v>
      </c>
      <c r="M544">
        <v>18.45</v>
      </c>
      <c r="N544">
        <v>19.55</v>
      </c>
      <c r="O544">
        <v>19.850000000000001</v>
      </c>
      <c r="P544" s="9">
        <v>46148.454745370371</v>
      </c>
    </row>
    <row r="545" spans="1:16" x14ac:dyDescent="0.25">
      <c r="A545" t="s">
        <v>8</v>
      </c>
      <c r="B545" s="4">
        <v>46168</v>
      </c>
      <c r="C545" t="s">
        <v>354</v>
      </c>
      <c r="D545">
        <v>61000</v>
      </c>
      <c r="E545" t="s">
        <v>27</v>
      </c>
      <c r="F545">
        <v>5503.95</v>
      </c>
      <c r="G545">
        <v>330</v>
      </c>
      <c r="H545">
        <v>69360</v>
      </c>
      <c r="I545">
        <v>69600</v>
      </c>
      <c r="J545">
        <v>69360</v>
      </c>
      <c r="K545">
        <v>5400.05</v>
      </c>
      <c r="L545">
        <v>5541</v>
      </c>
      <c r="M545">
        <v>5400</v>
      </c>
      <c r="N545">
        <v>6129.2</v>
      </c>
      <c r="O545">
        <v>5629.1</v>
      </c>
      <c r="P545" s="9">
        <v>46148.44734953704</v>
      </c>
    </row>
    <row r="546" spans="1:16" x14ac:dyDescent="0.25">
      <c r="A546" t="s">
        <v>8</v>
      </c>
      <c r="B546" s="4">
        <v>46168</v>
      </c>
      <c r="C546" t="s">
        <v>355</v>
      </c>
      <c r="D546">
        <v>61100</v>
      </c>
      <c r="E546" t="s">
        <v>26</v>
      </c>
      <c r="F546">
        <v>18.350000000000001</v>
      </c>
      <c r="G546">
        <v>3270</v>
      </c>
      <c r="H546">
        <v>8220</v>
      </c>
      <c r="I546">
        <v>8400</v>
      </c>
      <c r="J546">
        <v>7650</v>
      </c>
      <c r="K546">
        <v>19.899999999999999</v>
      </c>
      <c r="L546">
        <v>22.85</v>
      </c>
      <c r="M546">
        <v>18.350000000000001</v>
      </c>
      <c r="N546">
        <v>18.899999999999999</v>
      </c>
      <c r="O546">
        <v>18.350000000000001</v>
      </c>
      <c r="P546" s="9">
        <v>46148.453784722224</v>
      </c>
    </row>
    <row r="547" spans="1:16" x14ac:dyDescent="0.25">
      <c r="A547" t="s">
        <v>8</v>
      </c>
      <c r="B547" s="4">
        <v>46168</v>
      </c>
      <c r="C547" t="s">
        <v>356</v>
      </c>
      <c r="D547">
        <v>61100</v>
      </c>
      <c r="E547" t="s">
        <v>27</v>
      </c>
      <c r="F547">
        <v>8733.6</v>
      </c>
      <c r="G547">
        <v>0</v>
      </c>
      <c r="H547">
        <v>330</v>
      </c>
      <c r="I547">
        <v>330</v>
      </c>
      <c r="J547">
        <v>330</v>
      </c>
      <c r="K547">
        <v>0</v>
      </c>
      <c r="L547">
        <v>0</v>
      </c>
      <c r="M547">
        <v>0</v>
      </c>
      <c r="N547">
        <v>8733.6</v>
      </c>
      <c r="O547">
        <v>4497.45</v>
      </c>
      <c r="P547" s="9">
        <v>46104.543865740743</v>
      </c>
    </row>
    <row r="548" spans="1:16" x14ac:dyDescent="0.25">
      <c r="A548" t="s">
        <v>8</v>
      </c>
      <c r="B548" s="4">
        <v>46168</v>
      </c>
      <c r="C548" t="s">
        <v>357</v>
      </c>
      <c r="D548">
        <v>61200</v>
      </c>
      <c r="E548" t="s">
        <v>26</v>
      </c>
      <c r="F548">
        <v>18.7</v>
      </c>
      <c r="G548">
        <v>3900</v>
      </c>
      <c r="H548">
        <v>10260</v>
      </c>
      <c r="I548">
        <v>11250</v>
      </c>
      <c r="J548">
        <v>9510</v>
      </c>
      <c r="K548">
        <v>17.25</v>
      </c>
      <c r="L548">
        <v>20.45</v>
      </c>
      <c r="M548">
        <v>17.25</v>
      </c>
      <c r="N548">
        <v>18.350000000000001</v>
      </c>
      <c r="O548">
        <v>17.3</v>
      </c>
      <c r="P548" s="9">
        <v>46148.444537037038</v>
      </c>
    </row>
    <row r="549" spans="1:16" x14ac:dyDescent="0.25">
      <c r="A549" t="s">
        <v>8</v>
      </c>
      <c r="B549" s="4">
        <v>46168</v>
      </c>
      <c r="C549" t="s">
        <v>358</v>
      </c>
      <c r="D549">
        <v>61200</v>
      </c>
      <c r="E549" t="s">
        <v>27</v>
      </c>
      <c r="F549">
        <v>8804.9</v>
      </c>
      <c r="G549">
        <v>0</v>
      </c>
      <c r="H549">
        <v>240</v>
      </c>
      <c r="I549">
        <v>240</v>
      </c>
      <c r="J549">
        <v>240</v>
      </c>
      <c r="K549">
        <v>0</v>
      </c>
      <c r="L549">
        <v>0</v>
      </c>
      <c r="M549">
        <v>0</v>
      </c>
      <c r="N549">
        <v>8804.9</v>
      </c>
      <c r="O549">
        <v>4587.55</v>
      </c>
      <c r="P549" s="9">
        <v>46104.537974537037</v>
      </c>
    </row>
    <row r="550" spans="1:16" x14ac:dyDescent="0.25">
      <c r="A550" t="s">
        <v>8</v>
      </c>
      <c r="B550" s="4">
        <v>46168</v>
      </c>
      <c r="C550" t="s">
        <v>359</v>
      </c>
      <c r="D550">
        <v>61300</v>
      </c>
      <c r="E550" t="s">
        <v>26</v>
      </c>
      <c r="F550">
        <v>17.3</v>
      </c>
      <c r="G550">
        <v>1620</v>
      </c>
      <c r="H550">
        <v>7980</v>
      </c>
      <c r="I550">
        <v>7980</v>
      </c>
      <c r="J550">
        <v>7650</v>
      </c>
      <c r="K550">
        <v>16.2</v>
      </c>
      <c r="L550">
        <v>19.899999999999999</v>
      </c>
      <c r="M550">
        <v>16.2</v>
      </c>
      <c r="N550">
        <v>17.100000000000001</v>
      </c>
      <c r="O550">
        <v>17.3</v>
      </c>
      <c r="P550" s="9">
        <v>46148.453703703701</v>
      </c>
    </row>
    <row r="551" spans="1:16" x14ac:dyDescent="0.25">
      <c r="A551" t="s">
        <v>8</v>
      </c>
      <c r="B551" s="4">
        <v>46168</v>
      </c>
      <c r="C551" t="s">
        <v>360</v>
      </c>
      <c r="D551">
        <v>61300</v>
      </c>
      <c r="E551" t="s">
        <v>27</v>
      </c>
      <c r="F551">
        <v>3600</v>
      </c>
      <c r="G551">
        <v>0</v>
      </c>
      <c r="H551">
        <v>150</v>
      </c>
      <c r="I551">
        <v>150</v>
      </c>
      <c r="J551">
        <v>150</v>
      </c>
      <c r="K551">
        <v>0</v>
      </c>
      <c r="L551">
        <v>0</v>
      </c>
      <c r="M551">
        <v>0</v>
      </c>
      <c r="N551">
        <v>3600</v>
      </c>
      <c r="O551">
        <v>4907.8500000000004</v>
      </c>
      <c r="P551" s="9">
        <v>46134.478101851855</v>
      </c>
    </row>
    <row r="552" spans="1:16" x14ac:dyDescent="0.25">
      <c r="A552" t="s">
        <v>8</v>
      </c>
      <c r="B552" s="4">
        <v>46168</v>
      </c>
      <c r="C552" t="s">
        <v>361</v>
      </c>
      <c r="D552">
        <v>61400</v>
      </c>
      <c r="E552" t="s">
        <v>26</v>
      </c>
      <c r="F552">
        <v>16.45</v>
      </c>
      <c r="G552">
        <v>900</v>
      </c>
      <c r="H552">
        <v>3000</v>
      </c>
      <c r="I552">
        <v>3120</v>
      </c>
      <c r="J552">
        <v>3000</v>
      </c>
      <c r="K552">
        <v>19</v>
      </c>
      <c r="L552">
        <v>21.65</v>
      </c>
      <c r="M552">
        <v>15.6</v>
      </c>
      <c r="N552">
        <v>16.3</v>
      </c>
      <c r="O552">
        <v>15.45</v>
      </c>
      <c r="P552" s="9">
        <v>46148.448472222219</v>
      </c>
    </row>
    <row r="553" spans="1:16" x14ac:dyDescent="0.25">
      <c r="A553" t="s">
        <v>8</v>
      </c>
      <c r="B553" s="4">
        <v>46168</v>
      </c>
      <c r="C553" t="s">
        <v>362</v>
      </c>
      <c r="D553">
        <v>61400</v>
      </c>
      <c r="E553" t="s">
        <v>27</v>
      </c>
      <c r="F553">
        <v>6667.6</v>
      </c>
      <c r="G553">
        <v>0</v>
      </c>
      <c r="H553">
        <v>90</v>
      </c>
      <c r="I553">
        <v>90</v>
      </c>
      <c r="J553">
        <v>90</v>
      </c>
      <c r="K553">
        <v>0</v>
      </c>
      <c r="L553">
        <v>0</v>
      </c>
      <c r="M553">
        <v>0</v>
      </c>
      <c r="N553">
        <v>6667.6</v>
      </c>
      <c r="O553">
        <v>4720.7</v>
      </c>
      <c r="P553" s="9">
        <v>46101.494074074071</v>
      </c>
    </row>
    <row r="554" spans="1:16" x14ac:dyDescent="0.25">
      <c r="A554" t="s">
        <v>8</v>
      </c>
      <c r="B554" s="4">
        <v>46168</v>
      </c>
      <c r="C554" t="s">
        <v>363</v>
      </c>
      <c r="D554">
        <v>61500</v>
      </c>
      <c r="E554" t="s">
        <v>26</v>
      </c>
      <c r="F554">
        <v>14.9</v>
      </c>
      <c r="G554">
        <v>37470</v>
      </c>
      <c r="H554">
        <v>195360</v>
      </c>
      <c r="I554">
        <v>196710</v>
      </c>
      <c r="J554">
        <v>195270</v>
      </c>
      <c r="K554">
        <v>17.05</v>
      </c>
      <c r="L554">
        <v>18.45</v>
      </c>
      <c r="M554">
        <v>13.9</v>
      </c>
      <c r="N554">
        <v>15.05</v>
      </c>
      <c r="O554">
        <v>14.95</v>
      </c>
      <c r="P554" s="9">
        <v>46148.452164351853</v>
      </c>
    </row>
    <row r="555" spans="1:16" x14ac:dyDescent="0.25">
      <c r="A555" t="s">
        <v>8</v>
      </c>
      <c r="B555" s="4">
        <v>46168</v>
      </c>
      <c r="C555" t="s">
        <v>364</v>
      </c>
      <c r="D555">
        <v>61500</v>
      </c>
      <c r="E555" t="s">
        <v>27</v>
      </c>
      <c r="F555">
        <v>6320.75</v>
      </c>
      <c r="G555">
        <v>0</v>
      </c>
      <c r="H555">
        <v>5910</v>
      </c>
      <c r="I555">
        <v>5910</v>
      </c>
      <c r="J555">
        <v>5910</v>
      </c>
      <c r="K555">
        <v>0</v>
      </c>
      <c r="L555">
        <v>0</v>
      </c>
      <c r="M555">
        <v>0</v>
      </c>
      <c r="N555">
        <v>6320.75</v>
      </c>
      <c r="O555">
        <v>4859.6499999999996</v>
      </c>
      <c r="P555" s="9">
        <v>46146.554143518515</v>
      </c>
    </row>
    <row r="556" spans="1:16" x14ac:dyDescent="0.25">
      <c r="A556" t="s">
        <v>8</v>
      </c>
      <c r="B556" s="4">
        <v>46168</v>
      </c>
      <c r="C556" t="s">
        <v>365</v>
      </c>
      <c r="D556">
        <v>61600</v>
      </c>
      <c r="E556" t="s">
        <v>26</v>
      </c>
      <c r="F556">
        <v>14.7</v>
      </c>
      <c r="G556">
        <v>5580</v>
      </c>
      <c r="H556">
        <v>8010</v>
      </c>
      <c r="I556">
        <v>9450</v>
      </c>
      <c r="J556">
        <v>7980</v>
      </c>
      <c r="K556">
        <v>14</v>
      </c>
      <c r="L556">
        <v>16.899999999999999</v>
      </c>
      <c r="M556">
        <v>14</v>
      </c>
      <c r="N556">
        <v>14.5</v>
      </c>
      <c r="O556">
        <v>14</v>
      </c>
      <c r="P556" s="9">
        <v>46148.445543981485</v>
      </c>
    </row>
    <row r="557" spans="1:16" x14ac:dyDescent="0.25">
      <c r="A557" t="s">
        <v>8</v>
      </c>
      <c r="B557" s="4">
        <v>46168</v>
      </c>
      <c r="C557" t="s">
        <v>366</v>
      </c>
      <c r="D557">
        <v>61600</v>
      </c>
      <c r="E557" t="s">
        <v>27</v>
      </c>
      <c r="F557">
        <v>6857.3</v>
      </c>
      <c r="G557">
        <v>0</v>
      </c>
      <c r="H557">
        <v>90</v>
      </c>
      <c r="I557">
        <v>90</v>
      </c>
      <c r="J557">
        <v>90</v>
      </c>
      <c r="K557">
        <v>0</v>
      </c>
      <c r="L557">
        <v>0</v>
      </c>
      <c r="M557">
        <v>0</v>
      </c>
      <c r="N557">
        <v>6857.3</v>
      </c>
      <c r="O557">
        <v>4999.8</v>
      </c>
      <c r="P557" s="9">
        <v>46101.494074074071</v>
      </c>
    </row>
    <row r="558" spans="1:16" x14ac:dyDescent="0.25">
      <c r="A558" t="s">
        <v>8</v>
      </c>
      <c r="B558" s="4">
        <v>46168</v>
      </c>
      <c r="C558" t="s">
        <v>367</v>
      </c>
      <c r="D558">
        <v>61700</v>
      </c>
      <c r="E558" t="s">
        <v>26</v>
      </c>
      <c r="F558">
        <v>13.25</v>
      </c>
      <c r="G558">
        <v>1050</v>
      </c>
      <c r="H558">
        <v>3630</v>
      </c>
      <c r="I558">
        <v>3660</v>
      </c>
      <c r="J558">
        <v>3510</v>
      </c>
      <c r="K558">
        <v>12.5</v>
      </c>
      <c r="L558">
        <v>16.3</v>
      </c>
      <c r="M558">
        <v>12.5</v>
      </c>
      <c r="N558">
        <v>13.85</v>
      </c>
      <c r="O558">
        <v>13.7</v>
      </c>
      <c r="P558" s="9">
        <v>46148.451851851853</v>
      </c>
    </row>
    <row r="559" spans="1:16" x14ac:dyDescent="0.25">
      <c r="A559" t="s">
        <v>8</v>
      </c>
      <c r="B559" s="4">
        <v>46168</v>
      </c>
      <c r="C559" t="s">
        <v>368</v>
      </c>
      <c r="D559">
        <v>61700</v>
      </c>
      <c r="E559" t="s">
        <v>27</v>
      </c>
      <c r="F559">
        <v>6951.45</v>
      </c>
      <c r="G559">
        <v>0</v>
      </c>
      <c r="H559">
        <v>60</v>
      </c>
      <c r="I559">
        <v>60</v>
      </c>
      <c r="J559">
        <v>60</v>
      </c>
      <c r="K559">
        <v>0</v>
      </c>
      <c r="L559">
        <v>0</v>
      </c>
      <c r="M559">
        <v>0</v>
      </c>
      <c r="N559">
        <v>6951.45</v>
      </c>
      <c r="O559">
        <v>5090.25</v>
      </c>
      <c r="P559" s="9">
        <v>46101.494074074071</v>
      </c>
    </row>
    <row r="560" spans="1:16" x14ac:dyDescent="0.25">
      <c r="A560" t="s">
        <v>8</v>
      </c>
      <c r="B560" s="4">
        <v>46168</v>
      </c>
      <c r="C560" t="s">
        <v>369</v>
      </c>
      <c r="D560">
        <v>61800</v>
      </c>
      <c r="E560" t="s">
        <v>26</v>
      </c>
      <c r="F560">
        <v>13.35</v>
      </c>
      <c r="G560">
        <v>2610</v>
      </c>
      <c r="H560">
        <v>8460</v>
      </c>
      <c r="I560">
        <v>8730</v>
      </c>
      <c r="J560">
        <v>8340</v>
      </c>
      <c r="K560">
        <v>12.15</v>
      </c>
      <c r="L560">
        <v>16.75</v>
      </c>
      <c r="M560">
        <v>12.15</v>
      </c>
      <c r="N560">
        <v>13.45</v>
      </c>
      <c r="O560">
        <v>13</v>
      </c>
      <c r="P560" s="9">
        <v>46148.444212962961</v>
      </c>
    </row>
    <row r="561" spans="1:16" x14ac:dyDescent="0.25">
      <c r="A561" t="s">
        <v>8</v>
      </c>
      <c r="B561" s="4">
        <v>46168</v>
      </c>
      <c r="C561" t="s">
        <v>370</v>
      </c>
      <c r="D561">
        <v>61800</v>
      </c>
      <c r="E561" t="s">
        <v>27</v>
      </c>
      <c r="F561">
        <v>7051</v>
      </c>
      <c r="G561">
        <v>0</v>
      </c>
      <c r="H561">
        <v>60</v>
      </c>
      <c r="I561">
        <v>60</v>
      </c>
      <c r="J561">
        <v>60</v>
      </c>
      <c r="K561">
        <v>0</v>
      </c>
      <c r="L561">
        <v>0</v>
      </c>
      <c r="M561">
        <v>0</v>
      </c>
      <c r="N561">
        <v>7051</v>
      </c>
      <c r="O561">
        <v>5106.8500000000004</v>
      </c>
      <c r="P561" s="9">
        <v>46101.494131944448</v>
      </c>
    </row>
    <row r="562" spans="1:16" x14ac:dyDescent="0.25">
      <c r="A562" t="s">
        <v>8</v>
      </c>
      <c r="B562" s="4">
        <v>46168</v>
      </c>
      <c r="C562" t="s">
        <v>371</v>
      </c>
      <c r="D562">
        <v>61900</v>
      </c>
      <c r="E562" t="s">
        <v>26</v>
      </c>
      <c r="F562">
        <v>12.6</v>
      </c>
      <c r="G562">
        <v>1770</v>
      </c>
      <c r="H562">
        <v>6000</v>
      </c>
      <c r="I562">
        <v>6210</v>
      </c>
      <c r="J562">
        <v>5760</v>
      </c>
      <c r="K562">
        <v>14</v>
      </c>
      <c r="L562">
        <v>14.9</v>
      </c>
      <c r="M562">
        <v>12.3</v>
      </c>
      <c r="N562">
        <v>13.3</v>
      </c>
      <c r="O562">
        <v>12.25</v>
      </c>
      <c r="P562" s="9">
        <v>46148.454039351855</v>
      </c>
    </row>
    <row r="563" spans="1:16" x14ac:dyDescent="0.25">
      <c r="A563" t="s">
        <v>8</v>
      </c>
      <c r="B563" s="4">
        <v>46168</v>
      </c>
      <c r="C563" t="s">
        <v>372</v>
      </c>
      <c r="D563">
        <v>61900</v>
      </c>
      <c r="E563" t="s">
        <v>27</v>
      </c>
      <c r="F563">
        <v>7146.4</v>
      </c>
      <c r="G563">
        <v>0</v>
      </c>
      <c r="H563">
        <v>90</v>
      </c>
      <c r="I563">
        <v>90</v>
      </c>
      <c r="J563">
        <v>90</v>
      </c>
      <c r="K563">
        <v>0</v>
      </c>
      <c r="L563">
        <v>0</v>
      </c>
      <c r="M563">
        <v>0</v>
      </c>
      <c r="N563">
        <v>7146.4</v>
      </c>
      <c r="O563">
        <v>5177.95</v>
      </c>
      <c r="P563" s="9">
        <v>46101.49726851852</v>
      </c>
    </row>
    <row r="564" spans="1:16" x14ac:dyDescent="0.25">
      <c r="A564" t="s">
        <v>8</v>
      </c>
      <c r="B564" s="4">
        <v>46168</v>
      </c>
      <c r="C564" t="s">
        <v>373</v>
      </c>
      <c r="D564">
        <v>62000</v>
      </c>
      <c r="E564" t="s">
        <v>26</v>
      </c>
      <c r="F564">
        <v>11.95</v>
      </c>
      <c r="G564">
        <v>82260</v>
      </c>
      <c r="H564">
        <v>316560</v>
      </c>
      <c r="I564">
        <v>329670</v>
      </c>
      <c r="J564">
        <v>312900</v>
      </c>
      <c r="K564">
        <v>12.95</v>
      </c>
      <c r="L564">
        <v>14.25</v>
      </c>
      <c r="M564">
        <v>11.9</v>
      </c>
      <c r="N564">
        <v>12.6</v>
      </c>
      <c r="O564">
        <v>11.9</v>
      </c>
      <c r="P564" s="9">
        <v>46148.454710648148</v>
      </c>
    </row>
    <row r="565" spans="1:16" x14ac:dyDescent="0.25">
      <c r="A565" t="s">
        <v>8</v>
      </c>
      <c r="B565" s="4">
        <v>46168</v>
      </c>
      <c r="C565" t="s">
        <v>374</v>
      </c>
      <c r="D565">
        <v>62000</v>
      </c>
      <c r="E565" t="s">
        <v>27</v>
      </c>
      <c r="F565">
        <v>6520</v>
      </c>
      <c r="G565">
        <v>30</v>
      </c>
      <c r="H565">
        <v>71730</v>
      </c>
      <c r="I565">
        <v>71730</v>
      </c>
      <c r="J565">
        <v>71730</v>
      </c>
      <c r="K565">
        <v>6520</v>
      </c>
      <c r="L565">
        <v>6520</v>
      </c>
      <c r="M565">
        <v>6520</v>
      </c>
      <c r="N565">
        <v>7099.75</v>
      </c>
      <c r="O565">
        <v>6608.1</v>
      </c>
      <c r="P565" s="9">
        <v>46148.41133101852</v>
      </c>
    </row>
    <row r="566" spans="1:16" x14ac:dyDescent="0.25">
      <c r="A566" t="s">
        <v>8</v>
      </c>
      <c r="B566" s="4">
        <v>46168</v>
      </c>
      <c r="C566" t="s">
        <v>375</v>
      </c>
      <c r="D566">
        <v>62100</v>
      </c>
      <c r="E566" t="s">
        <v>26</v>
      </c>
      <c r="F566">
        <v>11.45</v>
      </c>
      <c r="G566">
        <v>1140</v>
      </c>
      <c r="H566">
        <v>3480</v>
      </c>
      <c r="I566">
        <v>3480</v>
      </c>
      <c r="J566">
        <v>3180</v>
      </c>
      <c r="K566">
        <v>13.45</v>
      </c>
      <c r="L566">
        <v>13.45</v>
      </c>
      <c r="M566">
        <v>10.6</v>
      </c>
      <c r="N566">
        <v>12.2</v>
      </c>
      <c r="O566">
        <v>10.65</v>
      </c>
      <c r="P566" s="9">
        <v>46148.449606481481</v>
      </c>
    </row>
    <row r="567" spans="1:16" x14ac:dyDescent="0.25">
      <c r="A567" t="s">
        <v>8</v>
      </c>
      <c r="B567" s="4">
        <v>46168</v>
      </c>
      <c r="C567" t="s">
        <v>376</v>
      </c>
      <c r="D567">
        <v>62100</v>
      </c>
      <c r="E567" t="s">
        <v>27</v>
      </c>
      <c r="F567">
        <v>7339.75</v>
      </c>
      <c r="G567">
        <v>0</v>
      </c>
      <c r="H567">
        <v>60</v>
      </c>
      <c r="I567">
        <v>60</v>
      </c>
      <c r="J567">
        <v>60</v>
      </c>
      <c r="K567">
        <v>0</v>
      </c>
      <c r="L567">
        <v>0</v>
      </c>
      <c r="M567">
        <v>0</v>
      </c>
      <c r="N567">
        <v>7339.75</v>
      </c>
      <c r="O567">
        <v>5957.85</v>
      </c>
      <c r="P567" s="9">
        <v>46101.49763888889</v>
      </c>
    </row>
    <row r="568" spans="1:16" x14ac:dyDescent="0.25">
      <c r="A568" t="s">
        <v>8</v>
      </c>
      <c r="B568" s="4">
        <v>46168</v>
      </c>
      <c r="C568" t="s">
        <v>377</v>
      </c>
      <c r="D568">
        <v>62200</v>
      </c>
      <c r="E568" t="s">
        <v>26</v>
      </c>
      <c r="F568">
        <v>11.95</v>
      </c>
      <c r="G568">
        <v>1470</v>
      </c>
      <c r="H568">
        <v>2880</v>
      </c>
      <c r="I568">
        <v>2970</v>
      </c>
      <c r="J568">
        <v>2580</v>
      </c>
      <c r="K568">
        <v>10.95</v>
      </c>
      <c r="L568">
        <v>12.5</v>
      </c>
      <c r="M568">
        <v>10.35</v>
      </c>
      <c r="N568">
        <v>10.65</v>
      </c>
      <c r="O568">
        <v>10.8</v>
      </c>
      <c r="P568" s="9">
        <v>46148.4530787037</v>
      </c>
    </row>
    <row r="569" spans="1:16" x14ac:dyDescent="0.25">
      <c r="A569" t="s">
        <v>8</v>
      </c>
      <c r="B569" s="4">
        <v>46168</v>
      </c>
      <c r="C569" t="s">
        <v>378</v>
      </c>
      <c r="D569">
        <v>62200</v>
      </c>
      <c r="E569" t="s">
        <v>27</v>
      </c>
      <c r="F569">
        <v>7439.85</v>
      </c>
      <c r="G569">
        <v>0</v>
      </c>
      <c r="H569">
        <v>60</v>
      </c>
      <c r="I569">
        <v>60</v>
      </c>
      <c r="J569">
        <v>60</v>
      </c>
      <c r="K569">
        <v>0</v>
      </c>
      <c r="L569">
        <v>0</v>
      </c>
      <c r="M569">
        <v>0</v>
      </c>
      <c r="N569">
        <v>7439.85</v>
      </c>
      <c r="O569">
        <v>6040.35</v>
      </c>
      <c r="P569" s="9">
        <v>46101.498506944445</v>
      </c>
    </row>
    <row r="570" spans="1:16" x14ac:dyDescent="0.25">
      <c r="A570" t="s">
        <v>8</v>
      </c>
      <c r="B570" s="4">
        <v>46168</v>
      </c>
      <c r="C570" t="s">
        <v>379</v>
      </c>
      <c r="D570">
        <v>62300</v>
      </c>
      <c r="E570" t="s">
        <v>26</v>
      </c>
      <c r="F570">
        <v>10.4</v>
      </c>
      <c r="G570">
        <v>90</v>
      </c>
      <c r="H570">
        <v>9840</v>
      </c>
      <c r="I570">
        <v>9840</v>
      </c>
      <c r="J570">
        <v>9840</v>
      </c>
      <c r="K570">
        <v>11.65</v>
      </c>
      <c r="L570">
        <v>11.65</v>
      </c>
      <c r="M570">
        <v>10.4</v>
      </c>
      <c r="N570">
        <v>10.95</v>
      </c>
      <c r="O570">
        <v>9.75</v>
      </c>
      <c r="P570" s="9">
        <v>46148.388553240744</v>
      </c>
    </row>
    <row r="571" spans="1:16" x14ac:dyDescent="0.25">
      <c r="A571" t="s">
        <v>8</v>
      </c>
      <c r="B571" s="4">
        <v>46168</v>
      </c>
      <c r="C571" t="s">
        <v>380</v>
      </c>
      <c r="D571">
        <v>62300</v>
      </c>
      <c r="E571" t="s">
        <v>27</v>
      </c>
      <c r="F571">
        <v>7536.9</v>
      </c>
      <c r="G571">
        <v>0</v>
      </c>
      <c r="H571">
        <v>60</v>
      </c>
      <c r="I571">
        <v>60</v>
      </c>
      <c r="J571">
        <v>60</v>
      </c>
      <c r="K571">
        <v>0</v>
      </c>
      <c r="L571">
        <v>0</v>
      </c>
      <c r="M571">
        <v>0</v>
      </c>
      <c r="N571">
        <v>7536.9</v>
      </c>
      <c r="O571">
        <v>6136.05</v>
      </c>
      <c r="P571" s="9">
        <v>46101.498553240737</v>
      </c>
    </row>
    <row r="572" spans="1:16" x14ac:dyDescent="0.25">
      <c r="A572" t="s">
        <v>8</v>
      </c>
      <c r="B572" s="4">
        <v>46168</v>
      </c>
      <c r="C572" t="s">
        <v>381</v>
      </c>
      <c r="D572">
        <v>62400</v>
      </c>
      <c r="E572" t="s">
        <v>26</v>
      </c>
      <c r="F572">
        <v>10.1</v>
      </c>
      <c r="G572">
        <v>2850</v>
      </c>
      <c r="H572">
        <v>5730</v>
      </c>
      <c r="I572">
        <v>5940</v>
      </c>
      <c r="J572">
        <v>5490</v>
      </c>
      <c r="K572">
        <v>11.25</v>
      </c>
      <c r="L572">
        <v>11.55</v>
      </c>
      <c r="M572">
        <v>8.5500000000000007</v>
      </c>
      <c r="N572">
        <v>10.3</v>
      </c>
      <c r="O572">
        <v>9.4</v>
      </c>
      <c r="P572" s="9">
        <v>46148.444479166668</v>
      </c>
    </row>
    <row r="573" spans="1:16" x14ac:dyDescent="0.25">
      <c r="A573" t="s">
        <v>8</v>
      </c>
      <c r="B573" s="4">
        <v>46168</v>
      </c>
      <c r="C573" t="s">
        <v>382</v>
      </c>
      <c r="D573">
        <v>62400</v>
      </c>
      <c r="E573" t="s">
        <v>27</v>
      </c>
      <c r="F573">
        <v>7634.05</v>
      </c>
      <c r="G573">
        <v>0</v>
      </c>
      <c r="H573">
        <v>60</v>
      </c>
      <c r="I573">
        <v>60</v>
      </c>
      <c r="J573">
        <v>60</v>
      </c>
      <c r="K573">
        <v>0</v>
      </c>
      <c r="L573">
        <v>0</v>
      </c>
      <c r="M573">
        <v>0</v>
      </c>
      <c r="N573">
        <v>7634.05</v>
      </c>
      <c r="O573">
        <v>6235.9</v>
      </c>
      <c r="P573" s="9">
        <v>46101.498553240737</v>
      </c>
    </row>
    <row r="574" spans="1:16" x14ac:dyDescent="0.25">
      <c r="A574" t="s">
        <v>8</v>
      </c>
      <c r="B574" s="4">
        <v>46168</v>
      </c>
      <c r="C574" t="s">
        <v>383</v>
      </c>
      <c r="D574">
        <v>62500</v>
      </c>
      <c r="E574" t="s">
        <v>26</v>
      </c>
      <c r="F574">
        <v>9.5500000000000007</v>
      </c>
      <c r="G574">
        <v>23520</v>
      </c>
      <c r="H574">
        <v>45930</v>
      </c>
      <c r="I574">
        <v>47580</v>
      </c>
      <c r="J574">
        <v>45930</v>
      </c>
      <c r="K574">
        <v>10.65</v>
      </c>
      <c r="L574">
        <v>11</v>
      </c>
      <c r="M574">
        <v>9.5500000000000007</v>
      </c>
      <c r="N574">
        <v>10</v>
      </c>
      <c r="O574">
        <v>9.5500000000000007</v>
      </c>
      <c r="P574" s="9">
        <v>46148.454525462963</v>
      </c>
    </row>
    <row r="575" spans="1:16" x14ac:dyDescent="0.25">
      <c r="A575" t="s">
        <v>8</v>
      </c>
      <c r="B575" s="4">
        <v>46168</v>
      </c>
      <c r="C575" t="s">
        <v>384</v>
      </c>
      <c r="D575">
        <v>62500</v>
      </c>
      <c r="E575" t="s">
        <v>27</v>
      </c>
      <c r="F575">
        <v>8000</v>
      </c>
      <c r="G575">
        <v>0</v>
      </c>
      <c r="H575">
        <v>2730</v>
      </c>
      <c r="I575">
        <v>2730</v>
      </c>
      <c r="J575">
        <v>2730</v>
      </c>
      <c r="K575">
        <v>0</v>
      </c>
      <c r="L575">
        <v>0</v>
      </c>
      <c r="M575">
        <v>0</v>
      </c>
      <c r="N575">
        <v>8000</v>
      </c>
      <c r="O575">
        <v>6356.9</v>
      </c>
      <c r="P575" s="9">
        <v>46147.468645833331</v>
      </c>
    </row>
    <row r="576" spans="1:16" x14ac:dyDescent="0.25">
      <c r="A576" t="s">
        <v>8</v>
      </c>
      <c r="B576" s="4">
        <v>46168</v>
      </c>
      <c r="C576" t="s">
        <v>385</v>
      </c>
      <c r="D576">
        <v>62600</v>
      </c>
      <c r="E576" t="s">
        <v>26</v>
      </c>
      <c r="F576">
        <v>9</v>
      </c>
      <c r="G576">
        <v>90</v>
      </c>
      <c r="H576">
        <v>2640</v>
      </c>
      <c r="I576">
        <v>2640</v>
      </c>
      <c r="J576">
        <v>2610</v>
      </c>
      <c r="K576">
        <v>9.4</v>
      </c>
      <c r="L576">
        <v>9.4</v>
      </c>
      <c r="M576">
        <v>9.25</v>
      </c>
      <c r="N576">
        <v>9.25</v>
      </c>
      <c r="O576">
        <v>9</v>
      </c>
      <c r="P576" s="9">
        <v>46148.444212962961</v>
      </c>
    </row>
    <row r="577" spans="1:16" x14ac:dyDescent="0.25">
      <c r="A577" t="s">
        <v>8</v>
      </c>
      <c r="B577" s="4">
        <v>46168</v>
      </c>
      <c r="C577" t="s">
        <v>386</v>
      </c>
      <c r="D577">
        <v>62600</v>
      </c>
      <c r="E577" t="s">
        <v>27</v>
      </c>
      <c r="F577">
        <v>9296.1</v>
      </c>
      <c r="G577">
        <v>0</v>
      </c>
      <c r="H577">
        <v>60</v>
      </c>
      <c r="I577">
        <v>60</v>
      </c>
      <c r="J577">
        <v>60</v>
      </c>
      <c r="K577">
        <v>0</v>
      </c>
      <c r="L577">
        <v>0</v>
      </c>
      <c r="M577">
        <v>0</v>
      </c>
      <c r="N577">
        <v>9296.1</v>
      </c>
      <c r="O577">
        <v>6468.25</v>
      </c>
      <c r="P577" s="9">
        <v>46105.614583333336</v>
      </c>
    </row>
    <row r="578" spans="1:16" x14ac:dyDescent="0.25">
      <c r="A578" t="s">
        <v>8</v>
      </c>
      <c r="B578" s="4">
        <v>46168</v>
      </c>
      <c r="C578" t="s">
        <v>387</v>
      </c>
      <c r="D578">
        <v>62700</v>
      </c>
      <c r="E578" t="s">
        <v>26</v>
      </c>
      <c r="F578">
        <v>8.5</v>
      </c>
      <c r="G578">
        <v>2040</v>
      </c>
      <c r="H578">
        <v>5670</v>
      </c>
      <c r="I578">
        <v>5700</v>
      </c>
      <c r="J578">
        <v>4710</v>
      </c>
      <c r="K578">
        <v>9.6</v>
      </c>
      <c r="L578">
        <v>12.5</v>
      </c>
      <c r="M578">
        <v>8.5</v>
      </c>
      <c r="N578">
        <v>8.6</v>
      </c>
      <c r="O578">
        <v>8.1999999999999993</v>
      </c>
      <c r="P578" s="9">
        <v>46148.452951388892</v>
      </c>
    </row>
    <row r="579" spans="1:16" x14ac:dyDescent="0.25">
      <c r="A579" t="s">
        <v>8</v>
      </c>
      <c r="B579" s="4">
        <v>46168</v>
      </c>
      <c r="C579" t="s">
        <v>388</v>
      </c>
      <c r="D579">
        <v>62700</v>
      </c>
      <c r="E579" t="s">
        <v>27</v>
      </c>
      <c r="F579">
        <v>9390.5</v>
      </c>
      <c r="G579">
        <v>0</v>
      </c>
      <c r="H579">
        <v>60</v>
      </c>
      <c r="I579">
        <v>60</v>
      </c>
      <c r="J579">
        <v>60</v>
      </c>
      <c r="K579">
        <v>0</v>
      </c>
      <c r="L579">
        <v>0</v>
      </c>
      <c r="M579">
        <v>0</v>
      </c>
      <c r="N579">
        <v>9390.5</v>
      </c>
      <c r="O579">
        <v>6548.15</v>
      </c>
      <c r="P579" s="9">
        <v>46105.614583333336</v>
      </c>
    </row>
    <row r="580" spans="1:16" x14ac:dyDescent="0.25">
      <c r="A580" t="s">
        <v>8</v>
      </c>
      <c r="B580" s="4">
        <v>46168</v>
      </c>
      <c r="C580" t="s">
        <v>389</v>
      </c>
      <c r="D580">
        <v>62800</v>
      </c>
      <c r="E580" t="s">
        <v>26</v>
      </c>
      <c r="F580">
        <v>8.4</v>
      </c>
      <c r="G580">
        <v>150</v>
      </c>
      <c r="H580">
        <v>2070</v>
      </c>
      <c r="I580">
        <v>2100</v>
      </c>
      <c r="J580">
        <v>2070</v>
      </c>
      <c r="K580">
        <v>9.4499999999999993</v>
      </c>
      <c r="L580">
        <v>9.4499999999999993</v>
      </c>
      <c r="M580">
        <v>7.55</v>
      </c>
      <c r="N580">
        <v>8.5500000000000007</v>
      </c>
      <c r="O580">
        <v>7.6</v>
      </c>
      <c r="P580" s="9">
        <v>46148.44736111111</v>
      </c>
    </row>
    <row r="581" spans="1:16" x14ac:dyDescent="0.25">
      <c r="A581" t="s">
        <v>8</v>
      </c>
      <c r="B581" s="4">
        <v>46168</v>
      </c>
      <c r="C581" t="s">
        <v>390</v>
      </c>
      <c r="D581">
        <v>62800</v>
      </c>
      <c r="E581" t="s">
        <v>27</v>
      </c>
      <c r="F581">
        <v>9484.15</v>
      </c>
      <c r="G581">
        <v>0</v>
      </c>
      <c r="H581">
        <v>60</v>
      </c>
      <c r="I581">
        <v>60</v>
      </c>
      <c r="J581">
        <v>60</v>
      </c>
      <c r="K581">
        <v>0</v>
      </c>
      <c r="L581">
        <v>0</v>
      </c>
      <c r="M581">
        <v>0</v>
      </c>
      <c r="N581">
        <v>9484.15</v>
      </c>
      <c r="O581">
        <v>6604.6</v>
      </c>
      <c r="P581" s="9">
        <v>46105.614583333336</v>
      </c>
    </row>
    <row r="582" spans="1:16" x14ac:dyDescent="0.25">
      <c r="A582" t="s">
        <v>8</v>
      </c>
      <c r="B582" s="4">
        <v>46168</v>
      </c>
      <c r="C582" t="s">
        <v>391</v>
      </c>
      <c r="D582">
        <v>62900</v>
      </c>
      <c r="E582" t="s">
        <v>26</v>
      </c>
      <c r="F582">
        <v>7.95</v>
      </c>
      <c r="G582">
        <v>960</v>
      </c>
      <c r="H582">
        <v>2160</v>
      </c>
      <c r="I582">
        <v>2160</v>
      </c>
      <c r="J582">
        <v>1770</v>
      </c>
      <c r="K582">
        <v>9.4499999999999993</v>
      </c>
      <c r="L582">
        <v>11.35</v>
      </c>
      <c r="M582">
        <v>7.9</v>
      </c>
      <c r="N582">
        <v>8.5</v>
      </c>
      <c r="O582">
        <v>7.45</v>
      </c>
      <c r="P582" s="9">
        <v>46148.445324074077</v>
      </c>
    </row>
    <row r="583" spans="1:16" x14ac:dyDescent="0.25">
      <c r="A583" t="s">
        <v>8</v>
      </c>
      <c r="B583" s="4">
        <v>46168</v>
      </c>
      <c r="C583" t="s">
        <v>392</v>
      </c>
      <c r="D583">
        <v>62900</v>
      </c>
      <c r="E583" t="s">
        <v>27</v>
      </c>
      <c r="F583">
        <v>6473.5</v>
      </c>
      <c r="G583">
        <v>0</v>
      </c>
      <c r="H583">
        <v>30</v>
      </c>
      <c r="I583">
        <v>30</v>
      </c>
      <c r="J583">
        <v>30</v>
      </c>
      <c r="K583">
        <v>0</v>
      </c>
      <c r="L583">
        <v>0</v>
      </c>
      <c r="M583">
        <v>0</v>
      </c>
      <c r="N583">
        <v>6473.5</v>
      </c>
      <c r="O583">
        <v>6432</v>
      </c>
      <c r="P583" s="9">
        <v>46128.642951388887</v>
      </c>
    </row>
    <row r="584" spans="1:16" x14ac:dyDescent="0.25">
      <c r="A584" t="s">
        <v>8</v>
      </c>
      <c r="B584" s="4">
        <v>46168</v>
      </c>
      <c r="C584" t="s">
        <v>393</v>
      </c>
      <c r="D584">
        <v>63000</v>
      </c>
      <c r="E584" t="s">
        <v>26</v>
      </c>
      <c r="F584">
        <v>7.1</v>
      </c>
      <c r="G584">
        <v>23580</v>
      </c>
      <c r="H584">
        <v>173130</v>
      </c>
      <c r="I584">
        <v>174240</v>
      </c>
      <c r="J584">
        <v>171930</v>
      </c>
      <c r="K584">
        <v>8.1</v>
      </c>
      <c r="L584">
        <v>8.6999999999999993</v>
      </c>
      <c r="M584">
        <v>7.3</v>
      </c>
      <c r="N584">
        <v>7.85</v>
      </c>
      <c r="O584">
        <v>7.25</v>
      </c>
      <c r="P584" s="9">
        <v>46148.454710648148</v>
      </c>
    </row>
    <row r="585" spans="1:16" x14ac:dyDescent="0.25">
      <c r="A585" t="s">
        <v>8</v>
      </c>
      <c r="B585" s="4">
        <v>46168</v>
      </c>
      <c r="C585" t="s">
        <v>394</v>
      </c>
      <c r="D585">
        <v>63000</v>
      </c>
      <c r="E585" t="s">
        <v>27</v>
      </c>
      <c r="F585">
        <v>7545</v>
      </c>
      <c r="G585">
        <v>60</v>
      </c>
      <c r="H585">
        <v>44400</v>
      </c>
      <c r="I585">
        <v>44430</v>
      </c>
      <c r="J585">
        <v>44400</v>
      </c>
      <c r="K585">
        <v>7425</v>
      </c>
      <c r="L585">
        <v>7545</v>
      </c>
      <c r="M585">
        <v>7425</v>
      </c>
      <c r="N585">
        <v>8060.25</v>
      </c>
      <c r="O585">
        <v>7590.3</v>
      </c>
      <c r="P585" s="9">
        <v>46148.434074074074</v>
      </c>
    </row>
    <row r="586" spans="1:16" x14ac:dyDescent="0.25">
      <c r="A586" t="s">
        <v>8</v>
      </c>
      <c r="B586" s="4">
        <v>46168</v>
      </c>
      <c r="C586" t="s">
        <v>395</v>
      </c>
      <c r="D586">
        <v>63100</v>
      </c>
      <c r="E586" t="s">
        <v>26</v>
      </c>
      <c r="F586">
        <v>7.3</v>
      </c>
      <c r="G586">
        <v>1530</v>
      </c>
      <c r="H586">
        <v>3810</v>
      </c>
      <c r="I586">
        <v>3960</v>
      </c>
      <c r="J586">
        <v>3600</v>
      </c>
      <c r="K586">
        <v>8.75</v>
      </c>
      <c r="L586">
        <v>9</v>
      </c>
      <c r="M586">
        <v>6.95</v>
      </c>
      <c r="N586">
        <v>7.85</v>
      </c>
      <c r="O586">
        <v>7.05</v>
      </c>
      <c r="P586" s="9">
        <v>46148.445787037039</v>
      </c>
    </row>
    <row r="587" spans="1:16" x14ac:dyDescent="0.25">
      <c r="A587" t="s">
        <v>8</v>
      </c>
      <c r="B587" s="4">
        <v>46168</v>
      </c>
      <c r="C587" t="s">
        <v>396</v>
      </c>
      <c r="D587">
        <v>63100</v>
      </c>
      <c r="E587" t="s">
        <v>27</v>
      </c>
      <c r="F587">
        <v>6570</v>
      </c>
      <c r="G587">
        <v>0</v>
      </c>
      <c r="H587">
        <v>90</v>
      </c>
      <c r="I587">
        <v>90</v>
      </c>
      <c r="J587">
        <v>90</v>
      </c>
      <c r="K587">
        <v>0</v>
      </c>
      <c r="L587">
        <v>0</v>
      </c>
      <c r="M587">
        <v>0</v>
      </c>
      <c r="N587">
        <v>6570</v>
      </c>
      <c r="O587">
        <v>6247.65</v>
      </c>
      <c r="P587" s="9">
        <v>46139.404826388891</v>
      </c>
    </row>
    <row r="588" spans="1:16" x14ac:dyDescent="0.25">
      <c r="A588" t="s">
        <v>8</v>
      </c>
      <c r="B588" s="4">
        <v>46168</v>
      </c>
      <c r="C588" t="s">
        <v>397</v>
      </c>
      <c r="D588">
        <v>63200</v>
      </c>
      <c r="E588" t="s">
        <v>26</v>
      </c>
      <c r="F588">
        <v>8.1</v>
      </c>
      <c r="G588">
        <v>0</v>
      </c>
      <c r="H588">
        <v>13530</v>
      </c>
      <c r="I588">
        <v>13530</v>
      </c>
      <c r="J588">
        <v>13530</v>
      </c>
      <c r="K588">
        <v>0</v>
      </c>
      <c r="L588">
        <v>0</v>
      </c>
      <c r="M588">
        <v>0</v>
      </c>
      <c r="N588">
        <v>8.1</v>
      </c>
      <c r="O588">
        <v>6.3</v>
      </c>
      <c r="P588" s="9">
        <v>46147.644444444442</v>
      </c>
    </row>
    <row r="589" spans="1:16" x14ac:dyDescent="0.25">
      <c r="A589" t="s">
        <v>8</v>
      </c>
      <c r="B589" s="4">
        <v>46168</v>
      </c>
      <c r="C589" t="s">
        <v>398</v>
      </c>
      <c r="D589">
        <v>63200</v>
      </c>
      <c r="E589" t="s">
        <v>27</v>
      </c>
      <c r="F589">
        <v>9865.35</v>
      </c>
      <c r="G589">
        <v>0</v>
      </c>
      <c r="H589">
        <v>60</v>
      </c>
      <c r="I589">
        <v>60</v>
      </c>
      <c r="J589">
        <v>60</v>
      </c>
      <c r="K589">
        <v>0</v>
      </c>
      <c r="L589">
        <v>0</v>
      </c>
      <c r="M589">
        <v>0</v>
      </c>
      <c r="N589">
        <v>9865.35</v>
      </c>
      <c r="O589">
        <v>6743.25</v>
      </c>
      <c r="P589" s="9">
        <v>46105.614594907405</v>
      </c>
    </row>
    <row r="590" spans="1:16" x14ac:dyDescent="0.25">
      <c r="A590" t="s">
        <v>8</v>
      </c>
      <c r="B590" s="4">
        <v>46168</v>
      </c>
      <c r="C590" t="s">
        <v>399</v>
      </c>
      <c r="D590">
        <v>63300</v>
      </c>
      <c r="E590" t="s">
        <v>26</v>
      </c>
      <c r="F590">
        <v>7.3</v>
      </c>
      <c r="G590">
        <v>0</v>
      </c>
      <c r="H590">
        <v>990</v>
      </c>
      <c r="I590">
        <v>990</v>
      </c>
      <c r="J590">
        <v>990</v>
      </c>
      <c r="K590">
        <v>0</v>
      </c>
      <c r="L590">
        <v>0</v>
      </c>
      <c r="M590">
        <v>0</v>
      </c>
      <c r="N590">
        <v>7.3</v>
      </c>
      <c r="O590">
        <v>5.95</v>
      </c>
      <c r="P590" s="9">
        <v>46147.636307870373</v>
      </c>
    </row>
    <row r="591" spans="1:16" x14ac:dyDescent="0.25">
      <c r="A591" t="s">
        <v>8</v>
      </c>
      <c r="B591" s="4">
        <v>46168</v>
      </c>
      <c r="C591" t="s">
        <v>400</v>
      </c>
      <c r="D591">
        <v>63300</v>
      </c>
      <c r="E591" t="s">
        <v>27</v>
      </c>
      <c r="F591">
        <v>9961</v>
      </c>
      <c r="G591">
        <v>0</v>
      </c>
      <c r="H591">
        <v>30</v>
      </c>
      <c r="I591">
        <v>30</v>
      </c>
      <c r="J591">
        <v>30</v>
      </c>
      <c r="K591">
        <v>0</v>
      </c>
      <c r="L591">
        <v>0</v>
      </c>
      <c r="M591">
        <v>0</v>
      </c>
      <c r="N591">
        <v>9961</v>
      </c>
      <c r="O591">
        <v>6846.65</v>
      </c>
      <c r="P591" s="9">
        <v>46105.614583333336</v>
      </c>
    </row>
    <row r="592" spans="1:16" x14ac:dyDescent="0.25">
      <c r="A592" t="s">
        <v>8</v>
      </c>
      <c r="B592" s="4">
        <v>46168</v>
      </c>
      <c r="C592" t="s">
        <v>401</v>
      </c>
      <c r="D592">
        <v>63400</v>
      </c>
      <c r="E592" t="s">
        <v>26</v>
      </c>
      <c r="F592">
        <v>6.65</v>
      </c>
      <c r="G592">
        <v>720</v>
      </c>
      <c r="H592">
        <v>2430</v>
      </c>
      <c r="I592">
        <v>2460</v>
      </c>
      <c r="J592">
        <v>2190</v>
      </c>
      <c r="K592">
        <v>7.5</v>
      </c>
      <c r="L592">
        <v>8.4</v>
      </c>
      <c r="M592">
        <v>4.5999999999999996</v>
      </c>
      <c r="N592">
        <v>6.9</v>
      </c>
      <c r="O592">
        <v>5.7</v>
      </c>
      <c r="P592" s="9">
        <v>46148.436099537037</v>
      </c>
    </row>
    <row r="593" spans="1:16" x14ac:dyDescent="0.25">
      <c r="A593" t="s">
        <v>8</v>
      </c>
      <c r="B593" s="4">
        <v>46168</v>
      </c>
      <c r="C593" t="s">
        <v>402</v>
      </c>
      <c r="D593">
        <v>63400</v>
      </c>
      <c r="E593" t="s">
        <v>27</v>
      </c>
      <c r="F593">
        <v>10056.450000000001</v>
      </c>
      <c r="G593">
        <v>0</v>
      </c>
      <c r="H593">
        <v>30</v>
      </c>
      <c r="I593">
        <v>30</v>
      </c>
      <c r="J593">
        <v>30</v>
      </c>
      <c r="K593">
        <v>0</v>
      </c>
      <c r="L593">
        <v>0</v>
      </c>
      <c r="M593">
        <v>0</v>
      </c>
      <c r="N593">
        <v>10056.450000000001</v>
      </c>
      <c r="O593">
        <v>6897.1</v>
      </c>
      <c r="P593" s="9">
        <v>46105.614583333336</v>
      </c>
    </row>
    <row r="594" spans="1:16" x14ac:dyDescent="0.25">
      <c r="A594" t="s">
        <v>8</v>
      </c>
      <c r="B594" s="4">
        <v>46168</v>
      </c>
      <c r="C594" t="s">
        <v>403</v>
      </c>
      <c r="D594">
        <v>63500</v>
      </c>
      <c r="E594" t="s">
        <v>26</v>
      </c>
      <c r="F594">
        <v>5.95</v>
      </c>
      <c r="G594">
        <v>1320</v>
      </c>
      <c r="H594">
        <v>17130</v>
      </c>
      <c r="I594">
        <v>17400</v>
      </c>
      <c r="J594">
        <v>17130</v>
      </c>
      <c r="K594">
        <v>6.8</v>
      </c>
      <c r="L594">
        <v>7</v>
      </c>
      <c r="M594">
        <v>6.2</v>
      </c>
      <c r="N594">
        <v>6.75</v>
      </c>
      <c r="O594">
        <v>6</v>
      </c>
      <c r="P594" s="9">
        <v>46148.4453587963</v>
      </c>
    </row>
    <row r="595" spans="1:16" x14ac:dyDescent="0.25">
      <c r="A595" t="s">
        <v>8</v>
      </c>
      <c r="B595" s="4">
        <v>46168</v>
      </c>
      <c r="C595" t="s">
        <v>404</v>
      </c>
      <c r="D595">
        <v>63500</v>
      </c>
      <c r="E595" t="s">
        <v>27</v>
      </c>
      <c r="F595">
        <v>7069.55</v>
      </c>
      <c r="G595">
        <v>0</v>
      </c>
      <c r="H595">
        <v>60</v>
      </c>
      <c r="I595">
        <v>60</v>
      </c>
      <c r="J595">
        <v>60</v>
      </c>
      <c r="K595">
        <v>0</v>
      </c>
      <c r="L595">
        <v>0</v>
      </c>
      <c r="M595">
        <v>0</v>
      </c>
      <c r="N595">
        <v>7069.55</v>
      </c>
      <c r="O595">
        <v>6578.65</v>
      </c>
      <c r="P595" s="9">
        <v>46128.642974537041</v>
      </c>
    </row>
    <row r="596" spans="1:16" x14ac:dyDescent="0.25">
      <c r="A596" t="s">
        <v>8</v>
      </c>
      <c r="B596" s="4">
        <v>46168</v>
      </c>
      <c r="C596" t="s">
        <v>405</v>
      </c>
      <c r="D596">
        <v>63600</v>
      </c>
      <c r="E596" t="s">
        <v>26</v>
      </c>
      <c r="F596">
        <v>6.65</v>
      </c>
      <c r="G596">
        <v>0</v>
      </c>
      <c r="H596">
        <v>2850</v>
      </c>
      <c r="I596">
        <v>2850</v>
      </c>
      <c r="J596">
        <v>2850</v>
      </c>
      <c r="K596">
        <v>0</v>
      </c>
      <c r="L596">
        <v>0</v>
      </c>
      <c r="M596">
        <v>0</v>
      </c>
      <c r="N596">
        <v>6.65</v>
      </c>
      <c r="O596">
        <v>5.4</v>
      </c>
      <c r="P596" s="9">
        <v>46147.640150462961</v>
      </c>
    </row>
    <row r="597" spans="1:16" x14ac:dyDescent="0.25">
      <c r="A597" t="s">
        <v>8</v>
      </c>
      <c r="B597" s="4">
        <v>46168</v>
      </c>
      <c r="C597" t="s">
        <v>406</v>
      </c>
      <c r="D597">
        <v>63600</v>
      </c>
      <c r="E597" t="s">
        <v>27</v>
      </c>
      <c r="F597">
        <v>10249.1</v>
      </c>
      <c r="G597">
        <v>0</v>
      </c>
      <c r="H597">
        <v>30</v>
      </c>
      <c r="I597">
        <v>30</v>
      </c>
      <c r="J597">
        <v>30</v>
      </c>
      <c r="K597">
        <v>0</v>
      </c>
      <c r="L597">
        <v>0</v>
      </c>
      <c r="M597">
        <v>0</v>
      </c>
      <c r="N597">
        <v>10249.1</v>
      </c>
      <c r="O597">
        <v>7299</v>
      </c>
      <c r="P597" s="9">
        <v>46105.614583333336</v>
      </c>
    </row>
    <row r="598" spans="1:16" x14ac:dyDescent="0.25">
      <c r="A598" t="s">
        <v>8</v>
      </c>
      <c r="B598" s="4">
        <v>46168</v>
      </c>
      <c r="C598" t="s">
        <v>407</v>
      </c>
      <c r="D598">
        <v>63700</v>
      </c>
      <c r="E598" t="s">
        <v>26</v>
      </c>
      <c r="F598">
        <v>6.7</v>
      </c>
      <c r="G598">
        <v>30</v>
      </c>
      <c r="H598">
        <v>570</v>
      </c>
      <c r="I598">
        <v>570</v>
      </c>
      <c r="J598">
        <v>570</v>
      </c>
      <c r="K598">
        <v>6.7</v>
      </c>
      <c r="L598">
        <v>6.7</v>
      </c>
      <c r="M598">
        <v>6.7</v>
      </c>
      <c r="N598">
        <v>6.7</v>
      </c>
      <c r="O598">
        <v>5.55</v>
      </c>
      <c r="P598" s="9">
        <v>46148.401377314818</v>
      </c>
    </row>
    <row r="599" spans="1:16" x14ac:dyDescent="0.25">
      <c r="A599" t="s">
        <v>8</v>
      </c>
      <c r="B599" s="4">
        <v>46168</v>
      </c>
      <c r="C599" t="s">
        <v>408</v>
      </c>
      <c r="D599">
        <v>63700</v>
      </c>
      <c r="E599" t="s">
        <v>27</v>
      </c>
      <c r="F599">
        <v>10342.9</v>
      </c>
      <c r="G599">
        <v>0</v>
      </c>
      <c r="H599">
        <v>30</v>
      </c>
      <c r="I599">
        <v>30</v>
      </c>
      <c r="J599">
        <v>30</v>
      </c>
      <c r="K599">
        <v>0</v>
      </c>
      <c r="L599">
        <v>0</v>
      </c>
      <c r="M599">
        <v>0</v>
      </c>
      <c r="N599">
        <v>10342.9</v>
      </c>
      <c r="O599">
        <v>7427.55</v>
      </c>
      <c r="P599" s="9">
        <v>46105.614583333336</v>
      </c>
    </row>
    <row r="600" spans="1:16" x14ac:dyDescent="0.25">
      <c r="A600" t="s">
        <v>8</v>
      </c>
      <c r="B600" s="4">
        <v>46168</v>
      </c>
      <c r="C600" t="s">
        <v>409</v>
      </c>
      <c r="D600">
        <v>63800</v>
      </c>
      <c r="E600" t="s">
        <v>26</v>
      </c>
      <c r="F600">
        <v>5.75</v>
      </c>
      <c r="G600">
        <v>0</v>
      </c>
      <c r="H600">
        <v>1740</v>
      </c>
      <c r="I600">
        <v>1740</v>
      </c>
      <c r="J600">
        <v>1740</v>
      </c>
      <c r="K600">
        <v>0</v>
      </c>
      <c r="L600">
        <v>0</v>
      </c>
      <c r="M600">
        <v>0</v>
      </c>
      <c r="N600">
        <v>5.75</v>
      </c>
      <c r="O600">
        <v>5.4</v>
      </c>
      <c r="P600" s="9">
        <v>46147.644062500003</v>
      </c>
    </row>
    <row r="601" spans="1:16" x14ac:dyDescent="0.25">
      <c r="A601" t="s">
        <v>8</v>
      </c>
      <c r="B601" s="4">
        <v>46168</v>
      </c>
      <c r="C601" t="s">
        <v>410</v>
      </c>
      <c r="D601">
        <v>63800</v>
      </c>
      <c r="E601" t="s">
        <v>27</v>
      </c>
      <c r="F601">
        <v>10438.4</v>
      </c>
      <c r="G601">
        <v>0</v>
      </c>
      <c r="H601">
        <v>30</v>
      </c>
      <c r="I601">
        <v>30</v>
      </c>
      <c r="J601">
        <v>30</v>
      </c>
      <c r="K601">
        <v>0</v>
      </c>
      <c r="L601">
        <v>0</v>
      </c>
      <c r="M601">
        <v>0</v>
      </c>
      <c r="N601">
        <v>10438.4</v>
      </c>
      <c r="O601">
        <v>7535</v>
      </c>
      <c r="P601" s="9">
        <v>46105.614583333336</v>
      </c>
    </row>
    <row r="602" spans="1:16" x14ac:dyDescent="0.25">
      <c r="A602" t="s">
        <v>8</v>
      </c>
      <c r="B602" s="4">
        <v>46168</v>
      </c>
      <c r="C602" t="s">
        <v>411</v>
      </c>
      <c r="D602">
        <v>63900</v>
      </c>
      <c r="E602" t="s">
        <v>26</v>
      </c>
      <c r="F602">
        <v>5.25</v>
      </c>
      <c r="G602">
        <v>3690</v>
      </c>
      <c r="H602">
        <v>3390</v>
      </c>
      <c r="I602">
        <v>3390</v>
      </c>
      <c r="J602">
        <v>1170</v>
      </c>
      <c r="K602">
        <v>6.2</v>
      </c>
      <c r="L602">
        <v>8.1</v>
      </c>
      <c r="M602">
        <v>5</v>
      </c>
      <c r="N602">
        <v>6.2</v>
      </c>
      <c r="O602">
        <v>5.0999999999999996</v>
      </c>
      <c r="P602" s="9">
        <v>46148.449884259258</v>
      </c>
    </row>
    <row r="603" spans="1:16" x14ac:dyDescent="0.25">
      <c r="A603" t="s">
        <v>8</v>
      </c>
      <c r="B603" s="4">
        <v>46168</v>
      </c>
      <c r="C603" t="s">
        <v>412</v>
      </c>
      <c r="D603">
        <v>63900</v>
      </c>
      <c r="E603" t="s">
        <v>27</v>
      </c>
      <c r="F603">
        <v>10549.5</v>
      </c>
      <c r="G603">
        <v>0</v>
      </c>
      <c r="H603">
        <v>30</v>
      </c>
      <c r="I603">
        <v>30</v>
      </c>
      <c r="J603">
        <v>30</v>
      </c>
      <c r="K603">
        <v>0</v>
      </c>
      <c r="L603">
        <v>0</v>
      </c>
      <c r="M603">
        <v>0</v>
      </c>
      <c r="N603">
        <v>10549.5</v>
      </c>
      <c r="O603">
        <v>7623.3</v>
      </c>
      <c r="P603" s="9">
        <v>46105.614583333336</v>
      </c>
    </row>
    <row r="604" spans="1:16" x14ac:dyDescent="0.25">
      <c r="A604" t="s">
        <v>8</v>
      </c>
      <c r="B604" s="4">
        <v>46168</v>
      </c>
      <c r="C604" t="s">
        <v>413</v>
      </c>
      <c r="D604">
        <v>64000</v>
      </c>
      <c r="E604" t="s">
        <v>26</v>
      </c>
      <c r="F604">
        <v>4.3</v>
      </c>
      <c r="G604">
        <v>38790</v>
      </c>
      <c r="H604">
        <v>142380</v>
      </c>
      <c r="I604">
        <v>142380</v>
      </c>
      <c r="J604">
        <v>136290</v>
      </c>
      <c r="K604">
        <v>5.15</v>
      </c>
      <c r="L604">
        <v>5.3</v>
      </c>
      <c r="M604">
        <v>4.4000000000000004</v>
      </c>
      <c r="N604">
        <v>5.05</v>
      </c>
      <c r="O604">
        <v>4.3499999999999996</v>
      </c>
      <c r="P604" s="9">
        <v>46148.454050925924</v>
      </c>
    </row>
    <row r="605" spans="1:16" x14ac:dyDescent="0.25">
      <c r="A605" t="s">
        <v>8</v>
      </c>
      <c r="B605" s="4">
        <v>46168</v>
      </c>
      <c r="C605" t="s">
        <v>414</v>
      </c>
      <c r="D605">
        <v>64000</v>
      </c>
      <c r="E605" t="s">
        <v>27</v>
      </c>
      <c r="F605">
        <v>8123.4</v>
      </c>
      <c r="G605">
        <v>0</v>
      </c>
      <c r="H605">
        <v>25860</v>
      </c>
      <c r="I605">
        <v>25860</v>
      </c>
      <c r="J605">
        <v>25860</v>
      </c>
      <c r="K605">
        <v>0</v>
      </c>
      <c r="L605">
        <v>0</v>
      </c>
      <c r="M605">
        <v>0</v>
      </c>
      <c r="N605">
        <v>8123.4</v>
      </c>
      <c r="O605">
        <v>8504.25</v>
      </c>
      <c r="P605" s="9">
        <v>46140.642361111109</v>
      </c>
    </row>
    <row r="606" spans="1:16" x14ac:dyDescent="0.25">
      <c r="A606" t="s">
        <v>8</v>
      </c>
      <c r="B606" s="4">
        <v>46168</v>
      </c>
      <c r="C606" t="s">
        <v>415</v>
      </c>
      <c r="D606">
        <v>64100</v>
      </c>
      <c r="E606" t="s">
        <v>26</v>
      </c>
      <c r="F606">
        <v>5.2</v>
      </c>
      <c r="G606">
        <v>510</v>
      </c>
      <c r="H606">
        <v>510</v>
      </c>
      <c r="I606">
        <v>510</v>
      </c>
      <c r="J606">
        <v>450</v>
      </c>
      <c r="K606">
        <v>4.3</v>
      </c>
      <c r="L606">
        <v>5.2</v>
      </c>
      <c r="M606">
        <v>4.3</v>
      </c>
      <c r="N606">
        <v>5.2</v>
      </c>
      <c r="O606">
        <v>4.5</v>
      </c>
      <c r="P606" s="9">
        <v>46148.41747685185</v>
      </c>
    </row>
    <row r="607" spans="1:16" x14ac:dyDescent="0.25">
      <c r="A607" t="s">
        <v>8</v>
      </c>
      <c r="B607" s="4">
        <v>46168</v>
      </c>
      <c r="C607" t="s">
        <v>416</v>
      </c>
      <c r="D607">
        <v>64100</v>
      </c>
      <c r="E607" t="s">
        <v>27</v>
      </c>
      <c r="F607">
        <v>10727.5</v>
      </c>
      <c r="G607">
        <v>0</v>
      </c>
      <c r="H607">
        <v>30</v>
      </c>
      <c r="I607">
        <v>30</v>
      </c>
      <c r="J607">
        <v>30</v>
      </c>
      <c r="K607">
        <v>0</v>
      </c>
      <c r="L607">
        <v>0</v>
      </c>
      <c r="M607">
        <v>0</v>
      </c>
      <c r="N607">
        <v>10727.5</v>
      </c>
      <c r="O607">
        <v>7768.45</v>
      </c>
      <c r="P607" s="9">
        <v>46105.614583333336</v>
      </c>
    </row>
    <row r="608" spans="1:16" x14ac:dyDescent="0.25">
      <c r="A608" t="s">
        <v>8</v>
      </c>
      <c r="B608" s="4">
        <v>46168</v>
      </c>
      <c r="C608" t="s">
        <v>417</v>
      </c>
      <c r="D608">
        <v>64200</v>
      </c>
      <c r="E608" t="s">
        <v>26</v>
      </c>
      <c r="F608">
        <v>5</v>
      </c>
      <c r="G608">
        <v>600</v>
      </c>
      <c r="H608">
        <v>8340</v>
      </c>
      <c r="I608">
        <v>8370</v>
      </c>
      <c r="J608">
        <v>8040</v>
      </c>
      <c r="K608">
        <v>6</v>
      </c>
      <c r="L608">
        <v>6</v>
      </c>
      <c r="M608">
        <v>4.5</v>
      </c>
      <c r="N608">
        <v>5.05</v>
      </c>
      <c r="O608">
        <v>4.5</v>
      </c>
      <c r="P608" s="9">
        <v>46148.447638888887</v>
      </c>
    </row>
    <row r="609" spans="1:16" x14ac:dyDescent="0.25">
      <c r="A609" t="s">
        <v>8</v>
      </c>
      <c r="B609" s="4">
        <v>46168</v>
      </c>
      <c r="C609" t="s">
        <v>418</v>
      </c>
      <c r="D609">
        <v>64200</v>
      </c>
      <c r="E609" t="s">
        <v>27</v>
      </c>
      <c r="F609">
        <v>10822.75</v>
      </c>
      <c r="G609">
        <v>0</v>
      </c>
      <c r="H609">
        <v>30</v>
      </c>
      <c r="I609">
        <v>30</v>
      </c>
      <c r="J609">
        <v>30</v>
      </c>
      <c r="K609">
        <v>0</v>
      </c>
      <c r="L609">
        <v>0</v>
      </c>
      <c r="M609">
        <v>0</v>
      </c>
      <c r="N609">
        <v>10822.75</v>
      </c>
      <c r="O609">
        <v>7852.7</v>
      </c>
      <c r="P609" s="9">
        <v>46105.614583333336</v>
      </c>
    </row>
    <row r="610" spans="1:16" x14ac:dyDescent="0.25">
      <c r="A610" t="s">
        <v>8</v>
      </c>
      <c r="B610" s="4">
        <v>46168</v>
      </c>
      <c r="C610" t="s">
        <v>419</v>
      </c>
      <c r="D610">
        <v>64300</v>
      </c>
      <c r="E610" t="s">
        <v>26</v>
      </c>
      <c r="F610">
        <v>5</v>
      </c>
      <c r="G610">
        <v>0</v>
      </c>
      <c r="H610">
        <v>330</v>
      </c>
      <c r="I610">
        <v>330</v>
      </c>
      <c r="J610">
        <v>330</v>
      </c>
      <c r="K610">
        <v>0</v>
      </c>
      <c r="L610">
        <v>0</v>
      </c>
      <c r="M610">
        <v>0</v>
      </c>
      <c r="N610">
        <v>5</v>
      </c>
      <c r="O610">
        <v>4.4000000000000004</v>
      </c>
      <c r="P610" s="9">
        <v>46147.643854166665</v>
      </c>
    </row>
    <row r="611" spans="1:16" x14ac:dyDescent="0.25">
      <c r="A611" t="s">
        <v>8</v>
      </c>
      <c r="B611" s="4">
        <v>46168</v>
      </c>
      <c r="C611" t="s">
        <v>420</v>
      </c>
      <c r="D611">
        <v>64300</v>
      </c>
      <c r="E611" t="s">
        <v>27</v>
      </c>
      <c r="F611">
        <v>10935.2</v>
      </c>
      <c r="G611">
        <v>0</v>
      </c>
      <c r="H611">
        <v>30</v>
      </c>
      <c r="I611">
        <v>30</v>
      </c>
      <c r="J611">
        <v>30</v>
      </c>
      <c r="K611">
        <v>0</v>
      </c>
      <c r="L611">
        <v>0</v>
      </c>
      <c r="M611">
        <v>0</v>
      </c>
      <c r="N611">
        <v>10935.2</v>
      </c>
      <c r="O611">
        <v>7983.1</v>
      </c>
      <c r="P611" s="9">
        <v>46105.614583333336</v>
      </c>
    </row>
    <row r="612" spans="1:16" x14ac:dyDescent="0.25">
      <c r="A612" t="s">
        <v>8</v>
      </c>
      <c r="B612" s="4">
        <v>46168</v>
      </c>
      <c r="C612" t="s">
        <v>421</v>
      </c>
      <c r="D612">
        <v>64400</v>
      </c>
      <c r="E612" t="s">
        <v>26</v>
      </c>
      <c r="F612">
        <v>4.4000000000000004</v>
      </c>
      <c r="G612">
        <v>960</v>
      </c>
      <c r="H612">
        <v>5340</v>
      </c>
      <c r="I612">
        <v>5370</v>
      </c>
      <c r="J612">
        <v>4590</v>
      </c>
      <c r="K612">
        <v>5.85</v>
      </c>
      <c r="L612">
        <v>6.55</v>
      </c>
      <c r="M612">
        <v>3.75</v>
      </c>
      <c r="N612">
        <v>4.9000000000000004</v>
      </c>
      <c r="O612">
        <v>3.85</v>
      </c>
      <c r="P612" s="9">
        <v>46148.450636574074</v>
      </c>
    </row>
    <row r="613" spans="1:16" x14ac:dyDescent="0.25">
      <c r="A613" t="s">
        <v>8</v>
      </c>
      <c r="B613" s="4">
        <v>46168</v>
      </c>
      <c r="C613" t="s">
        <v>422</v>
      </c>
      <c r="D613">
        <v>64400</v>
      </c>
      <c r="E613" t="s">
        <v>27</v>
      </c>
      <c r="F613">
        <v>7000.05</v>
      </c>
      <c r="G613">
        <v>0</v>
      </c>
      <c r="H613">
        <v>120</v>
      </c>
      <c r="I613">
        <v>120</v>
      </c>
      <c r="J613">
        <v>120</v>
      </c>
      <c r="K613">
        <v>0</v>
      </c>
      <c r="L613">
        <v>0</v>
      </c>
      <c r="M613">
        <v>0</v>
      </c>
      <c r="N613">
        <v>7000.05</v>
      </c>
      <c r="O613">
        <v>8031.65</v>
      </c>
      <c r="P613" s="9">
        <v>46132.404328703706</v>
      </c>
    </row>
    <row r="614" spans="1:16" x14ac:dyDescent="0.25">
      <c r="A614" t="s">
        <v>8</v>
      </c>
      <c r="B614" s="4">
        <v>46168</v>
      </c>
      <c r="C614" t="s">
        <v>423</v>
      </c>
      <c r="D614">
        <v>64500</v>
      </c>
      <c r="E614" t="s">
        <v>26</v>
      </c>
      <c r="F614">
        <v>3.95</v>
      </c>
      <c r="G614">
        <v>2700</v>
      </c>
      <c r="H614">
        <v>40290</v>
      </c>
      <c r="I614">
        <v>40710</v>
      </c>
      <c r="J614">
        <v>39750</v>
      </c>
      <c r="K614">
        <v>4.75</v>
      </c>
      <c r="L614">
        <v>5</v>
      </c>
      <c r="M614">
        <v>4.0999999999999996</v>
      </c>
      <c r="N614">
        <v>4.6500000000000004</v>
      </c>
      <c r="O614">
        <v>3.85</v>
      </c>
      <c r="P614" s="9">
        <v>46148.448182870372</v>
      </c>
    </row>
    <row r="615" spans="1:16" x14ac:dyDescent="0.25">
      <c r="A615" t="s">
        <v>8</v>
      </c>
      <c r="B615" s="4">
        <v>46168</v>
      </c>
      <c r="C615" t="s">
        <v>424</v>
      </c>
      <c r="D615">
        <v>64500</v>
      </c>
      <c r="E615" t="s">
        <v>27</v>
      </c>
      <c r="F615">
        <v>11127.6</v>
      </c>
      <c r="G615">
        <v>0</v>
      </c>
      <c r="H615">
        <v>30</v>
      </c>
      <c r="I615">
        <v>30</v>
      </c>
      <c r="J615">
        <v>30</v>
      </c>
      <c r="K615">
        <v>0</v>
      </c>
      <c r="L615">
        <v>0</v>
      </c>
      <c r="M615">
        <v>0</v>
      </c>
      <c r="N615">
        <v>11127.6</v>
      </c>
      <c r="O615">
        <v>8134.1</v>
      </c>
      <c r="P615" s="9">
        <v>46105.614583333336</v>
      </c>
    </row>
    <row r="616" spans="1:16" x14ac:dyDescent="0.25">
      <c r="A616" t="s">
        <v>8</v>
      </c>
      <c r="B616" s="4">
        <v>46168</v>
      </c>
      <c r="C616" t="s">
        <v>425</v>
      </c>
      <c r="D616">
        <v>64600</v>
      </c>
      <c r="E616" t="s">
        <v>26</v>
      </c>
      <c r="F616">
        <v>4.5</v>
      </c>
      <c r="G616">
        <v>0</v>
      </c>
      <c r="H616">
        <v>510</v>
      </c>
      <c r="I616">
        <v>510</v>
      </c>
      <c r="J616">
        <v>510</v>
      </c>
      <c r="K616">
        <v>0</v>
      </c>
      <c r="L616">
        <v>0</v>
      </c>
      <c r="M616">
        <v>0</v>
      </c>
      <c r="N616">
        <v>4.5</v>
      </c>
      <c r="O616">
        <v>3.8</v>
      </c>
      <c r="P616" s="9">
        <v>46147.640567129631</v>
      </c>
    </row>
    <row r="617" spans="1:16" x14ac:dyDescent="0.25">
      <c r="A617" t="s">
        <v>8</v>
      </c>
      <c r="B617" s="4">
        <v>46168</v>
      </c>
      <c r="C617" t="s">
        <v>426</v>
      </c>
      <c r="D617">
        <v>64600</v>
      </c>
      <c r="E617" t="s">
        <v>27</v>
      </c>
      <c r="F617">
        <v>11223.95</v>
      </c>
      <c r="G617">
        <v>0</v>
      </c>
      <c r="H617">
        <v>30</v>
      </c>
      <c r="I617">
        <v>30</v>
      </c>
      <c r="J617">
        <v>30</v>
      </c>
      <c r="K617">
        <v>0</v>
      </c>
      <c r="L617">
        <v>0</v>
      </c>
      <c r="M617">
        <v>0</v>
      </c>
      <c r="N617">
        <v>11223.95</v>
      </c>
      <c r="O617">
        <v>8130.5</v>
      </c>
      <c r="P617" s="9">
        <v>46105.614583333336</v>
      </c>
    </row>
    <row r="618" spans="1:16" x14ac:dyDescent="0.25">
      <c r="A618" t="s">
        <v>8</v>
      </c>
      <c r="B618" s="4">
        <v>46168</v>
      </c>
      <c r="C618" t="s">
        <v>427</v>
      </c>
      <c r="D618">
        <v>64700</v>
      </c>
      <c r="E618" t="s">
        <v>26</v>
      </c>
      <c r="F618">
        <v>4.0999999999999996</v>
      </c>
      <c r="G618">
        <v>2610</v>
      </c>
      <c r="H618">
        <v>2880</v>
      </c>
      <c r="I618">
        <v>3000</v>
      </c>
      <c r="J618">
        <v>2010</v>
      </c>
      <c r="K618">
        <v>5.3</v>
      </c>
      <c r="L618">
        <v>5.7</v>
      </c>
      <c r="M618">
        <v>3.8</v>
      </c>
      <c r="N618">
        <v>4.3499999999999996</v>
      </c>
      <c r="O618">
        <v>3.6</v>
      </c>
      <c r="P618" s="9">
        <v>46148.432673611111</v>
      </c>
    </row>
    <row r="619" spans="1:16" x14ac:dyDescent="0.25">
      <c r="A619" t="s">
        <v>8</v>
      </c>
      <c r="B619" s="4">
        <v>46168</v>
      </c>
      <c r="C619" t="s">
        <v>428</v>
      </c>
      <c r="D619">
        <v>64700</v>
      </c>
      <c r="E619" t="s">
        <v>27</v>
      </c>
      <c r="F619">
        <v>11320.55</v>
      </c>
      <c r="G619">
        <v>0</v>
      </c>
      <c r="H619">
        <v>30</v>
      </c>
      <c r="I619">
        <v>30</v>
      </c>
      <c r="J619">
        <v>30</v>
      </c>
      <c r="K619">
        <v>0</v>
      </c>
      <c r="L619">
        <v>0</v>
      </c>
      <c r="M619">
        <v>0</v>
      </c>
      <c r="N619">
        <v>11320.55</v>
      </c>
      <c r="O619">
        <v>8300.4</v>
      </c>
      <c r="P619" s="9">
        <v>46105.614583333336</v>
      </c>
    </row>
    <row r="620" spans="1:16" x14ac:dyDescent="0.25">
      <c r="A620" t="s">
        <v>8</v>
      </c>
      <c r="B620" s="4">
        <v>46168</v>
      </c>
      <c r="C620" t="s">
        <v>429</v>
      </c>
      <c r="D620">
        <v>64800</v>
      </c>
      <c r="E620" t="s">
        <v>26</v>
      </c>
      <c r="F620">
        <v>4</v>
      </c>
      <c r="G620">
        <v>390</v>
      </c>
      <c r="H620">
        <v>1350</v>
      </c>
      <c r="I620">
        <v>1350</v>
      </c>
      <c r="J620">
        <v>1200</v>
      </c>
      <c r="K620">
        <v>4.8499999999999996</v>
      </c>
      <c r="L620">
        <v>4.9000000000000004</v>
      </c>
      <c r="M620">
        <v>3.75</v>
      </c>
      <c r="N620">
        <v>4.1500000000000004</v>
      </c>
      <c r="O620">
        <v>3.85</v>
      </c>
      <c r="P620" s="9">
        <v>46148.443784722222</v>
      </c>
    </row>
    <row r="621" spans="1:16" x14ac:dyDescent="0.25">
      <c r="A621" t="s">
        <v>8</v>
      </c>
      <c r="B621" s="4">
        <v>46168</v>
      </c>
      <c r="C621" t="s">
        <v>430</v>
      </c>
      <c r="D621">
        <v>64800</v>
      </c>
      <c r="E621" t="s">
        <v>27</v>
      </c>
      <c r="F621">
        <v>11417.5</v>
      </c>
      <c r="G621">
        <v>0</v>
      </c>
      <c r="H621">
        <v>600</v>
      </c>
      <c r="I621">
        <v>600</v>
      </c>
      <c r="J621">
        <v>600</v>
      </c>
      <c r="K621">
        <v>0</v>
      </c>
      <c r="L621">
        <v>0</v>
      </c>
      <c r="M621">
        <v>0</v>
      </c>
      <c r="N621">
        <v>11417.5</v>
      </c>
      <c r="O621">
        <v>8422</v>
      </c>
      <c r="P621" s="9">
        <v>46105.614583333336</v>
      </c>
    </row>
    <row r="622" spans="1:16" x14ac:dyDescent="0.25">
      <c r="A622" t="s">
        <v>8</v>
      </c>
      <c r="B622" s="4">
        <v>46168</v>
      </c>
      <c r="C622" t="s">
        <v>431</v>
      </c>
      <c r="D622">
        <v>64900</v>
      </c>
      <c r="E622" t="s">
        <v>26</v>
      </c>
      <c r="F622">
        <v>4.05</v>
      </c>
      <c r="G622">
        <v>0</v>
      </c>
      <c r="H622">
        <v>2970</v>
      </c>
      <c r="I622">
        <v>2970</v>
      </c>
      <c r="J622">
        <v>2970</v>
      </c>
      <c r="K622">
        <v>0</v>
      </c>
      <c r="L622">
        <v>0</v>
      </c>
      <c r="M622">
        <v>0</v>
      </c>
      <c r="N622">
        <v>4.05</v>
      </c>
      <c r="O622">
        <v>3.35</v>
      </c>
      <c r="P622" s="9">
        <v>46147.645219907405</v>
      </c>
    </row>
    <row r="623" spans="1:16" x14ac:dyDescent="0.25">
      <c r="A623" t="s">
        <v>8</v>
      </c>
      <c r="B623" s="4">
        <v>46168</v>
      </c>
      <c r="C623" t="s">
        <v>432</v>
      </c>
      <c r="D623">
        <v>64900</v>
      </c>
      <c r="E623" t="s">
        <v>27</v>
      </c>
      <c r="F623">
        <v>11514.05</v>
      </c>
      <c r="G623">
        <v>0</v>
      </c>
      <c r="H623">
        <v>600</v>
      </c>
      <c r="I623">
        <v>600</v>
      </c>
      <c r="J623">
        <v>600</v>
      </c>
      <c r="K623">
        <v>0</v>
      </c>
      <c r="L623">
        <v>0</v>
      </c>
      <c r="M623">
        <v>0</v>
      </c>
      <c r="N623">
        <v>11514.05</v>
      </c>
      <c r="O623">
        <v>8450.5</v>
      </c>
      <c r="P623" s="9">
        <v>46105.614583333336</v>
      </c>
    </row>
    <row r="624" spans="1:16" x14ac:dyDescent="0.25">
      <c r="A624" t="s">
        <v>8</v>
      </c>
      <c r="B624" s="4">
        <v>46168</v>
      </c>
      <c r="C624" t="s">
        <v>433</v>
      </c>
      <c r="D624">
        <v>65000</v>
      </c>
      <c r="E624" t="s">
        <v>26</v>
      </c>
      <c r="F624">
        <v>3.75</v>
      </c>
      <c r="G624">
        <v>13980</v>
      </c>
      <c r="H624">
        <v>142620</v>
      </c>
      <c r="I624">
        <v>142620</v>
      </c>
      <c r="J624">
        <v>135690</v>
      </c>
      <c r="K624">
        <v>4.55</v>
      </c>
      <c r="L624">
        <v>4.55</v>
      </c>
      <c r="M624">
        <v>3.75</v>
      </c>
      <c r="N624">
        <v>4.4000000000000004</v>
      </c>
      <c r="O624">
        <v>3.8</v>
      </c>
      <c r="P624" s="9">
        <v>46148.453379629631</v>
      </c>
    </row>
    <row r="625" spans="1:16" x14ac:dyDescent="0.25">
      <c r="A625" t="s">
        <v>8</v>
      </c>
      <c r="B625" s="4">
        <v>46168</v>
      </c>
      <c r="C625" t="s">
        <v>434</v>
      </c>
      <c r="D625">
        <v>65000</v>
      </c>
      <c r="E625" t="s">
        <v>27</v>
      </c>
      <c r="F625">
        <v>9500</v>
      </c>
      <c r="G625">
        <v>420</v>
      </c>
      <c r="H625">
        <v>62700</v>
      </c>
      <c r="I625">
        <v>62970</v>
      </c>
      <c r="J625">
        <v>62700</v>
      </c>
      <c r="K625">
        <v>9465.4500000000007</v>
      </c>
      <c r="L625">
        <v>9500</v>
      </c>
      <c r="M625">
        <v>9400</v>
      </c>
      <c r="N625">
        <v>9865.4</v>
      </c>
      <c r="O625">
        <v>9562.4500000000007</v>
      </c>
      <c r="P625" s="9">
        <v>46148.404930555553</v>
      </c>
    </row>
    <row r="626" spans="1:16" x14ac:dyDescent="0.25">
      <c r="A626" t="s">
        <v>8</v>
      </c>
      <c r="B626" s="4">
        <v>46168</v>
      </c>
      <c r="C626" t="s">
        <v>435</v>
      </c>
      <c r="D626">
        <v>65100</v>
      </c>
      <c r="E626" t="s">
        <v>26</v>
      </c>
      <c r="F626">
        <v>3.65</v>
      </c>
      <c r="G626">
        <v>600</v>
      </c>
      <c r="H626">
        <v>1770</v>
      </c>
      <c r="I626">
        <v>1800</v>
      </c>
      <c r="J626">
        <v>1590</v>
      </c>
      <c r="K626">
        <v>5.9</v>
      </c>
      <c r="L626">
        <v>5.9</v>
      </c>
      <c r="M626">
        <v>3.65</v>
      </c>
      <c r="N626">
        <v>3.95</v>
      </c>
      <c r="O626">
        <v>3.4</v>
      </c>
      <c r="P626" s="9">
        <v>46148.448958333334</v>
      </c>
    </row>
    <row r="627" spans="1:16" x14ac:dyDescent="0.25">
      <c r="A627" t="s">
        <v>8</v>
      </c>
      <c r="B627" s="4">
        <v>46168</v>
      </c>
      <c r="C627" t="s">
        <v>436</v>
      </c>
      <c r="D627">
        <v>65100</v>
      </c>
      <c r="E627" t="s">
        <v>27</v>
      </c>
      <c r="F627">
        <v>10464.85</v>
      </c>
      <c r="G627">
        <v>0</v>
      </c>
      <c r="H627">
        <v>600</v>
      </c>
      <c r="I627">
        <v>600</v>
      </c>
      <c r="J627">
        <v>600</v>
      </c>
      <c r="K627">
        <v>0</v>
      </c>
      <c r="L627">
        <v>0</v>
      </c>
      <c r="M627">
        <v>0</v>
      </c>
      <c r="N627">
        <v>10464.85</v>
      </c>
      <c r="O627">
        <v>8622.35</v>
      </c>
      <c r="P627" s="9">
        <v>46106.614594907405</v>
      </c>
    </row>
    <row r="628" spans="1:16" x14ac:dyDescent="0.25">
      <c r="A628" t="s">
        <v>8</v>
      </c>
      <c r="B628" s="4">
        <v>46168</v>
      </c>
      <c r="C628" t="s">
        <v>437</v>
      </c>
      <c r="D628">
        <v>65200</v>
      </c>
      <c r="E628" t="s">
        <v>26</v>
      </c>
      <c r="F628">
        <v>3.8</v>
      </c>
      <c r="G628">
        <v>630</v>
      </c>
      <c r="H628">
        <v>10260</v>
      </c>
      <c r="I628">
        <v>10290</v>
      </c>
      <c r="J628">
        <v>9960</v>
      </c>
      <c r="K628">
        <v>5.4</v>
      </c>
      <c r="L628">
        <v>5.4</v>
      </c>
      <c r="M628">
        <v>3.75</v>
      </c>
      <c r="N628">
        <v>4.45</v>
      </c>
      <c r="O628">
        <v>3.35</v>
      </c>
      <c r="P628" s="9">
        <v>46148.448541666665</v>
      </c>
    </row>
    <row r="629" spans="1:16" x14ac:dyDescent="0.25">
      <c r="A629" t="s">
        <v>8</v>
      </c>
      <c r="B629" s="4">
        <v>46168</v>
      </c>
      <c r="C629" t="s">
        <v>438</v>
      </c>
      <c r="D629">
        <v>65200</v>
      </c>
      <c r="E629" t="s">
        <v>27</v>
      </c>
      <c r="F629">
        <v>10572.45</v>
      </c>
      <c r="G629">
        <v>0</v>
      </c>
      <c r="H629">
        <v>600</v>
      </c>
      <c r="I629">
        <v>600</v>
      </c>
      <c r="J629">
        <v>600</v>
      </c>
      <c r="K629">
        <v>0</v>
      </c>
      <c r="L629">
        <v>0</v>
      </c>
      <c r="M629">
        <v>0</v>
      </c>
      <c r="N629">
        <v>10572.45</v>
      </c>
      <c r="O629">
        <v>8761</v>
      </c>
      <c r="P629" s="9">
        <v>46106.614583333336</v>
      </c>
    </row>
    <row r="630" spans="1:16" x14ac:dyDescent="0.25">
      <c r="A630" t="s">
        <v>8</v>
      </c>
      <c r="B630" s="4">
        <v>46168</v>
      </c>
      <c r="C630" t="s">
        <v>439</v>
      </c>
      <c r="D630">
        <v>65300</v>
      </c>
      <c r="E630" t="s">
        <v>26</v>
      </c>
      <c r="F630">
        <v>3.7</v>
      </c>
      <c r="G630">
        <v>7410</v>
      </c>
      <c r="H630">
        <v>1680</v>
      </c>
      <c r="I630">
        <v>3570</v>
      </c>
      <c r="J630">
        <v>1530</v>
      </c>
      <c r="K630">
        <v>5.55</v>
      </c>
      <c r="L630">
        <v>6.55</v>
      </c>
      <c r="M630">
        <v>3.4</v>
      </c>
      <c r="N630">
        <v>5.55</v>
      </c>
      <c r="O630">
        <v>3.25</v>
      </c>
      <c r="P630" s="9">
        <v>46148.450925925928</v>
      </c>
    </row>
    <row r="631" spans="1:16" x14ac:dyDescent="0.25">
      <c r="A631" t="s">
        <v>8</v>
      </c>
      <c r="B631" s="4">
        <v>46168</v>
      </c>
      <c r="C631" t="s">
        <v>440</v>
      </c>
      <c r="D631">
        <v>65300</v>
      </c>
      <c r="E631" t="s">
        <v>27</v>
      </c>
      <c r="F631">
        <v>7350</v>
      </c>
      <c r="G631">
        <v>0</v>
      </c>
      <c r="H631">
        <v>510</v>
      </c>
      <c r="I631">
        <v>510</v>
      </c>
      <c r="J631">
        <v>510</v>
      </c>
      <c r="K631">
        <v>0</v>
      </c>
      <c r="L631">
        <v>0</v>
      </c>
      <c r="M631">
        <v>0</v>
      </c>
      <c r="N631">
        <v>7350</v>
      </c>
      <c r="O631">
        <v>8802.75</v>
      </c>
      <c r="P631" s="9">
        <v>46134.442395833335</v>
      </c>
    </row>
    <row r="632" spans="1:16" x14ac:dyDescent="0.25">
      <c r="A632" t="s">
        <v>8</v>
      </c>
      <c r="B632" s="4">
        <v>46168</v>
      </c>
      <c r="C632" t="s">
        <v>441</v>
      </c>
      <c r="D632">
        <v>65400</v>
      </c>
      <c r="E632" t="s">
        <v>26</v>
      </c>
      <c r="F632">
        <v>5.15</v>
      </c>
      <c r="G632">
        <v>0</v>
      </c>
      <c r="H632">
        <v>960</v>
      </c>
      <c r="I632">
        <v>960</v>
      </c>
      <c r="J632">
        <v>960</v>
      </c>
      <c r="K632">
        <v>0</v>
      </c>
      <c r="L632">
        <v>0</v>
      </c>
      <c r="M632">
        <v>0</v>
      </c>
      <c r="N632">
        <v>5.15</v>
      </c>
      <c r="O632">
        <v>2.8</v>
      </c>
      <c r="P632" s="9">
        <v>46147.604641203703</v>
      </c>
    </row>
    <row r="633" spans="1:16" x14ac:dyDescent="0.25">
      <c r="A633" t="s">
        <v>8</v>
      </c>
      <c r="B633" s="4">
        <v>46168</v>
      </c>
      <c r="C633" t="s">
        <v>442</v>
      </c>
      <c r="D633">
        <v>65400</v>
      </c>
      <c r="E633" t="s">
        <v>27</v>
      </c>
      <c r="F633">
        <v>10104.75</v>
      </c>
      <c r="G633">
        <v>0</v>
      </c>
      <c r="H633">
        <v>570</v>
      </c>
      <c r="I633">
        <v>570</v>
      </c>
      <c r="J633">
        <v>570</v>
      </c>
      <c r="K633">
        <v>0</v>
      </c>
      <c r="L633">
        <v>0</v>
      </c>
      <c r="M633">
        <v>0</v>
      </c>
      <c r="N633">
        <v>10104.75</v>
      </c>
      <c r="O633">
        <v>8881</v>
      </c>
      <c r="P633" s="9">
        <v>46125.439340277779</v>
      </c>
    </row>
    <row r="634" spans="1:16" x14ac:dyDescent="0.25">
      <c r="A634" t="s">
        <v>8</v>
      </c>
      <c r="B634" s="4">
        <v>46168</v>
      </c>
      <c r="C634" t="s">
        <v>443</v>
      </c>
      <c r="D634">
        <v>65500</v>
      </c>
      <c r="E634" t="s">
        <v>26</v>
      </c>
      <c r="F634">
        <v>3.45</v>
      </c>
      <c r="G634">
        <v>1110</v>
      </c>
      <c r="H634">
        <v>5580</v>
      </c>
      <c r="I634">
        <v>5580</v>
      </c>
      <c r="J634">
        <v>5430</v>
      </c>
      <c r="K634">
        <v>4.4000000000000004</v>
      </c>
      <c r="L634">
        <v>4.4000000000000004</v>
      </c>
      <c r="M634">
        <v>3.05</v>
      </c>
      <c r="N634">
        <v>4</v>
      </c>
      <c r="O634">
        <v>3.2</v>
      </c>
      <c r="P634" s="9">
        <v>46148.453379629631</v>
      </c>
    </row>
    <row r="635" spans="1:16" x14ac:dyDescent="0.25">
      <c r="A635" t="s">
        <v>8</v>
      </c>
      <c r="B635" s="4">
        <v>46168</v>
      </c>
      <c r="C635" t="s">
        <v>444</v>
      </c>
      <c r="D635">
        <v>65500</v>
      </c>
      <c r="E635" t="s">
        <v>27</v>
      </c>
      <c r="F635">
        <v>10851.45</v>
      </c>
      <c r="G635">
        <v>0</v>
      </c>
      <c r="H635">
        <v>600</v>
      </c>
      <c r="I635">
        <v>600</v>
      </c>
      <c r="J635">
        <v>600</v>
      </c>
      <c r="K635">
        <v>0</v>
      </c>
      <c r="L635">
        <v>0</v>
      </c>
      <c r="M635">
        <v>0</v>
      </c>
      <c r="N635">
        <v>10851.45</v>
      </c>
      <c r="O635">
        <v>8989</v>
      </c>
      <c r="P635" s="9">
        <v>46106.614594907405</v>
      </c>
    </row>
    <row r="636" spans="1:16" x14ac:dyDescent="0.25">
      <c r="A636" t="s">
        <v>8</v>
      </c>
      <c r="B636" s="4">
        <v>46168</v>
      </c>
      <c r="C636" t="s">
        <v>445</v>
      </c>
      <c r="D636">
        <v>65600</v>
      </c>
      <c r="E636" t="s">
        <v>26</v>
      </c>
      <c r="F636">
        <v>6</v>
      </c>
      <c r="G636">
        <v>0</v>
      </c>
      <c r="H636">
        <v>420</v>
      </c>
      <c r="I636">
        <v>420</v>
      </c>
      <c r="J636">
        <v>420</v>
      </c>
      <c r="K636">
        <v>0</v>
      </c>
      <c r="L636">
        <v>0</v>
      </c>
      <c r="M636">
        <v>0</v>
      </c>
      <c r="N636">
        <v>6</v>
      </c>
      <c r="O636">
        <v>3.1</v>
      </c>
      <c r="P636" s="9">
        <v>46141.613020833334</v>
      </c>
    </row>
    <row r="637" spans="1:16" x14ac:dyDescent="0.25">
      <c r="A637" t="s">
        <v>8</v>
      </c>
      <c r="B637" s="4">
        <v>46168</v>
      </c>
      <c r="C637" t="s">
        <v>446</v>
      </c>
      <c r="D637">
        <v>65600</v>
      </c>
      <c r="E637" t="s">
        <v>27</v>
      </c>
      <c r="F637">
        <v>10948.45</v>
      </c>
      <c r="G637">
        <v>0</v>
      </c>
      <c r="H637">
        <v>600</v>
      </c>
      <c r="I637">
        <v>600</v>
      </c>
      <c r="J637">
        <v>600</v>
      </c>
      <c r="K637">
        <v>0</v>
      </c>
      <c r="L637">
        <v>0</v>
      </c>
      <c r="M637">
        <v>0</v>
      </c>
      <c r="N637">
        <v>10948.45</v>
      </c>
      <c r="O637">
        <v>9039.9</v>
      </c>
      <c r="P637" s="9">
        <v>46106.614594907405</v>
      </c>
    </row>
    <row r="638" spans="1:16" x14ac:dyDescent="0.25">
      <c r="A638" t="s">
        <v>8</v>
      </c>
      <c r="B638" s="4">
        <v>46168</v>
      </c>
      <c r="C638" t="s">
        <v>447</v>
      </c>
      <c r="D638">
        <v>65700</v>
      </c>
      <c r="E638" t="s">
        <v>26</v>
      </c>
      <c r="F638">
        <v>4.3</v>
      </c>
      <c r="G638">
        <v>120</v>
      </c>
      <c r="H638">
        <v>510</v>
      </c>
      <c r="I638">
        <v>510</v>
      </c>
      <c r="J638">
        <v>510</v>
      </c>
      <c r="K638">
        <v>4.8499999999999996</v>
      </c>
      <c r="L638">
        <v>4.8499999999999996</v>
      </c>
      <c r="M638">
        <v>4.3</v>
      </c>
      <c r="N638">
        <v>4.5</v>
      </c>
      <c r="O638">
        <v>3.1</v>
      </c>
      <c r="P638" s="9">
        <v>46148.397488425922</v>
      </c>
    </row>
    <row r="639" spans="1:16" x14ac:dyDescent="0.25">
      <c r="A639" t="s">
        <v>8</v>
      </c>
      <c r="B639" s="4">
        <v>46168</v>
      </c>
      <c r="C639" t="s">
        <v>448</v>
      </c>
      <c r="D639">
        <v>65700</v>
      </c>
      <c r="E639" t="s">
        <v>27</v>
      </c>
      <c r="F639">
        <v>11045.75</v>
      </c>
      <c r="G639">
        <v>0</v>
      </c>
      <c r="H639">
        <v>600</v>
      </c>
      <c r="I639">
        <v>600</v>
      </c>
      <c r="J639">
        <v>600</v>
      </c>
      <c r="K639">
        <v>0</v>
      </c>
      <c r="L639">
        <v>0</v>
      </c>
      <c r="M639">
        <v>0</v>
      </c>
      <c r="N639">
        <v>11045.75</v>
      </c>
      <c r="O639">
        <v>9208</v>
      </c>
      <c r="P639" s="9">
        <v>46106.614594907405</v>
      </c>
    </row>
    <row r="640" spans="1:16" x14ac:dyDescent="0.25">
      <c r="A640" t="s">
        <v>8</v>
      </c>
      <c r="B640" s="4">
        <v>46168</v>
      </c>
      <c r="C640" t="s">
        <v>449</v>
      </c>
      <c r="D640">
        <v>65800</v>
      </c>
      <c r="E640" t="s">
        <v>26</v>
      </c>
      <c r="F640">
        <v>3.55</v>
      </c>
      <c r="G640">
        <v>150</v>
      </c>
      <c r="H640">
        <v>4350</v>
      </c>
      <c r="I640">
        <v>4350</v>
      </c>
      <c r="J640">
        <v>4350</v>
      </c>
      <c r="K640">
        <v>3.05</v>
      </c>
      <c r="L640">
        <v>4</v>
      </c>
      <c r="M640">
        <v>3.05</v>
      </c>
      <c r="N640">
        <v>3.65</v>
      </c>
      <c r="O640">
        <v>3.1</v>
      </c>
      <c r="P640" s="9">
        <v>46148.450937499998</v>
      </c>
    </row>
    <row r="641" spans="1:16" x14ac:dyDescent="0.25">
      <c r="A641" t="s">
        <v>8</v>
      </c>
      <c r="B641" s="4">
        <v>46168</v>
      </c>
      <c r="C641" t="s">
        <v>450</v>
      </c>
      <c r="D641">
        <v>65800</v>
      </c>
      <c r="E641" t="s">
        <v>27</v>
      </c>
      <c r="F641">
        <v>11153.9</v>
      </c>
      <c r="G641">
        <v>0</v>
      </c>
      <c r="H641">
        <v>600</v>
      </c>
      <c r="I641">
        <v>600</v>
      </c>
      <c r="J641">
        <v>600</v>
      </c>
      <c r="K641">
        <v>0</v>
      </c>
      <c r="L641">
        <v>0</v>
      </c>
      <c r="M641">
        <v>0</v>
      </c>
      <c r="N641">
        <v>11153.9</v>
      </c>
      <c r="O641">
        <v>9199.0499999999993</v>
      </c>
      <c r="P641" s="9">
        <v>46106.614583333336</v>
      </c>
    </row>
    <row r="642" spans="1:16" x14ac:dyDescent="0.25">
      <c r="A642" t="s">
        <v>8</v>
      </c>
      <c r="B642" s="4">
        <v>46168</v>
      </c>
      <c r="C642" t="s">
        <v>451</v>
      </c>
      <c r="D642">
        <v>65900</v>
      </c>
      <c r="E642" t="s">
        <v>26</v>
      </c>
      <c r="F642">
        <v>4.2</v>
      </c>
      <c r="G642">
        <v>60</v>
      </c>
      <c r="H642">
        <v>1350</v>
      </c>
      <c r="I642">
        <v>1350</v>
      </c>
      <c r="J642">
        <v>1320</v>
      </c>
      <c r="K642">
        <v>5</v>
      </c>
      <c r="L642">
        <v>5</v>
      </c>
      <c r="M642">
        <v>4.2</v>
      </c>
      <c r="N642">
        <v>4.25</v>
      </c>
      <c r="O642">
        <v>3.3</v>
      </c>
      <c r="P642" s="9">
        <v>46148.402546296296</v>
      </c>
    </row>
    <row r="643" spans="1:16" x14ac:dyDescent="0.25">
      <c r="A643" t="s">
        <v>8</v>
      </c>
      <c r="B643" s="4">
        <v>46168</v>
      </c>
      <c r="C643" t="s">
        <v>452</v>
      </c>
      <c r="D643">
        <v>65900</v>
      </c>
      <c r="E643" t="s">
        <v>27</v>
      </c>
      <c r="F643">
        <v>11256</v>
      </c>
      <c r="G643">
        <v>0</v>
      </c>
      <c r="H643">
        <v>600</v>
      </c>
      <c r="I643">
        <v>600</v>
      </c>
      <c r="J643">
        <v>600</v>
      </c>
      <c r="K643">
        <v>0</v>
      </c>
      <c r="L643">
        <v>0</v>
      </c>
      <c r="M643">
        <v>0</v>
      </c>
      <c r="N643">
        <v>11256</v>
      </c>
      <c r="O643">
        <v>9377.5</v>
      </c>
      <c r="P643" s="9">
        <v>46106.614583333336</v>
      </c>
    </row>
    <row r="644" spans="1:16" x14ac:dyDescent="0.25">
      <c r="A644" t="s">
        <v>8</v>
      </c>
      <c r="B644" s="4">
        <v>46168</v>
      </c>
      <c r="C644" t="s">
        <v>453</v>
      </c>
      <c r="D644">
        <v>66000</v>
      </c>
      <c r="E644" t="s">
        <v>26</v>
      </c>
      <c r="F644">
        <v>3.15</v>
      </c>
      <c r="G644">
        <v>11190</v>
      </c>
      <c r="H644">
        <v>73260</v>
      </c>
      <c r="I644">
        <v>73740</v>
      </c>
      <c r="J644">
        <v>72600</v>
      </c>
      <c r="K644">
        <v>3.2</v>
      </c>
      <c r="L644">
        <v>3.8</v>
      </c>
      <c r="M644">
        <v>3.15</v>
      </c>
      <c r="N644">
        <v>3.4</v>
      </c>
      <c r="O644">
        <v>3.15</v>
      </c>
      <c r="P644" s="9">
        <v>46148.45480324074</v>
      </c>
    </row>
    <row r="645" spans="1:16" x14ac:dyDescent="0.25">
      <c r="A645" t="s">
        <v>8</v>
      </c>
      <c r="B645" s="4">
        <v>46168</v>
      </c>
      <c r="C645" t="s">
        <v>454</v>
      </c>
      <c r="D645">
        <v>66000</v>
      </c>
      <c r="E645" t="s">
        <v>27</v>
      </c>
      <c r="F645">
        <v>11050</v>
      </c>
      <c r="G645">
        <v>0</v>
      </c>
      <c r="H645">
        <v>24900</v>
      </c>
      <c r="I645">
        <v>24900</v>
      </c>
      <c r="J645">
        <v>24900</v>
      </c>
      <c r="K645">
        <v>0</v>
      </c>
      <c r="L645">
        <v>0</v>
      </c>
      <c r="M645">
        <v>0</v>
      </c>
      <c r="N645">
        <v>11050</v>
      </c>
      <c r="O645">
        <v>9269.7999999999993</v>
      </c>
      <c r="P645" s="9">
        <v>46147.6405787037</v>
      </c>
    </row>
    <row r="646" spans="1:16" x14ac:dyDescent="0.25">
      <c r="A646" t="s">
        <v>8</v>
      </c>
      <c r="B646" s="4">
        <v>46168</v>
      </c>
      <c r="C646" t="s">
        <v>455</v>
      </c>
      <c r="D646">
        <v>66100</v>
      </c>
      <c r="E646" t="s">
        <v>26</v>
      </c>
      <c r="F646">
        <v>4.5</v>
      </c>
      <c r="G646">
        <v>0</v>
      </c>
      <c r="H646">
        <v>270</v>
      </c>
      <c r="I646">
        <v>270</v>
      </c>
      <c r="J646">
        <v>270</v>
      </c>
      <c r="K646">
        <v>0</v>
      </c>
      <c r="L646">
        <v>0</v>
      </c>
      <c r="M646">
        <v>0</v>
      </c>
      <c r="N646">
        <v>4.5</v>
      </c>
      <c r="O646">
        <v>2.75</v>
      </c>
      <c r="P646" s="9">
        <v>46146.572245370371</v>
      </c>
    </row>
    <row r="647" spans="1:16" x14ac:dyDescent="0.25">
      <c r="A647" t="s">
        <v>8</v>
      </c>
      <c r="B647" s="4">
        <v>46168</v>
      </c>
      <c r="C647" t="s">
        <v>456</v>
      </c>
      <c r="D647">
        <v>66100</v>
      </c>
      <c r="E647" t="s">
        <v>27</v>
      </c>
      <c r="F647">
        <v>8550</v>
      </c>
      <c r="G647">
        <v>0</v>
      </c>
      <c r="H647">
        <v>360</v>
      </c>
      <c r="I647">
        <v>360</v>
      </c>
      <c r="J647">
        <v>360</v>
      </c>
      <c r="K647">
        <v>0</v>
      </c>
      <c r="L647">
        <v>0</v>
      </c>
      <c r="M647">
        <v>0</v>
      </c>
      <c r="N647">
        <v>8550</v>
      </c>
      <c r="O647">
        <v>9502.85</v>
      </c>
      <c r="P647" s="9">
        <v>46135.433182870373</v>
      </c>
    </row>
    <row r="648" spans="1:16" x14ac:dyDescent="0.25">
      <c r="A648" t="s">
        <v>8</v>
      </c>
      <c r="B648" s="4">
        <v>46168</v>
      </c>
      <c r="C648" t="s">
        <v>457</v>
      </c>
      <c r="D648">
        <v>66200</v>
      </c>
      <c r="E648" t="s">
        <v>26</v>
      </c>
      <c r="F648">
        <v>3.35</v>
      </c>
      <c r="G648">
        <v>570</v>
      </c>
      <c r="H648">
        <v>1500</v>
      </c>
      <c r="I648">
        <v>1500</v>
      </c>
      <c r="J648">
        <v>990</v>
      </c>
      <c r="K648">
        <v>4</v>
      </c>
      <c r="L648">
        <v>4</v>
      </c>
      <c r="M648">
        <v>3.35</v>
      </c>
      <c r="N648">
        <v>3.95</v>
      </c>
      <c r="O648">
        <v>3</v>
      </c>
      <c r="P648" s="9">
        <v>46148.454745370371</v>
      </c>
    </row>
    <row r="649" spans="1:16" x14ac:dyDescent="0.25">
      <c r="A649" t="s">
        <v>8</v>
      </c>
      <c r="B649" s="4">
        <v>46168</v>
      </c>
      <c r="C649" t="s">
        <v>458</v>
      </c>
      <c r="D649">
        <v>66200</v>
      </c>
      <c r="E649" t="s">
        <v>27</v>
      </c>
      <c r="F649">
        <v>10450.450000000001</v>
      </c>
      <c r="G649">
        <v>0</v>
      </c>
      <c r="H649">
        <v>600</v>
      </c>
      <c r="I649">
        <v>600</v>
      </c>
      <c r="J649">
        <v>600</v>
      </c>
      <c r="K649">
        <v>0</v>
      </c>
      <c r="L649">
        <v>0</v>
      </c>
      <c r="M649">
        <v>0</v>
      </c>
      <c r="N649">
        <v>10450.450000000001</v>
      </c>
      <c r="O649">
        <v>9590.35</v>
      </c>
      <c r="P649" s="9">
        <v>46122.394097222219</v>
      </c>
    </row>
    <row r="650" spans="1:16" x14ac:dyDescent="0.25">
      <c r="A650" t="s">
        <v>8</v>
      </c>
      <c r="B650" s="4">
        <v>46168</v>
      </c>
      <c r="C650" t="s">
        <v>459</v>
      </c>
      <c r="D650">
        <v>66500</v>
      </c>
      <c r="E650" t="s">
        <v>26</v>
      </c>
      <c r="F650">
        <v>3.45</v>
      </c>
      <c r="G650">
        <v>90</v>
      </c>
      <c r="H650">
        <v>7140</v>
      </c>
      <c r="I650">
        <v>7140</v>
      </c>
      <c r="J650">
        <v>7110</v>
      </c>
      <c r="K650">
        <v>2.2000000000000002</v>
      </c>
      <c r="L650">
        <v>3.45</v>
      </c>
      <c r="M650">
        <v>2.2000000000000002</v>
      </c>
      <c r="N650">
        <v>3.35</v>
      </c>
      <c r="O650">
        <v>2.65</v>
      </c>
      <c r="P650" s="9">
        <v>46148.401643518519</v>
      </c>
    </row>
    <row r="651" spans="1:16" x14ac:dyDescent="0.25">
      <c r="A651" t="s">
        <v>8</v>
      </c>
      <c r="B651" s="4">
        <v>46168</v>
      </c>
      <c r="C651" t="s">
        <v>460</v>
      </c>
      <c r="D651">
        <v>66500</v>
      </c>
      <c r="E651" t="s">
        <v>27</v>
      </c>
      <c r="F651">
        <v>9643</v>
      </c>
      <c r="G651">
        <v>0</v>
      </c>
      <c r="H651">
        <v>1200</v>
      </c>
      <c r="I651">
        <v>1200</v>
      </c>
      <c r="J651">
        <v>1200</v>
      </c>
      <c r="K651">
        <v>0</v>
      </c>
      <c r="L651">
        <v>0</v>
      </c>
      <c r="M651">
        <v>0</v>
      </c>
      <c r="N651">
        <v>9643</v>
      </c>
      <c r="O651">
        <v>9893.5</v>
      </c>
      <c r="P651" s="9">
        <v>46135.574583333335</v>
      </c>
    </row>
    <row r="652" spans="1:16" x14ac:dyDescent="0.25">
      <c r="A652" t="s">
        <v>8</v>
      </c>
      <c r="B652" s="4">
        <v>46168</v>
      </c>
      <c r="C652" t="s">
        <v>461</v>
      </c>
      <c r="D652">
        <v>67000</v>
      </c>
      <c r="E652" t="s">
        <v>26</v>
      </c>
      <c r="F652">
        <v>2.9</v>
      </c>
      <c r="G652">
        <v>3150</v>
      </c>
      <c r="H652">
        <v>8130</v>
      </c>
      <c r="I652">
        <v>8160</v>
      </c>
      <c r="J652">
        <v>8070</v>
      </c>
      <c r="K652">
        <v>3.2</v>
      </c>
      <c r="L652">
        <v>3.55</v>
      </c>
      <c r="M652">
        <v>2.7</v>
      </c>
      <c r="N652">
        <v>2.9</v>
      </c>
      <c r="O652">
        <v>2.7</v>
      </c>
      <c r="P652" s="9">
        <v>46148.451261574075</v>
      </c>
    </row>
    <row r="653" spans="1:16" x14ac:dyDescent="0.25">
      <c r="A653" t="s">
        <v>8</v>
      </c>
      <c r="B653" s="4">
        <v>46168</v>
      </c>
      <c r="C653" t="s">
        <v>462</v>
      </c>
      <c r="D653">
        <v>67000</v>
      </c>
      <c r="E653" t="s">
        <v>27</v>
      </c>
      <c r="F653">
        <v>5284.5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5284.5</v>
      </c>
      <c r="O653">
        <v>10328.15</v>
      </c>
      <c r="P653" s="9">
        <v>25569.229166666668</v>
      </c>
    </row>
    <row r="654" spans="1:16" x14ac:dyDescent="0.25">
      <c r="A654" t="s">
        <v>8</v>
      </c>
      <c r="B654" s="4">
        <v>46168</v>
      </c>
      <c r="C654" t="s">
        <v>463</v>
      </c>
      <c r="D654">
        <v>67500</v>
      </c>
      <c r="E654" t="s">
        <v>26</v>
      </c>
      <c r="F654">
        <v>2.85</v>
      </c>
      <c r="G654">
        <v>0</v>
      </c>
      <c r="H654">
        <v>8760</v>
      </c>
      <c r="I654">
        <v>8760</v>
      </c>
      <c r="J654">
        <v>8760</v>
      </c>
      <c r="K654">
        <v>0</v>
      </c>
      <c r="L654">
        <v>0</v>
      </c>
      <c r="M654">
        <v>0</v>
      </c>
      <c r="N654">
        <v>2.85</v>
      </c>
      <c r="O654">
        <v>2.6</v>
      </c>
      <c r="P654" s="9">
        <v>46147.644571759258</v>
      </c>
    </row>
    <row r="655" spans="1:16" x14ac:dyDescent="0.25">
      <c r="A655" t="s">
        <v>8</v>
      </c>
      <c r="B655" s="4">
        <v>46168</v>
      </c>
      <c r="C655" t="s">
        <v>464</v>
      </c>
      <c r="D655">
        <v>67500</v>
      </c>
      <c r="E655" t="s">
        <v>27</v>
      </c>
      <c r="F655">
        <v>9388</v>
      </c>
      <c r="G655">
        <v>0</v>
      </c>
      <c r="H655">
        <v>570</v>
      </c>
      <c r="I655">
        <v>570</v>
      </c>
      <c r="J655">
        <v>570</v>
      </c>
      <c r="K655">
        <v>0</v>
      </c>
      <c r="L655">
        <v>0</v>
      </c>
      <c r="M655">
        <v>0</v>
      </c>
      <c r="N655">
        <v>9388</v>
      </c>
      <c r="O655">
        <v>10686.6</v>
      </c>
      <c r="P655" s="9">
        <v>46134.472268518519</v>
      </c>
    </row>
    <row r="656" spans="1:16" x14ac:dyDescent="0.25">
      <c r="A656" t="s">
        <v>8</v>
      </c>
      <c r="B656" s="4">
        <v>46168</v>
      </c>
      <c r="C656" t="s">
        <v>465</v>
      </c>
      <c r="D656">
        <v>68000</v>
      </c>
      <c r="E656" t="s">
        <v>26</v>
      </c>
      <c r="F656">
        <v>2.5</v>
      </c>
      <c r="G656">
        <v>1530</v>
      </c>
      <c r="H656">
        <v>19500</v>
      </c>
      <c r="I656">
        <v>19950</v>
      </c>
      <c r="J656">
        <v>19500</v>
      </c>
      <c r="K656">
        <v>2.85</v>
      </c>
      <c r="L656">
        <v>2.95</v>
      </c>
      <c r="M656">
        <v>2.4500000000000002</v>
      </c>
      <c r="N656">
        <v>2.8</v>
      </c>
      <c r="O656">
        <v>2.5</v>
      </c>
      <c r="P656" s="9">
        <v>46148.450879629629</v>
      </c>
    </row>
    <row r="657" spans="1:16" x14ac:dyDescent="0.25">
      <c r="A657" t="s">
        <v>8</v>
      </c>
      <c r="B657" s="4">
        <v>46168</v>
      </c>
      <c r="C657" t="s">
        <v>466</v>
      </c>
      <c r="D657">
        <v>68000</v>
      </c>
      <c r="E657" t="s">
        <v>27</v>
      </c>
      <c r="F657">
        <v>12789.75</v>
      </c>
      <c r="G657">
        <v>0</v>
      </c>
      <c r="H657">
        <v>1830</v>
      </c>
      <c r="I657">
        <v>1830</v>
      </c>
      <c r="J657">
        <v>1830</v>
      </c>
      <c r="K657">
        <v>0</v>
      </c>
      <c r="L657">
        <v>0</v>
      </c>
      <c r="M657">
        <v>0</v>
      </c>
      <c r="N657">
        <v>12789.75</v>
      </c>
      <c r="O657">
        <v>11180.15</v>
      </c>
      <c r="P657" s="9">
        <v>46146.61619212963</v>
      </c>
    </row>
    <row r="658" spans="1:16" x14ac:dyDescent="0.25">
      <c r="A658" t="s">
        <v>8</v>
      </c>
      <c r="B658" s="4">
        <v>46168</v>
      </c>
      <c r="C658" t="s">
        <v>467</v>
      </c>
      <c r="D658">
        <v>68500</v>
      </c>
      <c r="E658" t="s">
        <v>26</v>
      </c>
      <c r="F658">
        <v>2.65</v>
      </c>
      <c r="G658">
        <v>2190</v>
      </c>
      <c r="H658">
        <v>19590</v>
      </c>
      <c r="I658">
        <v>19740</v>
      </c>
      <c r="J658">
        <v>19470</v>
      </c>
      <c r="K658">
        <v>2.35</v>
      </c>
      <c r="L658">
        <v>2.8</v>
      </c>
      <c r="M658">
        <v>2.35</v>
      </c>
      <c r="N658">
        <v>2.7</v>
      </c>
      <c r="O658">
        <v>2.4500000000000002</v>
      </c>
      <c r="P658" s="9">
        <v>46148.451608796298</v>
      </c>
    </row>
    <row r="659" spans="1:16" x14ac:dyDescent="0.25">
      <c r="A659" t="s">
        <v>8</v>
      </c>
      <c r="B659" s="4">
        <v>46168</v>
      </c>
      <c r="C659" t="s">
        <v>468</v>
      </c>
      <c r="D659">
        <v>68500</v>
      </c>
      <c r="E659" t="s">
        <v>27</v>
      </c>
      <c r="F659">
        <v>10900</v>
      </c>
      <c r="G659">
        <v>0</v>
      </c>
      <c r="H659">
        <v>150</v>
      </c>
      <c r="I659">
        <v>150</v>
      </c>
      <c r="J659">
        <v>150</v>
      </c>
      <c r="K659">
        <v>0</v>
      </c>
      <c r="L659">
        <v>0</v>
      </c>
      <c r="M659">
        <v>0</v>
      </c>
      <c r="N659">
        <v>10900</v>
      </c>
      <c r="O659">
        <v>11578.75</v>
      </c>
      <c r="P659" s="9">
        <v>46134.437743055554</v>
      </c>
    </row>
    <row r="660" spans="1:16" x14ac:dyDescent="0.25">
      <c r="B660" s="4"/>
      <c r="F660">
        <v>77195.56</v>
      </c>
      <c r="K660">
        <v>77424.36</v>
      </c>
      <c r="L660">
        <v>77675.009999999995</v>
      </c>
      <c r="M660">
        <v>77153.3</v>
      </c>
      <c r="N660">
        <v>77017.789999999994</v>
      </c>
      <c r="P660" s="9"/>
    </row>
    <row r="661" spans="1:16" x14ac:dyDescent="0.25">
      <c r="B661" s="4"/>
      <c r="P661" s="9"/>
    </row>
    <row r="662" spans="1:16" x14ac:dyDescent="0.25">
      <c r="B662" s="4"/>
      <c r="F662">
        <v>0.4</v>
      </c>
      <c r="G662">
        <v>15660</v>
      </c>
      <c r="H662">
        <v>20180</v>
      </c>
      <c r="I662">
        <v>21220</v>
      </c>
      <c r="J662">
        <v>12020</v>
      </c>
      <c r="K662">
        <v>0.35</v>
      </c>
      <c r="L662">
        <v>0.55000000000000004</v>
      </c>
      <c r="M662">
        <v>0.35</v>
      </c>
      <c r="N662">
        <v>0.6</v>
      </c>
      <c r="O662">
        <v>0.4</v>
      </c>
      <c r="P662" s="9">
        <v>46148.44935185185</v>
      </c>
    </row>
    <row r="663" spans="1:16" x14ac:dyDescent="0.25">
      <c r="B663" s="4"/>
      <c r="P663" s="9"/>
    </row>
    <row r="664" spans="1:16" x14ac:dyDescent="0.25">
      <c r="B664" s="4"/>
      <c r="F664">
        <v>0.4</v>
      </c>
      <c r="G664">
        <v>16140</v>
      </c>
      <c r="H664">
        <v>36680</v>
      </c>
      <c r="I664">
        <v>37800</v>
      </c>
      <c r="J664">
        <v>33560</v>
      </c>
      <c r="K664">
        <v>0.35</v>
      </c>
      <c r="L664">
        <v>0.6</v>
      </c>
      <c r="M664">
        <v>0.35</v>
      </c>
      <c r="N664">
        <v>0.6</v>
      </c>
      <c r="O664">
        <v>0.4</v>
      </c>
      <c r="P664" s="9">
        <v>46148.454988425925</v>
      </c>
    </row>
    <row r="665" spans="1:16" x14ac:dyDescent="0.25">
      <c r="B665" s="4"/>
      <c r="P665" s="9"/>
    </row>
    <row r="666" spans="1:16" x14ac:dyDescent="0.25">
      <c r="B666" s="4"/>
      <c r="P666" s="9"/>
    </row>
    <row r="667" spans="1:16" x14ac:dyDescent="0.25">
      <c r="B667" s="4"/>
      <c r="P667" s="9"/>
    </row>
    <row r="668" spans="1:16" x14ac:dyDescent="0.25">
      <c r="B668" s="4"/>
      <c r="P668" s="9"/>
    </row>
    <row r="669" spans="1:16" x14ac:dyDescent="0.25">
      <c r="B669" s="4"/>
      <c r="P669" s="9"/>
    </row>
    <row r="670" spans="1:16" x14ac:dyDescent="0.25">
      <c r="B670" s="4"/>
      <c r="F670">
        <v>0.5</v>
      </c>
      <c r="G670">
        <v>120</v>
      </c>
      <c r="H670">
        <v>1800</v>
      </c>
      <c r="I670">
        <v>1840</v>
      </c>
      <c r="J670">
        <v>1800</v>
      </c>
      <c r="K670">
        <v>0.8</v>
      </c>
      <c r="L670">
        <v>1</v>
      </c>
      <c r="M670">
        <v>0.5</v>
      </c>
      <c r="N670">
        <v>1.25</v>
      </c>
      <c r="O670">
        <v>0.4</v>
      </c>
      <c r="P670" s="9">
        <v>46148.451006944444</v>
      </c>
    </row>
    <row r="671" spans="1:16" x14ac:dyDescent="0.25">
      <c r="B671" s="4"/>
      <c r="P671" s="9"/>
    </row>
    <row r="672" spans="1:16" x14ac:dyDescent="0.25">
      <c r="B672" s="4"/>
      <c r="F672">
        <v>0.3</v>
      </c>
      <c r="G672">
        <v>260</v>
      </c>
      <c r="H672">
        <v>840</v>
      </c>
      <c r="I672">
        <v>1060</v>
      </c>
      <c r="J672">
        <v>840</v>
      </c>
      <c r="K672">
        <v>0.45</v>
      </c>
      <c r="L672">
        <v>0.45</v>
      </c>
      <c r="M672">
        <v>0.3</v>
      </c>
      <c r="N672">
        <v>0.55000000000000004</v>
      </c>
      <c r="O672">
        <v>0.25</v>
      </c>
      <c r="P672" s="9">
        <v>46148.450578703705</v>
      </c>
    </row>
    <row r="673" spans="2:16" x14ac:dyDescent="0.25">
      <c r="B673" s="4"/>
      <c r="P673" s="9"/>
    </row>
    <row r="674" spans="2:16" x14ac:dyDescent="0.25">
      <c r="B674" s="4"/>
      <c r="P674" s="9"/>
    </row>
    <row r="675" spans="2:16" x14ac:dyDescent="0.25">
      <c r="B675" s="4"/>
      <c r="P675" s="9"/>
    </row>
    <row r="676" spans="2:16" x14ac:dyDescent="0.25">
      <c r="B676" s="4"/>
      <c r="P676" s="9"/>
    </row>
    <row r="677" spans="2:16" x14ac:dyDescent="0.25">
      <c r="B677" s="4"/>
      <c r="P677" s="9"/>
    </row>
    <row r="678" spans="2:16" x14ac:dyDescent="0.25">
      <c r="B678" s="4"/>
      <c r="P678" s="9"/>
    </row>
    <row r="679" spans="2:16" x14ac:dyDescent="0.25">
      <c r="B679" s="4"/>
      <c r="P679" s="9"/>
    </row>
    <row r="680" spans="2:16" x14ac:dyDescent="0.25">
      <c r="B680" s="4"/>
      <c r="P680" s="9"/>
    </row>
    <row r="681" spans="2:16" x14ac:dyDescent="0.25">
      <c r="B681" s="4"/>
      <c r="P681" s="9"/>
    </row>
    <row r="682" spans="2:16" x14ac:dyDescent="0.25">
      <c r="B682" s="4"/>
      <c r="F682">
        <v>0.5</v>
      </c>
      <c r="G682">
        <v>1640</v>
      </c>
      <c r="H682">
        <v>5960</v>
      </c>
      <c r="I682">
        <v>6720</v>
      </c>
      <c r="J682">
        <v>5960</v>
      </c>
      <c r="K682">
        <v>0.45</v>
      </c>
      <c r="L682">
        <v>0.55000000000000004</v>
      </c>
      <c r="M682">
        <v>0.45</v>
      </c>
      <c r="N682">
        <v>0.35</v>
      </c>
      <c r="O682">
        <v>0.4</v>
      </c>
      <c r="P682" s="9">
        <v>46148.449733796297</v>
      </c>
    </row>
    <row r="683" spans="2:16" x14ac:dyDescent="0.25">
      <c r="B683" s="4"/>
      <c r="P683" s="9"/>
    </row>
    <row r="684" spans="2:16" x14ac:dyDescent="0.25">
      <c r="B684" s="4"/>
      <c r="F684">
        <v>0.5</v>
      </c>
      <c r="G684">
        <v>2140</v>
      </c>
      <c r="H684">
        <v>2360</v>
      </c>
      <c r="I684">
        <v>2400</v>
      </c>
      <c r="J684">
        <v>2360</v>
      </c>
      <c r="K684">
        <v>0.4</v>
      </c>
      <c r="L684">
        <v>0.6</v>
      </c>
      <c r="M684">
        <v>0.25</v>
      </c>
      <c r="N684">
        <v>0.6</v>
      </c>
      <c r="O684">
        <v>0.3</v>
      </c>
      <c r="P684" s="9">
        <v>46148.449513888889</v>
      </c>
    </row>
    <row r="685" spans="2:16" x14ac:dyDescent="0.25">
      <c r="B685" s="4"/>
      <c r="P685" s="9"/>
    </row>
    <row r="686" spans="2:16" x14ac:dyDescent="0.25">
      <c r="B686" s="4"/>
      <c r="F686">
        <v>0.45</v>
      </c>
      <c r="G686">
        <v>540</v>
      </c>
      <c r="H686">
        <v>980</v>
      </c>
      <c r="I686">
        <v>1520</v>
      </c>
      <c r="J686">
        <v>980</v>
      </c>
      <c r="K686">
        <v>0.45</v>
      </c>
      <c r="L686">
        <v>0.45</v>
      </c>
      <c r="M686">
        <v>0.45</v>
      </c>
      <c r="N686">
        <v>0.55000000000000004</v>
      </c>
      <c r="O686">
        <v>0.5</v>
      </c>
      <c r="P686" s="9">
        <v>46148.411597222221</v>
      </c>
    </row>
    <row r="687" spans="2:16" x14ac:dyDescent="0.25">
      <c r="B687" s="4"/>
      <c r="P687" s="9"/>
    </row>
    <row r="688" spans="2:16" x14ac:dyDescent="0.25">
      <c r="B688" s="4"/>
      <c r="P688" s="9"/>
    </row>
    <row r="689" spans="2:16" x14ac:dyDescent="0.25">
      <c r="B689" s="4"/>
      <c r="P689" s="9"/>
    </row>
    <row r="690" spans="2:16" x14ac:dyDescent="0.25">
      <c r="B690" s="4"/>
      <c r="P690" s="9"/>
    </row>
    <row r="691" spans="2:16" x14ac:dyDescent="0.25">
      <c r="B691" s="4"/>
      <c r="P691" s="9"/>
    </row>
    <row r="692" spans="2:16" x14ac:dyDescent="0.25">
      <c r="B692" s="4"/>
      <c r="F692">
        <v>0.3</v>
      </c>
      <c r="G692">
        <v>120</v>
      </c>
      <c r="H692">
        <v>860</v>
      </c>
      <c r="I692">
        <v>860</v>
      </c>
      <c r="J692">
        <v>860</v>
      </c>
      <c r="K692">
        <v>0.3</v>
      </c>
      <c r="L692">
        <v>0.3</v>
      </c>
      <c r="M692">
        <v>0.3</v>
      </c>
      <c r="N692">
        <v>0.55000000000000004</v>
      </c>
      <c r="O692">
        <v>0.3</v>
      </c>
      <c r="P692" s="9">
        <v>46148.439479166664</v>
      </c>
    </row>
    <row r="693" spans="2:16" x14ac:dyDescent="0.25">
      <c r="B693" s="4"/>
      <c r="P693" s="9"/>
    </row>
    <row r="694" spans="2:16" x14ac:dyDescent="0.25">
      <c r="B694" s="4"/>
      <c r="F694">
        <v>0.55000000000000004</v>
      </c>
      <c r="G694">
        <v>2300</v>
      </c>
      <c r="H694">
        <v>2760</v>
      </c>
      <c r="I694">
        <v>2880</v>
      </c>
      <c r="J694">
        <v>840</v>
      </c>
      <c r="K694">
        <v>0.8</v>
      </c>
      <c r="L694">
        <v>0.8</v>
      </c>
      <c r="M694">
        <v>0.5</v>
      </c>
      <c r="N694">
        <v>0.65</v>
      </c>
      <c r="O694">
        <v>0.5</v>
      </c>
      <c r="P694" s="9">
        <v>46148.454016203701</v>
      </c>
    </row>
    <row r="695" spans="2:16" x14ac:dyDescent="0.25">
      <c r="B695" s="4"/>
      <c r="P695" s="9"/>
    </row>
    <row r="696" spans="2:16" x14ac:dyDescent="0.25">
      <c r="B696" s="4"/>
      <c r="P696" s="9"/>
    </row>
    <row r="697" spans="2:16" x14ac:dyDescent="0.25">
      <c r="B697" s="4"/>
      <c r="P697" s="9"/>
    </row>
    <row r="698" spans="2:16" x14ac:dyDescent="0.25">
      <c r="B698" s="4"/>
      <c r="F698">
        <v>0.6</v>
      </c>
      <c r="G698">
        <v>20</v>
      </c>
      <c r="H698">
        <v>1080</v>
      </c>
      <c r="I698">
        <v>1080</v>
      </c>
      <c r="J698">
        <v>1080</v>
      </c>
      <c r="K698">
        <v>0.6</v>
      </c>
      <c r="L698">
        <v>0.6</v>
      </c>
      <c r="M698">
        <v>0.6</v>
      </c>
      <c r="N698">
        <v>0.55000000000000004</v>
      </c>
      <c r="O698">
        <v>0.3</v>
      </c>
      <c r="P698" s="9">
        <v>46148.454513888886</v>
      </c>
    </row>
    <row r="699" spans="2:16" x14ac:dyDescent="0.25">
      <c r="B699" s="4"/>
      <c r="P699" s="9"/>
    </row>
    <row r="700" spans="2:16" x14ac:dyDescent="0.25">
      <c r="B700" s="4"/>
      <c r="P700" s="9"/>
    </row>
    <row r="701" spans="2:16" x14ac:dyDescent="0.25">
      <c r="B701" s="4"/>
      <c r="P701" s="9"/>
    </row>
    <row r="702" spans="2:16" x14ac:dyDescent="0.25">
      <c r="B702" s="4"/>
      <c r="P702" s="9"/>
    </row>
    <row r="703" spans="2:16" x14ac:dyDescent="0.25">
      <c r="B703" s="4"/>
      <c r="P703" s="9"/>
    </row>
    <row r="704" spans="2:16" x14ac:dyDescent="0.25">
      <c r="B704" s="4"/>
      <c r="F704">
        <v>0.4</v>
      </c>
      <c r="G704">
        <v>2580</v>
      </c>
      <c r="H704">
        <v>3740</v>
      </c>
      <c r="I704">
        <v>4180</v>
      </c>
      <c r="J704">
        <v>3740</v>
      </c>
      <c r="K704">
        <v>0.6</v>
      </c>
      <c r="L704">
        <v>0.6</v>
      </c>
      <c r="M704">
        <v>0.3</v>
      </c>
      <c r="N704">
        <v>0.55000000000000004</v>
      </c>
      <c r="O704">
        <v>0.4</v>
      </c>
      <c r="P704" s="9">
        <v>46148.452291666668</v>
      </c>
    </row>
    <row r="705" spans="2:16" x14ac:dyDescent="0.25">
      <c r="B705" s="4"/>
      <c r="P705" s="9"/>
    </row>
    <row r="706" spans="2:16" x14ac:dyDescent="0.25">
      <c r="B706" s="4"/>
      <c r="P706" s="9"/>
    </row>
    <row r="707" spans="2:16" x14ac:dyDescent="0.25">
      <c r="B707" s="4"/>
      <c r="P707" s="9"/>
    </row>
    <row r="708" spans="2:16" x14ac:dyDescent="0.25">
      <c r="B708" s="4"/>
      <c r="P708" s="9"/>
    </row>
    <row r="709" spans="2:16" x14ac:dyDescent="0.25">
      <c r="B709" s="4"/>
      <c r="P709" s="9"/>
    </row>
    <row r="710" spans="2:16" x14ac:dyDescent="0.25">
      <c r="B710" s="4"/>
      <c r="P710" s="9"/>
    </row>
    <row r="711" spans="2:16" x14ac:dyDescent="0.25">
      <c r="B711" s="4"/>
      <c r="P711" s="9"/>
    </row>
    <row r="712" spans="2:16" x14ac:dyDescent="0.25">
      <c r="B712" s="4"/>
      <c r="P712" s="9"/>
    </row>
    <row r="713" spans="2:16" x14ac:dyDescent="0.25">
      <c r="B713" s="4"/>
      <c r="P713" s="9"/>
    </row>
    <row r="714" spans="2:16" x14ac:dyDescent="0.25">
      <c r="B714" s="4"/>
      <c r="F714">
        <v>0.4</v>
      </c>
      <c r="G714">
        <v>1100</v>
      </c>
      <c r="H714">
        <v>2780</v>
      </c>
      <c r="I714">
        <v>3220</v>
      </c>
      <c r="J714">
        <v>2780</v>
      </c>
      <c r="K714">
        <v>0.65</v>
      </c>
      <c r="L714">
        <v>0.7</v>
      </c>
      <c r="M714">
        <v>0.35</v>
      </c>
      <c r="N714">
        <v>1.1000000000000001</v>
      </c>
      <c r="O714">
        <v>0.35</v>
      </c>
      <c r="P714" s="9">
        <v>46148.452291666668</v>
      </c>
    </row>
    <row r="715" spans="2:16" x14ac:dyDescent="0.25">
      <c r="B715" s="4"/>
      <c r="P715" s="9"/>
    </row>
    <row r="716" spans="2:16" x14ac:dyDescent="0.25">
      <c r="B716" s="4"/>
      <c r="P716" s="9"/>
    </row>
    <row r="717" spans="2:16" x14ac:dyDescent="0.25">
      <c r="B717" s="4"/>
      <c r="P717" s="9"/>
    </row>
    <row r="718" spans="2:16" x14ac:dyDescent="0.25">
      <c r="B718" s="4"/>
      <c r="P718" s="9"/>
    </row>
    <row r="719" spans="2:16" x14ac:dyDescent="0.25">
      <c r="B719" s="4"/>
      <c r="P719" s="9"/>
    </row>
    <row r="720" spans="2:16" x14ac:dyDescent="0.25">
      <c r="B720" s="4"/>
      <c r="P720" s="9"/>
    </row>
    <row r="721" spans="2:16" x14ac:dyDescent="0.25">
      <c r="B721" s="4"/>
      <c r="P721" s="9"/>
    </row>
    <row r="722" spans="2:16" x14ac:dyDescent="0.25">
      <c r="B722" s="4"/>
      <c r="P722" s="9"/>
    </row>
    <row r="723" spans="2:16" x14ac:dyDescent="0.25">
      <c r="B723" s="4"/>
      <c r="F723">
        <v>8664.9500000000007</v>
      </c>
      <c r="G723">
        <v>0</v>
      </c>
      <c r="H723">
        <v>20</v>
      </c>
      <c r="I723">
        <v>20</v>
      </c>
      <c r="J723">
        <v>20</v>
      </c>
      <c r="K723">
        <v>0</v>
      </c>
      <c r="L723">
        <v>9300.15</v>
      </c>
      <c r="M723">
        <v>8664.7999999999993</v>
      </c>
      <c r="N723">
        <v>8664.9500000000007</v>
      </c>
      <c r="O723">
        <v>8351.25</v>
      </c>
      <c r="P723" s="9">
        <v>46147.50986111111</v>
      </c>
    </row>
    <row r="724" spans="2:16" x14ac:dyDescent="0.25">
      <c r="B724" s="4"/>
      <c r="F724">
        <v>0.45</v>
      </c>
      <c r="G724">
        <v>34540</v>
      </c>
      <c r="H724">
        <v>72260</v>
      </c>
      <c r="I724">
        <v>79840</v>
      </c>
      <c r="J724">
        <v>72260</v>
      </c>
      <c r="K724">
        <v>0.95</v>
      </c>
      <c r="L724">
        <v>0.95</v>
      </c>
      <c r="M724">
        <v>0.4</v>
      </c>
      <c r="N724">
        <v>0.8</v>
      </c>
      <c r="O724">
        <v>0.4</v>
      </c>
      <c r="P724" s="9">
        <v>46148.453356481485</v>
      </c>
    </row>
    <row r="725" spans="2:16" x14ac:dyDescent="0.25">
      <c r="B725" s="4"/>
      <c r="P725" s="9"/>
    </row>
    <row r="726" spans="2:16" x14ac:dyDescent="0.25">
      <c r="B726" s="4"/>
      <c r="P726" s="9"/>
    </row>
    <row r="727" spans="2:16" x14ac:dyDescent="0.25">
      <c r="B727" s="4"/>
      <c r="P727" s="9"/>
    </row>
    <row r="728" spans="2:16" x14ac:dyDescent="0.25">
      <c r="B728" s="4"/>
      <c r="P728" s="9"/>
    </row>
    <row r="729" spans="2:16" x14ac:dyDescent="0.25">
      <c r="B729" s="4"/>
      <c r="P729" s="9"/>
    </row>
    <row r="730" spans="2:16" x14ac:dyDescent="0.25">
      <c r="B730" s="4"/>
      <c r="P730" s="9"/>
    </row>
    <row r="731" spans="2:16" x14ac:dyDescent="0.25">
      <c r="B731" s="4"/>
      <c r="P731" s="9"/>
    </row>
    <row r="732" spans="2:16" x14ac:dyDescent="0.25">
      <c r="B732" s="4"/>
      <c r="F732">
        <v>0.35</v>
      </c>
      <c r="G732">
        <v>400</v>
      </c>
      <c r="H732">
        <v>640</v>
      </c>
      <c r="I732">
        <v>880</v>
      </c>
      <c r="J732">
        <v>640</v>
      </c>
      <c r="K732">
        <v>0.35</v>
      </c>
      <c r="L732">
        <v>0.35</v>
      </c>
      <c r="M732">
        <v>0.35</v>
      </c>
      <c r="N732">
        <v>0.65</v>
      </c>
      <c r="O732">
        <v>0.3</v>
      </c>
      <c r="P732" s="9">
        <v>46148.449548611112</v>
      </c>
    </row>
    <row r="733" spans="2:16" x14ac:dyDescent="0.25">
      <c r="B733" s="4"/>
      <c r="P733" s="9"/>
    </row>
    <row r="734" spans="2:16" x14ac:dyDescent="0.25">
      <c r="B734" s="4"/>
      <c r="P734" s="9"/>
    </row>
    <row r="735" spans="2:16" x14ac:dyDescent="0.25">
      <c r="B735" s="4"/>
      <c r="P735" s="9"/>
    </row>
    <row r="736" spans="2:16" x14ac:dyDescent="0.25">
      <c r="B736" s="4"/>
      <c r="F736">
        <v>0.6</v>
      </c>
      <c r="G736">
        <v>1800</v>
      </c>
      <c r="H736">
        <v>1940</v>
      </c>
      <c r="I736">
        <v>1940</v>
      </c>
      <c r="J736">
        <v>500</v>
      </c>
      <c r="K736">
        <v>0.6</v>
      </c>
      <c r="L736">
        <v>0.9</v>
      </c>
      <c r="M736">
        <v>0.55000000000000004</v>
      </c>
      <c r="N736">
        <v>0.75</v>
      </c>
      <c r="O736">
        <v>0.5</v>
      </c>
      <c r="P736" s="9">
        <v>46148.449571759258</v>
      </c>
    </row>
    <row r="737" spans="2:16" x14ac:dyDescent="0.25">
      <c r="B737" s="4"/>
      <c r="P737" s="9"/>
    </row>
    <row r="738" spans="2:16" x14ac:dyDescent="0.25">
      <c r="B738" s="4"/>
      <c r="F738">
        <v>0.4</v>
      </c>
      <c r="G738">
        <v>200</v>
      </c>
      <c r="H738">
        <v>200</v>
      </c>
      <c r="I738">
        <v>360</v>
      </c>
      <c r="J738">
        <v>200</v>
      </c>
      <c r="K738">
        <v>0.4</v>
      </c>
      <c r="L738">
        <v>0.4</v>
      </c>
      <c r="M738">
        <v>0.4</v>
      </c>
      <c r="N738">
        <v>0.75</v>
      </c>
      <c r="O738">
        <v>0.35</v>
      </c>
      <c r="P738" s="9">
        <v>46148.449872685182</v>
      </c>
    </row>
    <row r="739" spans="2:16" x14ac:dyDescent="0.25">
      <c r="B739" s="4"/>
      <c r="P739" s="9"/>
    </row>
    <row r="740" spans="2:16" x14ac:dyDescent="0.25">
      <c r="B740" s="4"/>
      <c r="F740">
        <v>0.8</v>
      </c>
      <c r="G740">
        <v>140</v>
      </c>
      <c r="H740">
        <v>540</v>
      </c>
      <c r="I740">
        <v>660</v>
      </c>
      <c r="J740">
        <v>540</v>
      </c>
      <c r="K740">
        <v>0.4</v>
      </c>
      <c r="L740">
        <v>0.8</v>
      </c>
      <c r="M740">
        <v>0.4</v>
      </c>
      <c r="N740">
        <v>0.8</v>
      </c>
      <c r="O740">
        <v>0.5</v>
      </c>
      <c r="P740" s="9">
        <v>46148.449594907404</v>
      </c>
    </row>
    <row r="741" spans="2:16" x14ac:dyDescent="0.25">
      <c r="B741" s="4"/>
      <c r="P741" s="9"/>
    </row>
    <row r="742" spans="2:16" x14ac:dyDescent="0.25">
      <c r="B742" s="4"/>
      <c r="F742">
        <v>0.65</v>
      </c>
      <c r="G742">
        <v>3180</v>
      </c>
      <c r="H742">
        <v>2200</v>
      </c>
      <c r="I742">
        <v>2200</v>
      </c>
      <c r="J742">
        <v>540</v>
      </c>
      <c r="K742">
        <v>0.4</v>
      </c>
      <c r="L742">
        <v>0.85</v>
      </c>
      <c r="M742">
        <v>0.4</v>
      </c>
      <c r="N742">
        <v>0.8</v>
      </c>
      <c r="O742">
        <v>0.6</v>
      </c>
      <c r="P742" s="9">
        <v>46148.450497685182</v>
      </c>
    </row>
    <row r="743" spans="2:16" x14ac:dyDescent="0.25">
      <c r="B743" s="4"/>
      <c r="P743" s="9"/>
    </row>
    <row r="744" spans="2:16" x14ac:dyDescent="0.25">
      <c r="B744" s="4"/>
      <c r="F744">
        <v>0.45</v>
      </c>
      <c r="G744">
        <v>73460</v>
      </c>
      <c r="H744">
        <v>100720</v>
      </c>
      <c r="I744">
        <v>121080</v>
      </c>
      <c r="J744">
        <v>100720</v>
      </c>
      <c r="K744">
        <v>0.6</v>
      </c>
      <c r="L744">
        <v>0.8</v>
      </c>
      <c r="M744">
        <v>0.45</v>
      </c>
      <c r="N744">
        <v>0.8</v>
      </c>
      <c r="O744">
        <v>0.45</v>
      </c>
      <c r="P744" s="9">
        <v>46148.452418981484</v>
      </c>
    </row>
    <row r="745" spans="2:16" x14ac:dyDescent="0.25">
      <c r="B745" s="4"/>
      <c r="P745" s="9"/>
    </row>
    <row r="746" spans="2:16" x14ac:dyDescent="0.25">
      <c r="B746" s="4"/>
      <c r="F746">
        <v>0.8</v>
      </c>
      <c r="G746">
        <v>420</v>
      </c>
      <c r="H746">
        <v>1320</v>
      </c>
      <c r="I746">
        <v>1480</v>
      </c>
      <c r="J746">
        <v>1300</v>
      </c>
      <c r="K746">
        <v>0.55000000000000004</v>
      </c>
      <c r="L746">
        <v>0.8</v>
      </c>
      <c r="M746">
        <v>0.55000000000000004</v>
      </c>
      <c r="N746">
        <v>0.9</v>
      </c>
      <c r="O746">
        <v>0.45</v>
      </c>
      <c r="P746" s="9">
        <v>46148.449571759258</v>
      </c>
    </row>
    <row r="747" spans="2:16" x14ac:dyDescent="0.25">
      <c r="B747" s="4"/>
      <c r="P747" s="9"/>
    </row>
    <row r="748" spans="2:16" x14ac:dyDescent="0.25">
      <c r="B748" s="4"/>
      <c r="P748" s="9"/>
    </row>
    <row r="749" spans="2:16" x14ac:dyDescent="0.25">
      <c r="B749" s="4"/>
      <c r="P749" s="9"/>
    </row>
    <row r="750" spans="2:16" x14ac:dyDescent="0.25">
      <c r="B750" s="4"/>
      <c r="F750">
        <v>0.8</v>
      </c>
      <c r="G750">
        <v>2160</v>
      </c>
      <c r="H750">
        <v>1120</v>
      </c>
      <c r="I750">
        <v>1720</v>
      </c>
      <c r="J750">
        <v>1120</v>
      </c>
      <c r="K750">
        <v>0.5</v>
      </c>
      <c r="L750">
        <v>0.8</v>
      </c>
      <c r="M750">
        <v>0.45</v>
      </c>
      <c r="N750">
        <v>1.1000000000000001</v>
      </c>
      <c r="O750">
        <v>0.45</v>
      </c>
      <c r="P750" s="9">
        <v>46148.443761574075</v>
      </c>
    </row>
    <row r="751" spans="2:16" x14ac:dyDescent="0.25">
      <c r="B751" s="4"/>
      <c r="P751" s="9"/>
    </row>
    <row r="752" spans="2:16" x14ac:dyDescent="0.25">
      <c r="B752" s="4"/>
      <c r="F752">
        <v>0.6</v>
      </c>
      <c r="G752">
        <v>300</v>
      </c>
      <c r="H752">
        <v>1040</v>
      </c>
      <c r="I752">
        <v>1040</v>
      </c>
      <c r="J752">
        <v>980</v>
      </c>
      <c r="K752">
        <v>0.55000000000000004</v>
      </c>
      <c r="L752">
        <v>0.8</v>
      </c>
      <c r="M752">
        <v>0.55000000000000004</v>
      </c>
      <c r="N752">
        <v>0.9</v>
      </c>
      <c r="O752">
        <v>0.6</v>
      </c>
      <c r="P752" s="9">
        <v>46148.449872685182</v>
      </c>
    </row>
    <row r="753" spans="2:16" x14ac:dyDescent="0.25">
      <c r="B753" s="4"/>
      <c r="P753" s="9"/>
    </row>
    <row r="754" spans="2:16" x14ac:dyDescent="0.25">
      <c r="B754" s="4"/>
      <c r="F754">
        <v>0.5</v>
      </c>
      <c r="G754">
        <v>8400</v>
      </c>
      <c r="H754">
        <v>13060</v>
      </c>
      <c r="I754">
        <v>14420</v>
      </c>
      <c r="J754">
        <v>13060</v>
      </c>
      <c r="K754">
        <v>0.5</v>
      </c>
      <c r="L754">
        <v>0.85</v>
      </c>
      <c r="M754">
        <v>0.45</v>
      </c>
      <c r="N754">
        <v>0.85</v>
      </c>
      <c r="O754">
        <v>0.55000000000000004</v>
      </c>
      <c r="P754" s="9">
        <v>46148.45349537037</v>
      </c>
    </row>
    <row r="755" spans="2:16" x14ac:dyDescent="0.25">
      <c r="B755" s="4"/>
      <c r="P755" s="9"/>
    </row>
    <row r="756" spans="2:16" x14ac:dyDescent="0.25">
      <c r="B756" s="4"/>
      <c r="F756">
        <v>0.65</v>
      </c>
      <c r="G756">
        <v>4120</v>
      </c>
      <c r="H756">
        <v>19940</v>
      </c>
      <c r="I756">
        <v>19960</v>
      </c>
      <c r="J756">
        <v>18780</v>
      </c>
      <c r="K756">
        <v>0.75</v>
      </c>
      <c r="L756">
        <v>0.95</v>
      </c>
      <c r="M756">
        <v>0.55000000000000004</v>
      </c>
      <c r="N756">
        <v>1.05</v>
      </c>
      <c r="O756">
        <v>0.6</v>
      </c>
      <c r="P756" s="9">
        <v>46148.455231481479</v>
      </c>
    </row>
    <row r="757" spans="2:16" x14ac:dyDescent="0.25">
      <c r="B757" s="4"/>
      <c r="P757" s="9"/>
    </row>
    <row r="758" spans="2:16" x14ac:dyDescent="0.25">
      <c r="B758" s="4"/>
      <c r="F758">
        <v>0.65</v>
      </c>
      <c r="G758">
        <v>280</v>
      </c>
      <c r="H758">
        <v>7040</v>
      </c>
      <c r="I758">
        <v>7040</v>
      </c>
      <c r="J758">
        <v>7040</v>
      </c>
      <c r="K758">
        <v>1</v>
      </c>
      <c r="L758">
        <v>1</v>
      </c>
      <c r="M758">
        <v>0.65</v>
      </c>
      <c r="N758">
        <v>1</v>
      </c>
      <c r="O758">
        <v>0.65</v>
      </c>
      <c r="P758" s="9">
        <v>46148.422037037039</v>
      </c>
    </row>
    <row r="759" spans="2:16" x14ac:dyDescent="0.25">
      <c r="B759" s="4"/>
      <c r="P759" s="9"/>
    </row>
    <row r="760" spans="2:16" x14ac:dyDescent="0.25">
      <c r="B760" s="4"/>
      <c r="F760">
        <v>0.65</v>
      </c>
      <c r="G760">
        <v>760</v>
      </c>
      <c r="H760">
        <v>2800</v>
      </c>
      <c r="I760">
        <v>3200</v>
      </c>
      <c r="J760">
        <v>2800</v>
      </c>
      <c r="K760">
        <v>0.7</v>
      </c>
      <c r="L760">
        <v>0.9</v>
      </c>
      <c r="M760">
        <v>0.65</v>
      </c>
      <c r="N760">
        <v>0.9</v>
      </c>
      <c r="O760">
        <v>0.65</v>
      </c>
      <c r="P760" s="9">
        <v>46148.450162037036</v>
      </c>
    </row>
    <row r="761" spans="2:16" x14ac:dyDescent="0.25">
      <c r="B761" s="4"/>
      <c r="P761" s="9"/>
    </row>
    <row r="762" spans="2:16" x14ac:dyDescent="0.25">
      <c r="B762" s="4"/>
      <c r="F762">
        <v>0.9</v>
      </c>
      <c r="G762">
        <v>720</v>
      </c>
      <c r="H762">
        <v>2900</v>
      </c>
      <c r="I762">
        <v>2940</v>
      </c>
      <c r="J762">
        <v>2820</v>
      </c>
      <c r="K762">
        <v>0.5</v>
      </c>
      <c r="L762">
        <v>0.9</v>
      </c>
      <c r="M762">
        <v>0.5</v>
      </c>
      <c r="N762">
        <v>0.95</v>
      </c>
      <c r="O762">
        <v>0.75</v>
      </c>
      <c r="P762" s="9">
        <v>46148.446261574078</v>
      </c>
    </row>
    <row r="763" spans="2:16" x14ac:dyDescent="0.25">
      <c r="B763" s="4"/>
      <c r="F763">
        <v>7474.75</v>
      </c>
      <c r="G763">
        <v>60</v>
      </c>
      <c r="H763">
        <v>200</v>
      </c>
      <c r="I763">
        <v>200</v>
      </c>
      <c r="J763">
        <v>200</v>
      </c>
      <c r="K763">
        <v>7500</v>
      </c>
      <c r="L763">
        <v>7500</v>
      </c>
      <c r="M763">
        <v>7474.75</v>
      </c>
      <c r="N763">
        <v>7301.05</v>
      </c>
      <c r="O763">
        <v>7258.4</v>
      </c>
      <c r="P763" s="9">
        <v>46148.413738425923</v>
      </c>
    </row>
    <row r="764" spans="2:16" x14ac:dyDescent="0.25">
      <c r="B764" s="4"/>
      <c r="F764">
        <v>0.55000000000000004</v>
      </c>
      <c r="G764">
        <v>294760</v>
      </c>
      <c r="H764">
        <v>179120</v>
      </c>
      <c r="I764">
        <v>228740</v>
      </c>
      <c r="J764">
        <v>179120</v>
      </c>
      <c r="K764">
        <v>0.75</v>
      </c>
      <c r="L764">
        <v>0.9</v>
      </c>
      <c r="M764">
        <v>0.55000000000000004</v>
      </c>
      <c r="N764">
        <v>0.9</v>
      </c>
      <c r="O764">
        <v>0.55000000000000004</v>
      </c>
      <c r="P764" s="9">
        <v>46148.454224537039</v>
      </c>
    </row>
    <row r="765" spans="2:16" x14ac:dyDescent="0.25">
      <c r="B765" s="4"/>
      <c r="P765" s="9"/>
    </row>
    <row r="766" spans="2:16" x14ac:dyDescent="0.25">
      <c r="B766" s="4"/>
      <c r="P766" s="9"/>
    </row>
    <row r="767" spans="2:16" x14ac:dyDescent="0.25">
      <c r="B767" s="4"/>
      <c r="P767" s="9"/>
    </row>
    <row r="768" spans="2:16" x14ac:dyDescent="0.25">
      <c r="B768" s="4"/>
      <c r="F768">
        <v>0.7</v>
      </c>
      <c r="G768">
        <v>1440</v>
      </c>
      <c r="H768">
        <v>2020</v>
      </c>
      <c r="I768">
        <v>2020</v>
      </c>
      <c r="J768">
        <v>1760</v>
      </c>
      <c r="K768">
        <v>1.2</v>
      </c>
      <c r="L768">
        <v>1.2</v>
      </c>
      <c r="M768">
        <v>0.5</v>
      </c>
      <c r="N768">
        <v>1.1000000000000001</v>
      </c>
      <c r="O768">
        <v>0.7</v>
      </c>
      <c r="P768" s="9">
        <v>46148.450162037036</v>
      </c>
    </row>
    <row r="769" spans="2:16" x14ac:dyDescent="0.25">
      <c r="B769" s="4"/>
      <c r="P769" s="9"/>
    </row>
    <row r="770" spans="2:16" x14ac:dyDescent="0.25">
      <c r="B770" s="4"/>
      <c r="F770">
        <v>0.65</v>
      </c>
      <c r="G770">
        <v>900</v>
      </c>
      <c r="H770">
        <v>760</v>
      </c>
      <c r="I770">
        <v>1020</v>
      </c>
      <c r="J770">
        <v>760</v>
      </c>
      <c r="K770">
        <v>1.1499999999999999</v>
      </c>
      <c r="L770">
        <v>1.1499999999999999</v>
      </c>
      <c r="M770">
        <v>0.55000000000000004</v>
      </c>
      <c r="N770">
        <v>0.95</v>
      </c>
      <c r="O770">
        <v>0.6</v>
      </c>
      <c r="P770" s="9">
        <v>46148.437256944446</v>
      </c>
    </row>
    <row r="771" spans="2:16" x14ac:dyDescent="0.25">
      <c r="B771" s="4"/>
      <c r="P771" s="9"/>
    </row>
    <row r="772" spans="2:16" x14ac:dyDescent="0.25">
      <c r="B772" s="4"/>
      <c r="P772" s="9"/>
    </row>
    <row r="773" spans="2:16" x14ac:dyDescent="0.25">
      <c r="B773" s="4"/>
      <c r="P773" s="9"/>
    </row>
    <row r="774" spans="2:16" x14ac:dyDescent="0.25">
      <c r="B774" s="4"/>
      <c r="F774">
        <v>0.7</v>
      </c>
      <c r="G774">
        <v>163860</v>
      </c>
      <c r="H774">
        <v>60680</v>
      </c>
      <c r="I774">
        <v>83020</v>
      </c>
      <c r="J774">
        <v>60680</v>
      </c>
      <c r="K774">
        <v>1.75</v>
      </c>
      <c r="L774">
        <v>1.75</v>
      </c>
      <c r="M774">
        <v>0.55000000000000004</v>
      </c>
      <c r="N774">
        <v>1</v>
      </c>
      <c r="O774">
        <v>0.6</v>
      </c>
      <c r="P774" s="9">
        <v>46148.451886574076</v>
      </c>
    </row>
    <row r="775" spans="2:16" x14ac:dyDescent="0.25">
      <c r="B775" s="4"/>
      <c r="P775" s="9"/>
    </row>
    <row r="776" spans="2:16" x14ac:dyDescent="0.25">
      <c r="B776" s="4"/>
      <c r="F776">
        <v>0.6</v>
      </c>
      <c r="G776">
        <v>1000</v>
      </c>
      <c r="H776">
        <v>1060</v>
      </c>
      <c r="I776">
        <v>1060</v>
      </c>
      <c r="J776">
        <v>880</v>
      </c>
      <c r="K776">
        <v>0.5</v>
      </c>
      <c r="L776">
        <v>1</v>
      </c>
      <c r="M776">
        <v>0.5</v>
      </c>
      <c r="N776">
        <v>1.05</v>
      </c>
      <c r="O776">
        <v>0.75</v>
      </c>
      <c r="P776" s="9">
        <v>46148.434664351851</v>
      </c>
    </row>
    <row r="777" spans="2:16" x14ac:dyDescent="0.25">
      <c r="B777" s="4"/>
      <c r="P777" s="9"/>
    </row>
    <row r="778" spans="2:16" x14ac:dyDescent="0.25">
      <c r="B778" s="4"/>
      <c r="F778">
        <v>0.9</v>
      </c>
      <c r="G778">
        <v>1860</v>
      </c>
      <c r="H778">
        <v>4280</v>
      </c>
      <c r="I778">
        <v>4280</v>
      </c>
      <c r="J778">
        <v>3300</v>
      </c>
      <c r="K778">
        <v>1.05</v>
      </c>
      <c r="L778">
        <v>1.05</v>
      </c>
      <c r="M778">
        <v>0.65</v>
      </c>
      <c r="N778">
        <v>1.3</v>
      </c>
      <c r="O778">
        <v>0.65</v>
      </c>
      <c r="P778" s="9">
        <v>46148.431886574072</v>
      </c>
    </row>
    <row r="779" spans="2:16" x14ac:dyDescent="0.25">
      <c r="B779" s="4"/>
      <c r="P779" s="9"/>
    </row>
    <row r="780" spans="2:16" x14ac:dyDescent="0.25">
      <c r="B780" s="4"/>
      <c r="F780">
        <v>0.8</v>
      </c>
      <c r="G780">
        <v>2080</v>
      </c>
      <c r="H780">
        <v>1960</v>
      </c>
      <c r="I780">
        <v>2040</v>
      </c>
      <c r="J780">
        <v>1880</v>
      </c>
      <c r="K780">
        <v>0.65</v>
      </c>
      <c r="L780">
        <v>0.95</v>
      </c>
      <c r="M780">
        <v>0.65</v>
      </c>
      <c r="N780">
        <v>1</v>
      </c>
      <c r="O780">
        <v>0.55000000000000004</v>
      </c>
      <c r="P780" s="9">
        <v>46148.437256944446</v>
      </c>
    </row>
    <row r="781" spans="2:16" x14ac:dyDescent="0.25">
      <c r="B781" s="4"/>
      <c r="P781" s="9"/>
    </row>
    <row r="782" spans="2:16" x14ac:dyDescent="0.25">
      <c r="B782" s="4"/>
      <c r="F782">
        <v>1</v>
      </c>
      <c r="G782">
        <v>1140</v>
      </c>
      <c r="H782">
        <v>1820</v>
      </c>
      <c r="I782">
        <v>1820</v>
      </c>
      <c r="J782">
        <v>1700</v>
      </c>
      <c r="K782">
        <v>1.1000000000000001</v>
      </c>
      <c r="L782">
        <v>1.1499999999999999</v>
      </c>
      <c r="M782">
        <v>0.55000000000000004</v>
      </c>
      <c r="N782">
        <v>1.1499999999999999</v>
      </c>
      <c r="O782">
        <v>0.75</v>
      </c>
      <c r="P782" s="9">
        <v>46148.437256944446</v>
      </c>
    </row>
    <row r="783" spans="2:16" x14ac:dyDescent="0.25">
      <c r="B783" s="4"/>
      <c r="F783">
        <v>6039.2</v>
      </c>
      <c r="G783">
        <v>0</v>
      </c>
      <c r="H783">
        <v>660</v>
      </c>
      <c r="I783">
        <v>660</v>
      </c>
      <c r="J783">
        <v>660</v>
      </c>
      <c r="K783">
        <v>0</v>
      </c>
      <c r="L783">
        <v>6227.15</v>
      </c>
      <c r="M783">
        <v>5625</v>
      </c>
      <c r="N783">
        <v>6039.2</v>
      </c>
      <c r="O783">
        <v>5507.65</v>
      </c>
      <c r="P783" s="9">
        <v>46142.626875000002</v>
      </c>
    </row>
    <row r="784" spans="2:16" x14ac:dyDescent="0.25">
      <c r="B784" s="4"/>
      <c r="F784">
        <v>0.75</v>
      </c>
      <c r="G784">
        <v>528600</v>
      </c>
      <c r="H784">
        <v>172980</v>
      </c>
      <c r="I784">
        <v>236920</v>
      </c>
      <c r="J784">
        <v>172980</v>
      </c>
      <c r="K784">
        <v>0.8</v>
      </c>
      <c r="L784">
        <v>0.95</v>
      </c>
      <c r="M784">
        <v>0.6</v>
      </c>
      <c r="N784">
        <v>1</v>
      </c>
      <c r="O784">
        <v>0.7</v>
      </c>
      <c r="P784" s="9">
        <v>46148.455150462964</v>
      </c>
    </row>
    <row r="785" spans="2:16" x14ac:dyDescent="0.25">
      <c r="B785" s="4"/>
      <c r="P785" s="9"/>
    </row>
    <row r="786" spans="2:16" x14ac:dyDescent="0.25">
      <c r="B786" s="4"/>
      <c r="F786">
        <v>0.8</v>
      </c>
      <c r="G786">
        <v>880</v>
      </c>
      <c r="H786">
        <v>1460</v>
      </c>
      <c r="I786">
        <v>1500</v>
      </c>
      <c r="J786">
        <v>1340</v>
      </c>
      <c r="K786">
        <v>0.75</v>
      </c>
      <c r="L786">
        <v>1.2</v>
      </c>
      <c r="M786">
        <v>0.75</v>
      </c>
      <c r="N786">
        <v>1.1000000000000001</v>
      </c>
      <c r="O786">
        <v>0.85</v>
      </c>
      <c r="P786" s="9">
        <v>46148.444178240738</v>
      </c>
    </row>
    <row r="787" spans="2:16" x14ac:dyDescent="0.25">
      <c r="B787" s="4"/>
      <c r="P787" s="9"/>
    </row>
    <row r="788" spans="2:16" x14ac:dyDescent="0.25">
      <c r="B788" s="4"/>
      <c r="F788">
        <v>0.85</v>
      </c>
      <c r="G788">
        <v>2140</v>
      </c>
      <c r="H788">
        <v>3380</v>
      </c>
      <c r="I788">
        <v>3780</v>
      </c>
      <c r="J788">
        <v>3300</v>
      </c>
      <c r="K788">
        <v>1.1000000000000001</v>
      </c>
      <c r="L788">
        <v>1.1499999999999999</v>
      </c>
      <c r="M788">
        <v>0.65</v>
      </c>
      <c r="N788">
        <v>1.1499999999999999</v>
      </c>
      <c r="O788">
        <v>0.9</v>
      </c>
      <c r="P788" s="9">
        <v>46148.452731481484</v>
      </c>
    </row>
    <row r="789" spans="2:16" x14ac:dyDescent="0.25">
      <c r="B789" s="4"/>
      <c r="P789" s="9"/>
    </row>
    <row r="790" spans="2:16" x14ac:dyDescent="0.25">
      <c r="B790" s="4"/>
      <c r="F790">
        <v>0.95</v>
      </c>
      <c r="G790">
        <v>3180</v>
      </c>
      <c r="H790">
        <v>1740</v>
      </c>
      <c r="I790">
        <v>1740</v>
      </c>
      <c r="J790">
        <v>1060</v>
      </c>
      <c r="K790">
        <v>0.7</v>
      </c>
      <c r="L790">
        <v>1.2</v>
      </c>
      <c r="M790">
        <v>0.7</v>
      </c>
      <c r="N790">
        <v>0.9</v>
      </c>
      <c r="O790">
        <v>0.95</v>
      </c>
      <c r="P790" s="9">
        <v>46148.452037037037</v>
      </c>
    </row>
    <row r="791" spans="2:16" x14ac:dyDescent="0.25">
      <c r="B791" s="4"/>
      <c r="P791" s="9"/>
    </row>
    <row r="792" spans="2:16" x14ac:dyDescent="0.25">
      <c r="B792" s="4"/>
      <c r="F792">
        <v>0.85</v>
      </c>
      <c r="G792">
        <v>2960</v>
      </c>
      <c r="H792">
        <v>3960</v>
      </c>
      <c r="I792">
        <v>3960</v>
      </c>
      <c r="J792">
        <v>3300</v>
      </c>
      <c r="K792">
        <v>1.1499999999999999</v>
      </c>
      <c r="L792">
        <v>1.1499999999999999</v>
      </c>
      <c r="M792">
        <v>0.65</v>
      </c>
      <c r="N792">
        <v>1.1499999999999999</v>
      </c>
      <c r="O792">
        <v>0.85</v>
      </c>
      <c r="P792" s="9">
        <v>46148.45511574074</v>
      </c>
    </row>
    <row r="793" spans="2:16" x14ac:dyDescent="0.25">
      <c r="B793" s="4"/>
      <c r="P793" s="9"/>
    </row>
    <row r="794" spans="2:16" x14ac:dyDescent="0.25">
      <c r="B794" s="4"/>
      <c r="P794" s="9"/>
    </row>
    <row r="795" spans="2:16" x14ac:dyDescent="0.25">
      <c r="B795" s="4"/>
      <c r="P795" s="9"/>
    </row>
    <row r="796" spans="2:16" x14ac:dyDescent="0.25">
      <c r="B796" s="4"/>
      <c r="F796">
        <v>0.9</v>
      </c>
      <c r="G796">
        <v>7000</v>
      </c>
      <c r="H796">
        <v>2640</v>
      </c>
      <c r="I796">
        <v>3460</v>
      </c>
      <c r="J796">
        <v>1860</v>
      </c>
      <c r="K796">
        <v>0.7</v>
      </c>
      <c r="L796">
        <v>1.3</v>
      </c>
      <c r="M796">
        <v>0.7</v>
      </c>
      <c r="N796">
        <v>1</v>
      </c>
      <c r="O796">
        <v>0.85</v>
      </c>
      <c r="P796" s="9">
        <v>46148.452557870369</v>
      </c>
    </row>
    <row r="797" spans="2:16" x14ac:dyDescent="0.25">
      <c r="B797" s="4"/>
      <c r="P797" s="9"/>
    </row>
    <row r="798" spans="2:16" x14ac:dyDescent="0.25">
      <c r="B798" s="4"/>
      <c r="F798">
        <v>0.85</v>
      </c>
      <c r="G798">
        <v>6620</v>
      </c>
      <c r="H798">
        <v>8060</v>
      </c>
      <c r="I798">
        <v>8100</v>
      </c>
      <c r="J798">
        <v>6240</v>
      </c>
      <c r="K798">
        <v>1.05</v>
      </c>
      <c r="L798">
        <v>1.4</v>
      </c>
      <c r="M798">
        <v>0.7</v>
      </c>
      <c r="N798">
        <v>1.05</v>
      </c>
      <c r="O798">
        <v>0.85</v>
      </c>
      <c r="P798" s="9">
        <v>46148.45511574074</v>
      </c>
    </row>
    <row r="799" spans="2:16" x14ac:dyDescent="0.25">
      <c r="B799" s="4"/>
      <c r="P799" s="9"/>
    </row>
    <row r="800" spans="2:16" x14ac:dyDescent="0.25">
      <c r="B800" s="4"/>
      <c r="F800">
        <v>0.85</v>
      </c>
      <c r="G800">
        <v>11200</v>
      </c>
      <c r="H800">
        <v>4980</v>
      </c>
      <c r="I800">
        <v>6720</v>
      </c>
      <c r="J800">
        <v>4120</v>
      </c>
      <c r="K800">
        <v>0.9</v>
      </c>
      <c r="L800">
        <v>1.35</v>
      </c>
      <c r="M800">
        <v>0.7</v>
      </c>
      <c r="N800">
        <v>1.05</v>
      </c>
      <c r="O800">
        <v>0.85</v>
      </c>
      <c r="P800" s="9">
        <v>46148.452962962961</v>
      </c>
    </row>
    <row r="801" spans="2:16" x14ac:dyDescent="0.25">
      <c r="B801" s="4"/>
      <c r="P801" s="9"/>
    </row>
    <row r="802" spans="2:16" x14ac:dyDescent="0.25">
      <c r="B802" s="4"/>
      <c r="F802">
        <v>0.8</v>
      </c>
      <c r="G802">
        <v>25460</v>
      </c>
      <c r="H802">
        <v>5800</v>
      </c>
      <c r="I802">
        <v>8380</v>
      </c>
      <c r="J802">
        <v>5740</v>
      </c>
      <c r="K802">
        <v>0.7</v>
      </c>
      <c r="L802">
        <v>1.4</v>
      </c>
      <c r="M802">
        <v>0.7</v>
      </c>
      <c r="N802">
        <v>1</v>
      </c>
      <c r="O802">
        <v>0.8</v>
      </c>
      <c r="P802" s="9">
        <v>46148.455289351848</v>
      </c>
    </row>
    <row r="803" spans="2:16" x14ac:dyDescent="0.25">
      <c r="B803" s="4"/>
      <c r="P803" s="9"/>
    </row>
    <row r="804" spans="2:16" x14ac:dyDescent="0.25">
      <c r="B804" s="4"/>
      <c r="F804">
        <v>1</v>
      </c>
      <c r="G804">
        <v>1146040</v>
      </c>
      <c r="H804">
        <v>380120</v>
      </c>
      <c r="I804">
        <v>431000</v>
      </c>
      <c r="J804">
        <v>380120</v>
      </c>
      <c r="K804">
        <v>1.1000000000000001</v>
      </c>
      <c r="L804">
        <v>1.3</v>
      </c>
      <c r="M804">
        <v>0.65</v>
      </c>
      <c r="N804">
        <v>1.35</v>
      </c>
      <c r="O804">
        <v>1</v>
      </c>
      <c r="P804" s="9">
        <v>46148.455266203702</v>
      </c>
    </row>
    <row r="805" spans="2:16" x14ac:dyDescent="0.25">
      <c r="B805" s="4"/>
      <c r="P805" s="9"/>
    </row>
    <row r="806" spans="2:16" x14ac:dyDescent="0.25">
      <c r="B806" s="4"/>
      <c r="F806">
        <v>1.05</v>
      </c>
      <c r="G806">
        <v>10980</v>
      </c>
      <c r="H806">
        <v>5260</v>
      </c>
      <c r="I806">
        <v>7400</v>
      </c>
      <c r="J806">
        <v>5240</v>
      </c>
      <c r="K806">
        <v>1.35</v>
      </c>
      <c r="L806">
        <v>1.5</v>
      </c>
      <c r="M806">
        <v>0.75</v>
      </c>
      <c r="N806">
        <v>1.4</v>
      </c>
      <c r="O806">
        <v>0.95</v>
      </c>
      <c r="P806" s="9">
        <v>46148.45511574074</v>
      </c>
    </row>
    <row r="807" spans="2:16" x14ac:dyDescent="0.25">
      <c r="B807" s="4"/>
      <c r="P807" s="9"/>
    </row>
    <row r="808" spans="2:16" x14ac:dyDescent="0.25">
      <c r="B808" s="4"/>
      <c r="F808">
        <v>1</v>
      </c>
      <c r="G808">
        <v>17520</v>
      </c>
      <c r="H808">
        <v>13540</v>
      </c>
      <c r="I808">
        <v>14720</v>
      </c>
      <c r="J808">
        <v>13420</v>
      </c>
      <c r="K808">
        <v>0.85</v>
      </c>
      <c r="L808">
        <v>1.45</v>
      </c>
      <c r="M808">
        <v>0.8</v>
      </c>
      <c r="N808">
        <v>1.4</v>
      </c>
      <c r="O808">
        <v>0.95</v>
      </c>
      <c r="P808" s="9">
        <v>46148.455277777779</v>
      </c>
    </row>
    <row r="809" spans="2:16" x14ac:dyDescent="0.25">
      <c r="B809" s="4"/>
      <c r="P809" s="9"/>
    </row>
    <row r="810" spans="2:16" x14ac:dyDescent="0.25">
      <c r="B810" s="4"/>
      <c r="F810">
        <v>0.9</v>
      </c>
      <c r="G810">
        <v>105460</v>
      </c>
      <c r="H810">
        <v>88860</v>
      </c>
      <c r="I810">
        <v>91340</v>
      </c>
      <c r="J810">
        <v>88740</v>
      </c>
      <c r="K810">
        <v>1.25</v>
      </c>
      <c r="L810">
        <v>1.3</v>
      </c>
      <c r="M810">
        <v>0.8</v>
      </c>
      <c r="N810">
        <v>1.25</v>
      </c>
      <c r="O810">
        <v>0.9</v>
      </c>
      <c r="P810" s="9">
        <v>46148.45511574074</v>
      </c>
    </row>
    <row r="811" spans="2:16" x14ac:dyDescent="0.25">
      <c r="B811" s="4"/>
      <c r="P811" s="9"/>
    </row>
    <row r="812" spans="2:16" x14ac:dyDescent="0.25">
      <c r="B812" s="4"/>
      <c r="F812">
        <v>1.1000000000000001</v>
      </c>
      <c r="G812">
        <v>14800</v>
      </c>
      <c r="H812">
        <v>11900</v>
      </c>
      <c r="I812">
        <v>17860</v>
      </c>
      <c r="J812">
        <v>11900</v>
      </c>
      <c r="K812">
        <v>1.2</v>
      </c>
      <c r="L812">
        <v>1.5</v>
      </c>
      <c r="M812">
        <v>1</v>
      </c>
      <c r="N812">
        <v>1.45</v>
      </c>
      <c r="O812">
        <v>1</v>
      </c>
      <c r="P812" s="9">
        <v>46148.446909722225</v>
      </c>
    </row>
    <row r="813" spans="2:16" x14ac:dyDescent="0.25">
      <c r="B813" s="4"/>
      <c r="P813" s="9"/>
    </row>
    <row r="814" spans="2:16" x14ac:dyDescent="0.25">
      <c r="B814" s="4"/>
      <c r="F814">
        <v>1.05</v>
      </c>
      <c r="G814">
        <v>561360</v>
      </c>
      <c r="H814">
        <v>163200</v>
      </c>
      <c r="I814">
        <v>206240</v>
      </c>
      <c r="J814">
        <v>163200</v>
      </c>
      <c r="K814">
        <v>0.9</v>
      </c>
      <c r="L814">
        <v>1.4</v>
      </c>
      <c r="M814">
        <v>0.9</v>
      </c>
      <c r="N814">
        <v>1.5</v>
      </c>
      <c r="O814">
        <v>1.05</v>
      </c>
      <c r="P814" s="9">
        <v>46148.455347222225</v>
      </c>
    </row>
    <row r="815" spans="2:16" x14ac:dyDescent="0.25">
      <c r="B815" s="4"/>
      <c r="P815" s="9"/>
    </row>
    <row r="816" spans="2:16" x14ac:dyDescent="0.25">
      <c r="B816" s="4"/>
      <c r="F816">
        <v>1.2</v>
      </c>
      <c r="G816">
        <v>20540</v>
      </c>
      <c r="H816">
        <v>7260</v>
      </c>
      <c r="I816">
        <v>8340</v>
      </c>
      <c r="J816">
        <v>6380</v>
      </c>
      <c r="K816">
        <v>1.05</v>
      </c>
      <c r="L816">
        <v>1.6</v>
      </c>
      <c r="M816">
        <v>1</v>
      </c>
      <c r="N816">
        <v>1.7</v>
      </c>
      <c r="O816">
        <v>1.2</v>
      </c>
      <c r="P816" s="9">
        <v>46148.455277777779</v>
      </c>
    </row>
    <row r="817" spans="2:16" x14ac:dyDescent="0.25">
      <c r="B817" s="4"/>
      <c r="P817" s="9"/>
    </row>
    <row r="818" spans="2:16" x14ac:dyDescent="0.25">
      <c r="B818" s="4"/>
      <c r="F818">
        <v>1.1499999999999999</v>
      </c>
      <c r="G818">
        <v>24100</v>
      </c>
      <c r="H818">
        <v>12260</v>
      </c>
      <c r="I818">
        <v>13880</v>
      </c>
      <c r="J818">
        <v>11740</v>
      </c>
      <c r="K818">
        <v>1.8</v>
      </c>
      <c r="L818">
        <v>1.8</v>
      </c>
      <c r="M818">
        <v>0.95</v>
      </c>
      <c r="N818">
        <v>1.8</v>
      </c>
      <c r="O818">
        <v>1.1499999999999999</v>
      </c>
      <c r="P818" s="9">
        <v>46148.455277777779</v>
      </c>
    </row>
    <row r="819" spans="2:16" x14ac:dyDescent="0.25">
      <c r="B819" s="4"/>
      <c r="P819" s="9"/>
    </row>
    <row r="820" spans="2:16" x14ac:dyDescent="0.25">
      <c r="B820" s="4"/>
      <c r="F820">
        <v>1.3</v>
      </c>
      <c r="G820">
        <v>147740</v>
      </c>
      <c r="H820">
        <v>69080</v>
      </c>
      <c r="I820">
        <v>70180</v>
      </c>
      <c r="J820">
        <v>15980</v>
      </c>
      <c r="K820">
        <v>1.55</v>
      </c>
      <c r="L820">
        <v>1.75</v>
      </c>
      <c r="M820">
        <v>1</v>
      </c>
      <c r="N820">
        <v>1.95</v>
      </c>
      <c r="O820">
        <v>1.25</v>
      </c>
      <c r="P820" s="9">
        <v>46148.455347222225</v>
      </c>
    </row>
    <row r="821" spans="2:16" x14ac:dyDescent="0.25">
      <c r="B821" s="4"/>
      <c r="F821">
        <v>4500.3500000000004</v>
      </c>
      <c r="G821">
        <v>40</v>
      </c>
      <c r="H821">
        <v>20</v>
      </c>
      <c r="I821">
        <v>20</v>
      </c>
      <c r="J821">
        <v>20</v>
      </c>
      <c r="K821">
        <v>4403.05</v>
      </c>
      <c r="L821">
        <v>4500.3500000000004</v>
      </c>
      <c r="M821">
        <v>4403.05</v>
      </c>
      <c r="N821">
        <v>4139.75</v>
      </c>
      <c r="O821">
        <v>4344.5</v>
      </c>
      <c r="P821" s="9">
        <v>46148.429629629631</v>
      </c>
    </row>
    <row r="822" spans="2:16" x14ac:dyDescent="0.25">
      <c r="B822" s="4"/>
      <c r="F822">
        <v>1.4</v>
      </c>
      <c r="G822">
        <v>38280</v>
      </c>
      <c r="H822">
        <v>10860</v>
      </c>
      <c r="I822">
        <v>12500</v>
      </c>
      <c r="J822">
        <v>8720</v>
      </c>
      <c r="K822">
        <v>1.95</v>
      </c>
      <c r="L822">
        <v>1.95</v>
      </c>
      <c r="M822">
        <v>1.1000000000000001</v>
      </c>
      <c r="N822">
        <v>2</v>
      </c>
      <c r="O822">
        <v>1.3</v>
      </c>
      <c r="P822" s="9">
        <v>46148.455358796295</v>
      </c>
    </row>
    <row r="823" spans="2:16" x14ac:dyDescent="0.25">
      <c r="B823" s="4"/>
      <c r="F823">
        <v>4075</v>
      </c>
      <c r="G823">
        <v>0</v>
      </c>
      <c r="H823">
        <v>780</v>
      </c>
      <c r="I823">
        <v>780</v>
      </c>
      <c r="J823">
        <v>780</v>
      </c>
      <c r="K823">
        <v>0</v>
      </c>
      <c r="L823">
        <v>4303.3</v>
      </c>
      <c r="M823">
        <v>3687.25</v>
      </c>
      <c r="N823">
        <v>4075</v>
      </c>
      <c r="O823">
        <v>3906.35</v>
      </c>
      <c r="P823" s="9">
        <v>46147.596574074072</v>
      </c>
    </row>
    <row r="824" spans="2:16" x14ac:dyDescent="0.25">
      <c r="B824" s="4"/>
      <c r="F824">
        <v>1.2</v>
      </c>
      <c r="G824">
        <v>1895720</v>
      </c>
      <c r="H824">
        <v>498420</v>
      </c>
      <c r="I824">
        <v>540440</v>
      </c>
      <c r="J824">
        <v>472440</v>
      </c>
      <c r="K824">
        <v>1.4</v>
      </c>
      <c r="L824">
        <v>1.65</v>
      </c>
      <c r="M824">
        <v>1.2</v>
      </c>
      <c r="N824">
        <v>2.15</v>
      </c>
      <c r="O824">
        <v>1.1499999999999999</v>
      </c>
      <c r="P824" s="9">
        <v>46148.455347222225</v>
      </c>
    </row>
    <row r="825" spans="2:16" x14ac:dyDescent="0.25">
      <c r="B825" s="4"/>
      <c r="P825" s="9"/>
    </row>
    <row r="826" spans="2:16" x14ac:dyDescent="0.25">
      <c r="B826" s="4"/>
      <c r="F826">
        <v>1.25</v>
      </c>
      <c r="G826">
        <v>116440</v>
      </c>
      <c r="H826">
        <v>31620</v>
      </c>
      <c r="I826">
        <v>35540</v>
      </c>
      <c r="J826">
        <v>29720</v>
      </c>
      <c r="K826">
        <v>1.95</v>
      </c>
      <c r="L826">
        <v>1.95</v>
      </c>
      <c r="M826">
        <v>1.2</v>
      </c>
      <c r="N826">
        <v>2.25</v>
      </c>
      <c r="O826">
        <v>1.2</v>
      </c>
      <c r="P826" s="9">
        <v>46148.455277777779</v>
      </c>
    </row>
    <row r="827" spans="2:16" x14ac:dyDescent="0.25">
      <c r="B827" s="4"/>
      <c r="P827" s="9"/>
    </row>
    <row r="828" spans="2:16" x14ac:dyDescent="0.25">
      <c r="B828" s="4"/>
      <c r="F828">
        <v>1.25</v>
      </c>
      <c r="G828">
        <v>75500</v>
      </c>
      <c r="H828">
        <v>32840</v>
      </c>
      <c r="I828">
        <v>39580</v>
      </c>
      <c r="J828">
        <v>32840</v>
      </c>
      <c r="K828">
        <v>1.85</v>
      </c>
      <c r="L828">
        <v>1.9</v>
      </c>
      <c r="M828">
        <v>1.25</v>
      </c>
      <c r="N828">
        <v>2.5499999999999998</v>
      </c>
      <c r="O828">
        <v>1.25</v>
      </c>
      <c r="P828" s="9">
        <v>46148.455324074072</v>
      </c>
    </row>
    <row r="829" spans="2:16" x14ac:dyDescent="0.25">
      <c r="B829" s="4"/>
      <c r="P829" s="9"/>
    </row>
    <row r="830" spans="2:16" x14ac:dyDescent="0.25">
      <c r="B830" s="4"/>
      <c r="F830">
        <v>1.4</v>
      </c>
      <c r="G830">
        <v>147500</v>
      </c>
      <c r="H830">
        <v>29380</v>
      </c>
      <c r="I830">
        <v>39880</v>
      </c>
      <c r="J830">
        <v>29380</v>
      </c>
      <c r="K830">
        <v>1.95</v>
      </c>
      <c r="L830">
        <v>2</v>
      </c>
      <c r="M830">
        <v>1.35</v>
      </c>
      <c r="N830">
        <v>2.65</v>
      </c>
      <c r="O830">
        <v>1.35</v>
      </c>
      <c r="P830" s="9">
        <v>46148.455289351848</v>
      </c>
    </row>
    <row r="831" spans="2:16" x14ac:dyDescent="0.25">
      <c r="B831" s="4"/>
      <c r="P831" s="9"/>
    </row>
    <row r="832" spans="2:16" x14ac:dyDescent="0.25">
      <c r="B832" s="4"/>
      <c r="F832">
        <v>1.5</v>
      </c>
      <c r="G832">
        <v>232680</v>
      </c>
      <c r="H832">
        <v>54540</v>
      </c>
      <c r="I832">
        <v>82140</v>
      </c>
      <c r="J832">
        <v>54500</v>
      </c>
      <c r="K832">
        <v>1.45</v>
      </c>
      <c r="L832">
        <v>1.85</v>
      </c>
      <c r="M832">
        <v>1.4</v>
      </c>
      <c r="N832">
        <v>2.75</v>
      </c>
      <c r="O832">
        <v>1.45</v>
      </c>
      <c r="P832" s="9">
        <v>46148.455289351848</v>
      </c>
    </row>
    <row r="833" spans="2:16" x14ac:dyDescent="0.25">
      <c r="B833" s="4"/>
      <c r="P833" s="9"/>
    </row>
    <row r="834" spans="2:16" x14ac:dyDescent="0.25">
      <c r="B834" s="4"/>
      <c r="F834">
        <v>1.5</v>
      </c>
      <c r="G834">
        <v>2193480</v>
      </c>
      <c r="H834">
        <v>552680</v>
      </c>
      <c r="I834">
        <v>698000</v>
      </c>
      <c r="J834">
        <v>552680</v>
      </c>
      <c r="K834">
        <v>1.65</v>
      </c>
      <c r="L834">
        <v>2.4500000000000002</v>
      </c>
      <c r="M834">
        <v>1.4</v>
      </c>
      <c r="N834">
        <v>3</v>
      </c>
      <c r="O834">
        <v>1.5</v>
      </c>
      <c r="P834" s="9">
        <v>46148.455335648148</v>
      </c>
    </row>
    <row r="835" spans="2:16" x14ac:dyDescent="0.25">
      <c r="B835" s="4"/>
      <c r="P835" s="9"/>
    </row>
    <row r="836" spans="2:16" x14ac:dyDescent="0.25">
      <c r="B836" s="4"/>
      <c r="F836">
        <v>1.65</v>
      </c>
      <c r="G836">
        <v>368560</v>
      </c>
      <c r="H836">
        <v>58500</v>
      </c>
      <c r="I836">
        <v>135560</v>
      </c>
      <c r="J836">
        <v>58480</v>
      </c>
      <c r="K836">
        <v>2.2999999999999998</v>
      </c>
      <c r="L836">
        <v>2.4</v>
      </c>
      <c r="M836">
        <v>1.55</v>
      </c>
      <c r="N836">
        <v>3</v>
      </c>
      <c r="O836">
        <v>1.6</v>
      </c>
      <c r="P836" s="9">
        <v>46148.455023148148</v>
      </c>
    </row>
    <row r="837" spans="2:16" x14ac:dyDescent="0.25">
      <c r="B837" s="4"/>
      <c r="P837" s="9"/>
    </row>
    <row r="838" spans="2:16" x14ac:dyDescent="0.25">
      <c r="B838" s="4"/>
      <c r="F838">
        <v>1.6</v>
      </c>
      <c r="G838">
        <v>281300</v>
      </c>
      <c r="H838">
        <v>86420</v>
      </c>
      <c r="I838">
        <v>91680</v>
      </c>
      <c r="J838">
        <v>71980</v>
      </c>
      <c r="K838">
        <v>1.8</v>
      </c>
      <c r="L838">
        <v>2.25</v>
      </c>
      <c r="M838">
        <v>1.55</v>
      </c>
      <c r="N838">
        <v>3.25</v>
      </c>
      <c r="O838">
        <v>1.6</v>
      </c>
      <c r="P838" s="9">
        <v>46148.455277777779</v>
      </c>
    </row>
    <row r="839" spans="2:16" x14ac:dyDescent="0.25">
      <c r="B839" s="4"/>
      <c r="P839" s="9"/>
    </row>
    <row r="840" spans="2:16" x14ac:dyDescent="0.25">
      <c r="B840" s="4"/>
      <c r="F840">
        <v>1.8</v>
      </c>
      <c r="G840">
        <v>315740</v>
      </c>
      <c r="H840">
        <v>79180</v>
      </c>
      <c r="I840">
        <v>104960</v>
      </c>
      <c r="J840">
        <v>78260</v>
      </c>
      <c r="K840">
        <v>3.5</v>
      </c>
      <c r="L840">
        <v>3.5</v>
      </c>
      <c r="M840">
        <v>1.7</v>
      </c>
      <c r="N840">
        <v>3.5</v>
      </c>
      <c r="O840">
        <v>1.75</v>
      </c>
      <c r="P840" s="9">
        <v>46148.455081018517</v>
      </c>
    </row>
    <row r="841" spans="2:16" x14ac:dyDescent="0.25">
      <c r="B841" s="4"/>
      <c r="P841" s="9"/>
    </row>
    <row r="842" spans="2:16" x14ac:dyDescent="0.25">
      <c r="B842" s="4"/>
      <c r="F842">
        <v>1.9</v>
      </c>
      <c r="G842">
        <v>229100</v>
      </c>
      <c r="H842">
        <v>80160</v>
      </c>
      <c r="I842">
        <v>81840</v>
      </c>
      <c r="J842">
        <v>73620</v>
      </c>
      <c r="K842">
        <v>2.0499999999999998</v>
      </c>
      <c r="L842">
        <v>2.5499999999999998</v>
      </c>
      <c r="M842">
        <v>1.75</v>
      </c>
      <c r="N842">
        <v>3.85</v>
      </c>
      <c r="O842">
        <v>1.85</v>
      </c>
      <c r="P842" s="9">
        <v>46148.455289351848</v>
      </c>
    </row>
    <row r="843" spans="2:16" x14ac:dyDescent="0.25">
      <c r="B843" s="4"/>
      <c r="F843">
        <v>3183.1</v>
      </c>
      <c r="G843">
        <v>0</v>
      </c>
      <c r="H843">
        <v>5060</v>
      </c>
      <c r="I843">
        <v>5060</v>
      </c>
      <c r="J843">
        <v>5060</v>
      </c>
      <c r="K843">
        <v>0</v>
      </c>
      <c r="L843">
        <v>3200</v>
      </c>
      <c r="M843">
        <v>2735.85</v>
      </c>
      <c r="N843">
        <v>3183.1</v>
      </c>
      <c r="O843">
        <v>3056.15</v>
      </c>
      <c r="P843" s="9">
        <v>46147.644513888888</v>
      </c>
    </row>
    <row r="844" spans="2:16" x14ac:dyDescent="0.25">
      <c r="B844" s="4"/>
      <c r="F844">
        <v>2.0499999999999998</v>
      </c>
      <c r="G844">
        <v>5497700</v>
      </c>
      <c r="H844">
        <v>1344000</v>
      </c>
      <c r="I844">
        <v>1344000</v>
      </c>
      <c r="J844">
        <v>1000240</v>
      </c>
      <c r="K844">
        <v>3</v>
      </c>
      <c r="L844">
        <v>3</v>
      </c>
      <c r="M844">
        <v>2</v>
      </c>
      <c r="N844">
        <v>4.1500000000000004</v>
      </c>
      <c r="O844">
        <v>2.0499999999999998</v>
      </c>
      <c r="P844" s="9">
        <v>46148.455358796295</v>
      </c>
    </row>
    <row r="845" spans="2:16" x14ac:dyDescent="0.25">
      <c r="B845" s="4"/>
      <c r="P845" s="9"/>
    </row>
    <row r="846" spans="2:16" x14ac:dyDescent="0.25">
      <c r="B846" s="4"/>
      <c r="F846">
        <v>2.1</v>
      </c>
      <c r="G846">
        <v>361080</v>
      </c>
      <c r="H846">
        <v>94200</v>
      </c>
      <c r="I846">
        <v>105480</v>
      </c>
      <c r="J846">
        <v>87580</v>
      </c>
      <c r="K846">
        <v>3.5</v>
      </c>
      <c r="L846">
        <v>3.5</v>
      </c>
      <c r="M846">
        <v>1.75</v>
      </c>
      <c r="N846">
        <v>4.55</v>
      </c>
      <c r="O846">
        <v>2.1</v>
      </c>
      <c r="P846" s="9">
        <v>46148.455347222225</v>
      </c>
    </row>
    <row r="847" spans="2:16" x14ac:dyDescent="0.25">
      <c r="B847" s="4"/>
      <c r="P847" s="9"/>
    </row>
    <row r="848" spans="2:16" x14ac:dyDescent="0.25">
      <c r="B848" s="4"/>
      <c r="F848">
        <v>2.15</v>
      </c>
      <c r="G848">
        <v>528260</v>
      </c>
      <c r="H848">
        <v>155560</v>
      </c>
      <c r="I848">
        <v>174160</v>
      </c>
      <c r="J848">
        <v>155140</v>
      </c>
      <c r="K848">
        <v>2.4</v>
      </c>
      <c r="L848">
        <v>3.35</v>
      </c>
      <c r="M848">
        <v>2.1</v>
      </c>
      <c r="N848">
        <v>5.0999999999999996</v>
      </c>
      <c r="O848">
        <v>2.15</v>
      </c>
      <c r="P848" s="9">
        <v>46148.455347222225</v>
      </c>
    </row>
    <row r="849" spans="2:16" x14ac:dyDescent="0.25">
      <c r="B849" s="4"/>
      <c r="P849" s="9"/>
    </row>
    <row r="850" spans="2:16" x14ac:dyDescent="0.25">
      <c r="B850" s="4"/>
      <c r="F850">
        <v>2.5</v>
      </c>
      <c r="G850">
        <v>788640</v>
      </c>
      <c r="H850">
        <v>184680</v>
      </c>
      <c r="I850">
        <v>197540</v>
      </c>
      <c r="J850">
        <v>133940</v>
      </c>
      <c r="K850">
        <v>3.9</v>
      </c>
      <c r="L850">
        <v>3.9</v>
      </c>
      <c r="M850">
        <v>2.35</v>
      </c>
      <c r="N850">
        <v>5.7</v>
      </c>
      <c r="O850">
        <v>2.4500000000000002</v>
      </c>
      <c r="P850" s="9">
        <v>46148.455243055556</v>
      </c>
    </row>
    <row r="851" spans="2:16" x14ac:dyDescent="0.25">
      <c r="B851" s="4"/>
      <c r="P851" s="9"/>
    </row>
    <row r="852" spans="2:16" x14ac:dyDescent="0.25">
      <c r="B852" s="4"/>
      <c r="F852">
        <v>2.6</v>
      </c>
      <c r="G852">
        <v>587880</v>
      </c>
      <c r="H852">
        <v>151600</v>
      </c>
      <c r="I852">
        <v>165720</v>
      </c>
      <c r="J852">
        <v>137180</v>
      </c>
      <c r="K852">
        <v>3.75</v>
      </c>
      <c r="L852">
        <v>3.8</v>
      </c>
      <c r="M852">
        <v>2.4500000000000002</v>
      </c>
      <c r="N852">
        <v>6.3</v>
      </c>
      <c r="O852">
        <v>2.6</v>
      </c>
      <c r="P852" s="9">
        <v>46148.455358796295</v>
      </c>
    </row>
    <row r="853" spans="2:16" x14ac:dyDescent="0.25">
      <c r="B853" s="4"/>
      <c r="F853">
        <v>2543.25</v>
      </c>
      <c r="G853">
        <v>0</v>
      </c>
      <c r="H853">
        <v>240</v>
      </c>
      <c r="I853">
        <v>240</v>
      </c>
      <c r="J853">
        <v>240</v>
      </c>
      <c r="K853">
        <v>0</v>
      </c>
      <c r="L853">
        <v>3527.1</v>
      </c>
      <c r="M853">
        <v>2759.05</v>
      </c>
      <c r="N853">
        <v>2543.25</v>
      </c>
      <c r="O853">
        <v>2004.55</v>
      </c>
      <c r="P853" s="9">
        <v>46146.640763888892</v>
      </c>
    </row>
    <row r="854" spans="2:16" x14ac:dyDescent="0.25">
      <c r="B854" s="4"/>
      <c r="F854">
        <v>2.9</v>
      </c>
      <c r="G854">
        <v>4737500</v>
      </c>
      <c r="H854">
        <v>1012700</v>
      </c>
      <c r="I854">
        <v>1066420</v>
      </c>
      <c r="J854">
        <v>777000</v>
      </c>
      <c r="K854">
        <v>3.75</v>
      </c>
      <c r="L854">
        <v>4.45</v>
      </c>
      <c r="M854">
        <v>2.75</v>
      </c>
      <c r="N854">
        <v>7.2</v>
      </c>
      <c r="O854">
        <v>2.9</v>
      </c>
      <c r="P854" s="9">
        <v>46148.455358796295</v>
      </c>
    </row>
    <row r="855" spans="2:16" x14ac:dyDescent="0.25">
      <c r="B855" s="4"/>
      <c r="P855" s="9"/>
    </row>
    <row r="856" spans="2:16" x14ac:dyDescent="0.25">
      <c r="B856" s="4"/>
      <c r="F856">
        <v>3.15</v>
      </c>
      <c r="G856">
        <v>728180</v>
      </c>
      <c r="H856">
        <v>175200</v>
      </c>
      <c r="I856">
        <v>206080</v>
      </c>
      <c r="J856">
        <v>142080</v>
      </c>
      <c r="K856">
        <v>4.1500000000000004</v>
      </c>
      <c r="L856">
        <v>4.7</v>
      </c>
      <c r="M856">
        <v>2.5</v>
      </c>
      <c r="N856">
        <v>8.6</v>
      </c>
      <c r="O856">
        <v>3.1</v>
      </c>
      <c r="P856" s="9">
        <v>46148.455335648148</v>
      </c>
    </row>
    <row r="857" spans="2:16" x14ac:dyDescent="0.25">
      <c r="B857" s="4"/>
      <c r="P857" s="9"/>
    </row>
    <row r="858" spans="2:16" x14ac:dyDescent="0.25">
      <c r="B858" s="4"/>
      <c r="F858">
        <v>3.45</v>
      </c>
      <c r="G858">
        <v>879140</v>
      </c>
      <c r="H858">
        <v>216400</v>
      </c>
      <c r="I858">
        <v>234220</v>
      </c>
      <c r="J858">
        <v>169300</v>
      </c>
      <c r="K858">
        <v>4.3499999999999996</v>
      </c>
      <c r="L858">
        <v>5.55</v>
      </c>
      <c r="M858">
        <v>3</v>
      </c>
      <c r="N858">
        <v>9.85</v>
      </c>
      <c r="O858">
        <v>3.4</v>
      </c>
      <c r="P858" s="9">
        <v>46148.455347222225</v>
      </c>
    </row>
    <row r="859" spans="2:16" x14ac:dyDescent="0.25">
      <c r="B859" s="4"/>
      <c r="P859" s="9"/>
    </row>
    <row r="860" spans="2:16" x14ac:dyDescent="0.25">
      <c r="B860" s="4"/>
      <c r="F860">
        <v>3.75</v>
      </c>
      <c r="G860">
        <v>1416900</v>
      </c>
      <c r="H860">
        <v>477900</v>
      </c>
      <c r="I860">
        <v>477900</v>
      </c>
      <c r="J860">
        <v>337300</v>
      </c>
      <c r="K860">
        <v>4.3499999999999996</v>
      </c>
      <c r="L860">
        <v>6.25</v>
      </c>
      <c r="M860">
        <v>3.6</v>
      </c>
      <c r="N860">
        <v>11.35</v>
      </c>
      <c r="O860">
        <v>3.7</v>
      </c>
      <c r="P860" s="9">
        <v>46148.455347222225</v>
      </c>
    </row>
    <row r="861" spans="2:16" x14ac:dyDescent="0.25">
      <c r="B861" s="4"/>
      <c r="P861" s="9"/>
    </row>
    <row r="862" spans="2:16" x14ac:dyDescent="0.25">
      <c r="B862" s="4"/>
      <c r="F862">
        <v>4.25</v>
      </c>
      <c r="G862">
        <v>1704720</v>
      </c>
      <c r="H862">
        <v>278760</v>
      </c>
      <c r="I862">
        <v>284280</v>
      </c>
      <c r="J862">
        <v>158200</v>
      </c>
      <c r="K862">
        <v>9.9499999999999993</v>
      </c>
      <c r="L862">
        <v>9.9499999999999993</v>
      </c>
      <c r="M862">
        <v>4</v>
      </c>
      <c r="N862">
        <v>12.9</v>
      </c>
      <c r="O862">
        <v>4.25</v>
      </c>
      <c r="P862" s="9">
        <v>46148.455358796295</v>
      </c>
    </row>
    <row r="863" spans="2:16" x14ac:dyDescent="0.25">
      <c r="B863" s="4"/>
      <c r="F863">
        <v>2314.4</v>
      </c>
      <c r="G863">
        <v>5740</v>
      </c>
      <c r="H863">
        <v>39100</v>
      </c>
      <c r="I863">
        <v>40000</v>
      </c>
      <c r="J863">
        <v>38500</v>
      </c>
      <c r="K863">
        <v>2340.0500000000002</v>
      </c>
      <c r="L863">
        <v>2650.55</v>
      </c>
      <c r="M863">
        <v>2272.4499999999998</v>
      </c>
      <c r="N863">
        <v>2113.6</v>
      </c>
      <c r="O863">
        <v>2291.4499999999998</v>
      </c>
      <c r="P863" s="9">
        <v>46148.455243055556</v>
      </c>
    </row>
    <row r="864" spans="2:16" x14ac:dyDescent="0.25">
      <c r="B864" s="4"/>
      <c r="F864">
        <v>4.95</v>
      </c>
      <c r="G864">
        <v>8491600</v>
      </c>
      <c r="H864">
        <v>1830340</v>
      </c>
      <c r="I864">
        <v>1888620</v>
      </c>
      <c r="J864">
        <v>1187900</v>
      </c>
      <c r="K864">
        <v>7.5</v>
      </c>
      <c r="L864">
        <v>7.9</v>
      </c>
      <c r="M864">
        <v>4.4000000000000004</v>
      </c>
      <c r="N864">
        <v>15.5</v>
      </c>
      <c r="O864">
        <v>4.95</v>
      </c>
      <c r="P864" s="9">
        <v>46148.455335648148</v>
      </c>
    </row>
    <row r="865" spans="2:16" x14ac:dyDescent="0.25">
      <c r="B865" s="4"/>
      <c r="F865">
        <v>1955.15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1955.15</v>
      </c>
      <c r="O865">
        <v>1400.05</v>
      </c>
      <c r="P865" s="9">
        <v>25569.229166666668</v>
      </c>
    </row>
    <row r="866" spans="2:16" x14ac:dyDescent="0.25">
      <c r="B866" s="4"/>
      <c r="F866">
        <v>5.55</v>
      </c>
      <c r="G866">
        <v>1699320</v>
      </c>
      <c r="H866">
        <v>144080</v>
      </c>
      <c r="I866">
        <v>186500</v>
      </c>
      <c r="J866">
        <v>123220</v>
      </c>
      <c r="K866">
        <v>5.4</v>
      </c>
      <c r="L866">
        <v>9.85</v>
      </c>
      <c r="M866">
        <v>4.9000000000000004</v>
      </c>
      <c r="N866">
        <v>18</v>
      </c>
      <c r="O866">
        <v>5.55</v>
      </c>
      <c r="P866" s="9">
        <v>46148.455335648148</v>
      </c>
    </row>
    <row r="867" spans="2:16" x14ac:dyDescent="0.25">
      <c r="B867" s="4"/>
      <c r="F867">
        <v>2193.15</v>
      </c>
      <c r="G867">
        <v>180</v>
      </c>
      <c r="H867">
        <v>1320</v>
      </c>
      <c r="I867">
        <v>1320</v>
      </c>
      <c r="J867">
        <v>1280</v>
      </c>
      <c r="K867">
        <v>2300</v>
      </c>
      <c r="L867">
        <v>2312.9</v>
      </c>
      <c r="M867">
        <v>2193.15</v>
      </c>
      <c r="N867">
        <v>2002.35</v>
      </c>
      <c r="O867">
        <v>2082.9499999999998</v>
      </c>
      <c r="P867" s="9">
        <v>46148.445520833331</v>
      </c>
    </row>
    <row r="868" spans="2:16" x14ac:dyDescent="0.25">
      <c r="B868" s="4"/>
      <c r="F868">
        <v>6.3</v>
      </c>
      <c r="G868">
        <v>2454400</v>
      </c>
      <c r="H868">
        <v>344480</v>
      </c>
      <c r="I868">
        <v>344480</v>
      </c>
      <c r="J868">
        <v>215680</v>
      </c>
      <c r="K868">
        <v>7.05</v>
      </c>
      <c r="L868">
        <v>8.9</v>
      </c>
      <c r="M868">
        <v>5.25</v>
      </c>
      <c r="N868">
        <v>20.45</v>
      </c>
      <c r="O868">
        <v>6.25</v>
      </c>
      <c r="P868" s="9">
        <v>46148.455358796295</v>
      </c>
    </row>
    <row r="869" spans="2:16" x14ac:dyDescent="0.25">
      <c r="B869" s="4"/>
      <c r="F869">
        <v>1850</v>
      </c>
      <c r="G869">
        <v>0</v>
      </c>
      <c r="H869">
        <v>500</v>
      </c>
      <c r="I869">
        <v>500</v>
      </c>
      <c r="J869">
        <v>500</v>
      </c>
      <c r="K869">
        <v>0</v>
      </c>
      <c r="L869">
        <v>1850</v>
      </c>
      <c r="M869">
        <v>1400</v>
      </c>
      <c r="N869">
        <v>1850</v>
      </c>
      <c r="O869">
        <v>1202.9000000000001</v>
      </c>
      <c r="P869" s="9">
        <v>46147.632719907408</v>
      </c>
    </row>
    <row r="870" spans="2:16" x14ac:dyDescent="0.25">
      <c r="B870" s="4"/>
      <c r="F870">
        <v>7.4</v>
      </c>
      <c r="G870">
        <v>2469880</v>
      </c>
      <c r="H870">
        <v>282980</v>
      </c>
      <c r="I870">
        <v>282980</v>
      </c>
      <c r="J870">
        <v>194620</v>
      </c>
      <c r="K870">
        <v>20.8</v>
      </c>
      <c r="L870">
        <v>20.8</v>
      </c>
      <c r="M870">
        <v>5.7</v>
      </c>
      <c r="N870">
        <v>24.65</v>
      </c>
      <c r="O870">
        <v>7.4</v>
      </c>
      <c r="P870" s="9">
        <v>46148.455358796295</v>
      </c>
    </row>
    <row r="871" spans="2:16" x14ac:dyDescent="0.25">
      <c r="B871" s="4"/>
      <c r="F871">
        <v>1758.55</v>
      </c>
      <c r="G871">
        <v>0</v>
      </c>
      <c r="H871">
        <v>540</v>
      </c>
      <c r="I871">
        <v>540</v>
      </c>
      <c r="J871">
        <v>540</v>
      </c>
      <c r="K871">
        <v>0</v>
      </c>
      <c r="L871">
        <v>1817.3</v>
      </c>
      <c r="M871">
        <v>1305.45</v>
      </c>
      <c r="N871">
        <v>1758.55</v>
      </c>
      <c r="O871">
        <v>1101.6500000000001</v>
      </c>
      <c r="P871" s="9">
        <v>46147.64565972222</v>
      </c>
    </row>
    <row r="872" spans="2:16" x14ac:dyDescent="0.25">
      <c r="B872" s="4"/>
      <c r="F872">
        <v>8.85</v>
      </c>
      <c r="G872">
        <v>3100480</v>
      </c>
      <c r="H872">
        <v>350120</v>
      </c>
      <c r="I872">
        <v>358000</v>
      </c>
      <c r="J872">
        <v>168340</v>
      </c>
      <c r="K872">
        <v>20</v>
      </c>
      <c r="L872">
        <v>20</v>
      </c>
      <c r="M872">
        <v>6.1</v>
      </c>
      <c r="N872">
        <v>29.7</v>
      </c>
      <c r="O872">
        <v>8.8000000000000007</v>
      </c>
      <c r="P872" s="9">
        <v>46148.455370370371</v>
      </c>
    </row>
    <row r="873" spans="2:16" x14ac:dyDescent="0.25">
      <c r="B873" s="4"/>
      <c r="F873">
        <v>1820</v>
      </c>
      <c r="G873">
        <v>3740</v>
      </c>
      <c r="H873">
        <v>7840</v>
      </c>
      <c r="I873">
        <v>8420</v>
      </c>
      <c r="J873">
        <v>7420</v>
      </c>
      <c r="K873">
        <v>2200</v>
      </c>
      <c r="L873">
        <v>2274.65</v>
      </c>
      <c r="M873">
        <v>1782.5</v>
      </c>
      <c r="N873">
        <v>1686.1</v>
      </c>
      <c r="O873">
        <v>1795.7</v>
      </c>
      <c r="P873" s="9">
        <v>46148.455150462964</v>
      </c>
    </row>
    <row r="874" spans="2:16" x14ac:dyDescent="0.25">
      <c r="B874" s="4"/>
      <c r="F874">
        <v>10.7</v>
      </c>
      <c r="G874">
        <v>11712880</v>
      </c>
      <c r="H874">
        <v>1679860</v>
      </c>
      <c r="I874">
        <v>1733780</v>
      </c>
      <c r="J874">
        <v>749700</v>
      </c>
      <c r="K874">
        <v>15</v>
      </c>
      <c r="L874">
        <v>15</v>
      </c>
      <c r="M874">
        <v>6.65</v>
      </c>
      <c r="N874">
        <v>35.549999999999997</v>
      </c>
      <c r="O874">
        <v>10.7</v>
      </c>
      <c r="P874" s="9">
        <v>46148.455347222225</v>
      </c>
    </row>
    <row r="875" spans="2:16" x14ac:dyDescent="0.25">
      <c r="B875" s="4"/>
      <c r="F875">
        <v>1556.95</v>
      </c>
      <c r="G875">
        <v>0</v>
      </c>
      <c r="H875">
        <v>3540</v>
      </c>
      <c r="I875">
        <v>3540</v>
      </c>
      <c r="J875">
        <v>3540</v>
      </c>
      <c r="K875">
        <v>0</v>
      </c>
      <c r="L875">
        <v>1665</v>
      </c>
      <c r="M875">
        <v>1089.9000000000001</v>
      </c>
      <c r="N875">
        <v>1556.95</v>
      </c>
      <c r="O875">
        <v>1602.35</v>
      </c>
      <c r="P875" s="9">
        <v>46147.645092592589</v>
      </c>
    </row>
    <row r="876" spans="2:16" x14ac:dyDescent="0.25">
      <c r="B876" s="4"/>
      <c r="F876">
        <v>13.4</v>
      </c>
      <c r="G876">
        <v>3363960</v>
      </c>
      <c r="H876">
        <v>289360</v>
      </c>
      <c r="I876">
        <v>289360</v>
      </c>
      <c r="J876">
        <v>174920</v>
      </c>
      <c r="K876">
        <v>15.95</v>
      </c>
      <c r="L876">
        <v>16.95</v>
      </c>
      <c r="M876">
        <v>6.9</v>
      </c>
      <c r="N876">
        <v>41.7</v>
      </c>
      <c r="O876">
        <v>13.3</v>
      </c>
      <c r="P876" s="9">
        <v>46148.455347222225</v>
      </c>
    </row>
    <row r="877" spans="2:16" x14ac:dyDescent="0.25">
      <c r="B877" s="4"/>
      <c r="F877">
        <v>1643.7</v>
      </c>
      <c r="G877">
        <v>1100</v>
      </c>
      <c r="H877">
        <v>5720</v>
      </c>
      <c r="I877">
        <v>5820</v>
      </c>
      <c r="J877">
        <v>5700</v>
      </c>
      <c r="K877">
        <v>1748.25</v>
      </c>
      <c r="L877">
        <v>1788</v>
      </c>
      <c r="M877">
        <v>1626.6</v>
      </c>
      <c r="N877">
        <v>1506.45</v>
      </c>
      <c r="O877">
        <v>1601.05</v>
      </c>
      <c r="P877" s="9">
        <v>46148.452928240738</v>
      </c>
    </row>
    <row r="878" spans="2:16" x14ac:dyDescent="0.25">
      <c r="B878" s="4"/>
      <c r="F878">
        <v>16.350000000000001</v>
      </c>
      <c r="G878">
        <v>5432320</v>
      </c>
      <c r="H878">
        <v>360100</v>
      </c>
      <c r="I878">
        <v>397000</v>
      </c>
      <c r="J878">
        <v>157620</v>
      </c>
      <c r="K878">
        <v>24.75</v>
      </c>
      <c r="L878">
        <v>24.75</v>
      </c>
      <c r="M878">
        <v>7.95</v>
      </c>
      <c r="N878">
        <v>48.95</v>
      </c>
      <c r="O878">
        <v>16.350000000000001</v>
      </c>
      <c r="P878" s="9">
        <v>46148.455370370371</v>
      </c>
    </row>
    <row r="879" spans="2:16" x14ac:dyDescent="0.25">
      <c r="B879" s="4"/>
      <c r="F879">
        <v>1546.55</v>
      </c>
      <c r="G879">
        <v>3300</v>
      </c>
      <c r="H879">
        <v>5020</v>
      </c>
      <c r="I879">
        <v>5500</v>
      </c>
      <c r="J879">
        <v>5020</v>
      </c>
      <c r="K879">
        <v>1800</v>
      </c>
      <c r="L879">
        <v>1986</v>
      </c>
      <c r="M879">
        <v>1500.35</v>
      </c>
      <c r="N879">
        <v>1429.95</v>
      </c>
      <c r="O879">
        <v>1505.25</v>
      </c>
      <c r="P879" s="9">
        <v>46148.452592592592</v>
      </c>
    </row>
    <row r="880" spans="2:16" x14ac:dyDescent="0.25">
      <c r="B880" s="4"/>
      <c r="F880">
        <v>20.2</v>
      </c>
      <c r="G880">
        <v>7072420</v>
      </c>
      <c r="H880">
        <v>498240</v>
      </c>
      <c r="I880">
        <v>616980</v>
      </c>
      <c r="J880">
        <v>371900</v>
      </c>
      <c r="K880">
        <v>29.25</v>
      </c>
      <c r="L880">
        <v>29.25</v>
      </c>
      <c r="M880">
        <v>8.8000000000000007</v>
      </c>
      <c r="N880">
        <v>57.1</v>
      </c>
      <c r="O880">
        <v>20.149999999999999</v>
      </c>
      <c r="P880" s="9">
        <v>46148.455370370371</v>
      </c>
    </row>
    <row r="881" spans="2:16" x14ac:dyDescent="0.25">
      <c r="B881" s="4"/>
      <c r="F881">
        <v>1436.4</v>
      </c>
      <c r="G881">
        <v>6320</v>
      </c>
      <c r="H881">
        <v>8280</v>
      </c>
      <c r="I881">
        <v>9460</v>
      </c>
      <c r="J881">
        <v>8240</v>
      </c>
      <c r="K881">
        <v>1919.95</v>
      </c>
      <c r="L881">
        <v>1920</v>
      </c>
      <c r="M881">
        <v>1395</v>
      </c>
      <c r="N881">
        <v>1330.9</v>
      </c>
      <c r="O881">
        <v>1413.55</v>
      </c>
      <c r="P881" s="9">
        <v>46148.455208333333</v>
      </c>
    </row>
    <row r="882" spans="2:16" x14ac:dyDescent="0.25">
      <c r="B882" s="4"/>
      <c r="F882">
        <v>25.05</v>
      </c>
      <c r="G882">
        <v>5390380</v>
      </c>
      <c r="H882">
        <v>439380</v>
      </c>
      <c r="I882">
        <v>460540</v>
      </c>
      <c r="J882">
        <v>212640</v>
      </c>
      <c r="K882">
        <v>42.65</v>
      </c>
      <c r="L882">
        <v>42.65</v>
      </c>
      <c r="M882">
        <v>9.9499999999999993</v>
      </c>
      <c r="N882">
        <v>68.95</v>
      </c>
      <c r="O882">
        <v>25</v>
      </c>
      <c r="P882" s="9">
        <v>46148.455370370371</v>
      </c>
    </row>
    <row r="883" spans="2:16" x14ac:dyDescent="0.25">
      <c r="B883" s="4"/>
      <c r="F883">
        <v>1328.05</v>
      </c>
      <c r="G883">
        <v>142480</v>
      </c>
      <c r="H883">
        <v>65360</v>
      </c>
      <c r="I883">
        <v>66140</v>
      </c>
      <c r="J883">
        <v>40520</v>
      </c>
      <c r="K883">
        <v>1600</v>
      </c>
      <c r="L883">
        <v>1810.95</v>
      </c>
      <c r="M883">
        <v>1296.55</v>
      </c>
      <c r="N883">
        <v>1207.8499999999999</v>
      </c>
      <c r="O883">
        <v>1321.35</v>
      </c>
      <c r="P883" s="9">
        <v>46148.455347222225</v>
      </c>
    </row>
    <row r="884" spans="2:16" x14ac:dyDescent="0.25">
      <c r="B884" s="4"/>
      <c r="F884">
        <v>30.6</v>
      </c>
      <c r="G884">
        <v>23484420</v>
      </c>
      <c r="H884">
        <v>1960480</v>
      </c>
      <c r="I884">
        <v>2066500</v>
      </c>
      <c r="J884">
        <v>859680</v>
      </c>
      <c r="K884">
        <v>58.5</v>
      </c>
      <c r="L884">
        <v>58.5</v>
      </c>
      <c r="M884">
        <v>11.5</v>
      </c>
      <c r="N884">
        <v>82.05</v>
      </c>
      <c r="O884">
        <v>30.45</v>
      </c>
      <c r="P884" s="9">
        <v>46148.455370370371</v>
      </c>
    </row>
    <row r="885" spans="2:16" x14ac:dyDescent="0.25">
      <c r="B885" s="4"/>
      <c r="F885">
        <v>1245.6500000000001</v>
      </c>
      <c r="G885">
        <v>16700</v>
      </c>
      <c r="H885">
        <v>14920</v>
      </c>
      <c r="I885">
        <v>17620</v>
      </c>
      <c r="J885">
        <v>14720</v>
      </c>
      <c r="K885">
        <v>1601.3</v>
      </c>
      <c r="L885">
        <v>1670</v>
      </c>
      <c r="M885">
        <v>1213</v>
      </c>
      <c r="N885">
        <v>1157.4000000000001</v>
      </c>
      <c r="O885">
        <v>1225.8499999999999</v>
      </c>
      <c r="P885" s="9">
        <v>46148.455266203702</v>
      </c>
    </row>
    <row r="886" spans="2:16" x14ac:dyDescent="0.25">
      <c r="B886" s="4"/>
      <c r="F886">
        <v>38.049999999999997</v>
      </c>
      <c r="G886">
        <v>6662980</v>
      </c>
      <c r="H886">
        <v>401000</v>
      </c>
      <c r="I886">
        <v>411660</v>
      </c>
      <c r="J886">
        <v>140700</v>
      </c>
      <c r="K886">
        <v>73.75</v>
      </c>
      <c r="L886">
        <v>73.75</v>
      </c>
      <c r="M886">
        <v>13.4</v>
      </c>
      <c r="N886">
        <v>96.35</v>
      </c>
      <c r="O886">
        <v>38.1</v>
      </c>
      <c r="P886" s="9">
        <v>46148.455358796295</v>
      </c>
    </row>
    <row r="887" spans="2:16" x14ac:dyDescent="0.25">
      <c r="B887" s="4"/>
      <c r="F887">
        <v>1150</v>
      </c>
      <c r="G887">
        <v>21180</v>
      </c>
      <c r="H887">
        <v>12500</v>
      </c>
      <c r="I887">
        <v>17940</v>
      </c>
      <c r="J887">
        <v>12460</v>
      </c>
      <c r="K887">
        <v>1558.15</v>
      </c>
      <c r="L887">
        <v>1601.4</v>
      </c>
      <c r="M887">
        <v>1120</v>
      </c>
      <c r="N887">
        <v>1055.6500000000001</v>
      </c>
      <c r="O887">
        <v>1136.75</v>
      </c>
      <c r="P887" s="9">
        <v>46148.455231481479</v>
      </c>
    </row>
    <row r="888" spans="2:16" x14ac:dyDescent="0.25">
      <c r="B888" s="4"/>
      <c r="F888">
        <v>46.8</v>
      </c>
      <c r="G888">
        <v>10797660</v>
      </c>
      <c r="H888">
        <v>516320</v>
      </c>
      <c r="I888">
        <v>519920</v>
      </c>
      <c r="J888">
        <v>198400</v>
      </c>
      <c r="K888">
        <v>58.45</v>
      </c>
      <c r="L888">
        <v>58.45</v>
      </c>
      <c r="M888">
        <v>15.45</v>
      </c>
      <c r="N888">
        <v>112.15</v>
      </c>
      <c r="O888">
        <v>46.6</v>
      </c>
      <c r="P888" s="9">
        <v>46148.455370370371</v>
      </c>
    </row>
    <row r="889" spans="2:16" x14ac:dyDescent="0.25">
      <c r="B889" s="4"/>
      <c r="F889">
        <v>1048.75</v>
      </c>
      <c r="G889">
        <v>22380</v>
      </c>
      <c r="H889">
        <v>20600</v>
      </c>
      <c r="I889">
        <v>25040</v>
      </c>
      <c r="J889">
        <v>20560</v>
      </c>
      <c r="K889">
        <v>1490</v>
      </c>
      <c r="L889">
        <v>1517.75</v>
      </c>
      <c r="M889">
        <v>1030</v>
      </c>
      <c r="N889">
        <v>972.25</v>
      </c>
      <c r="O889">
        <v>1047.2</v>
      </c>
      <c r="P889" s="9">
        <v>46148.455023148148</v>
      </c>
    </row>
    <row r="890" spans="2:16" x14ac:dyDescent="0.25">
      <c r="B890" s="4"/>
      <c r="F890">
        <v>57.35</v>
      </c>
      <c r="G890">
        <v>9596620</v>
      </c>
      <c r="H890">
        <v>552820</v>
      </c>
      <c r="I890">
        <v>593000</v>
      </c>
      <c r="J890">
        <v>204920</v>
      </c>
      <c r="K890">
        <v>88.75</v>
      </c>
      <c r="L890">
        <v>88.75</v>
      </c>
      <c r="M890">
        <v>17.649999999999999</v>
      </c>
      <c r="N890">
        <v>134.19999999999999</v>
      </c>
      <c r="O890">
        <v>57.15</v>
      </c>
      <c r="P890" s="9">
        <v>46148.455370370371</v>
      </c>
    </row>
    <row r="891" spans="2:16" x14ac:dyDescent="0.25">
      <c r="B891" s="4"/>
      <c r="F891">
        <v>973.85</v>
      </c>
      <c r="G891">
        <v>37740</v>
      </c>
      <c r="H891">
        <v>24020</v>
      </c>
      <c r="I891">
        <v>25620</v>
      </c>
      <c r="J891">
        <v>22980</v>
      </c>
      <c r="K891">
        <v>1100</v>
      </c>
      <c r="L891">
        <v>1418.8</v>
      </c>
      <c r="M891">
        <v>942</v>
      </c>
      <c r="N891">
        <v>888.8</v>
      </c>
      <c r="O891">
        <v>960.35</v>
      </c>
      <c r="P891" s="9">
        <v>46148.455081018517</v>
      </c>
    </row>
    <row r="892" spans="2:16" x14ac:dyDescent="0.25">
      <c r="B892" s="4"/>
      <c r="F892">
        <v>69.95</v>
      </c>
      <c r="G892">
        <v>11290320</v>
      </c>
      <c r="H892">
        <v>551480</v>
      </c>
      <c r="I892">
        <v>551480</v>
      </c>
      <c r="J892">
        <v>209100</v>
      </c>
      <c r="K892">
        <v>84.75</v>
      </c>
      <c r="L892">
        <v>84.75</v>
      </c>
      <c r="M892">
        <v>21.15</v>
      </c>
      <c r="N892">
        <v>156.15</v>
      </c>
      <c r="O892">
        <v>69.95</v>
      </c>
      <c r="P892" s="9">
        <v>46148.455370370371</v>
      </c>
    </row>
    <row r="893" spans="2:16" x14ac:dyDescent="0.25">
      <c r="B893" s="4"/>
      <c r="F893">
        <v>877.75</v>
      </c>
      <c r="G893">
        <v>413120</v>
      </c>
      <c r="H893">
        <v>141380</v>
      </c>
      <c r="I893">
        <v>143880</v>
      </c>
      <c r="J893">
        <v>104860</v>
      </c>
      <c r="K893">
        <v>1179.9000000000001</v>
      </c>
      <c r="L893">
        <v>1328</v>
      </c>
      <c r="M893">
        <v>853</v>
      </c>
      <c r="N893">
        <v>809.1</v>
      </c>
      <c r="O893">
        <v>876.2</v>
      </c>
      <c r="P893" s="9">
        <v>46148.455370370371</v>
      </c>
    </row>
    <row r="894" spans="2:16" x14ac:dyDescent="0.25">
      <c r="B894" s="4"/>
      <c r="F894">
        <v>85.35</v>
      </c>
      <c r="G894">
        <v>30702620</v>
      </c>
      <c r="H894">
        <v>1750380</v>
      </c>
      <c r="I894">
        <v>1849560</v>
      </c>
      <c r="J894">
        <v>580420</v>
      </c>
      <c r="K894">
        <v>99.8</v>
      </c>
      <c r="L894">
        <v>100</v>
      </c>
      <c r="M894">
        <v>24.25</v>
      </c>
      <c r="N894">
        <v>182.65</v>
      </c>
      <c r="O894">
        <v>85.1</v>
      </c>
      <c r="P894" s="9">
        <v>46148.455370370371</v>
      </c>
    </row>
    <row r="895" spans="2:16" x14ac:dyDescent="0.25">
      <c r="B895" s="4"/>
      <c r="F895">
        <v>804.8</v>
      </c>
      <c r="G895">
        <v>205140</v>
      </c>
      <c r="H895">
        <v>83760</v>
      </c>
      <c r="I895">
        <v>90260</v>
      </c>
      <c r="J895">
        <v>75820</v>
      </c>
      <c r="K895">
        <v>1048.45</v>
      </c>
      <c r="L895">
        <v>1239.45</v>
      </c>
      <c r="M895">
        <v>775</v>
      </c>
      <c r="N895">
        <v>735.4</v>
      </c>
      <c r="O895">
        <v>793.85</v>
      </c>
      <c r="P895" s="9">
        <v>46148.455312500002</v>
      </c>
    </row>
    <row r="896" spans="2:16" x14ac:dyDescent="0.25">
      <c r="B896" s="4"/>
      <c r="F896">
        <v>103.4</v>
      </c>
      <c r="G896">
        <v>15124200</v>
      </c>
      <c r="H896">
        <v>700280</v>
      </c>
      <c r="I896">
        <v>747360</v>
      </c>
      <c r="J896">
        <v>225720</v>
      </c>
      <c r="K896">
        <v>115.95</v>
      </c>
      <c r="L896">
        <v>118.8</v>
      </c>
      <c r="M896">
        <v>29.75</v>
      </c>
      <c r="N896">
        <v>208.5</v>
      </c>
      <c r="O896">
        <v>102.8</v>
      </c>
      <c r="P896" s="9">
        <v>46148.455370370371</v>
      </c>
    </row>
    <row r="897" spans="2:16" x14ac:dyDescent="0.25">
      <c r="B897" s="4"/>
      <c r="F897">
        <v>717.65</v>
      </c>
      <c r="G897">
        <v>330980</v>
      </c>
      <c r="H897">
        <v>118280</v>
      </c>
      <c r="I897">
        <v>147740</v>
      </c>
      <c r="J897">
        <v>110700</v>
      </c>
      <c r="K897">
        <v>810</v>
      </c>
      <c r="L897">
        <v>1141.1500000000001</v>
      </c>
      <c r="M897">
        <v>697.3</v>
      </c>
      <c r="N897">
        <v>677.85</v>
      </c>
      <c r="O897">
        <v>715.5</v>
      </c>
      <c r="P897" s="9">
        <v>46148.455347222225</v>
      </c>
    </row>
    <row r="898" spans="2:16" x14ac:dyDescent="0.25">
      <c r="B898" s="4"/>
      <c r="F898">
        <v>124.9</v>
      </c>
      <c r="G898">
        <v>16100680</v>
      </c>
      <c r="H898">
        <v>737020</v>
      </c>
      <c r="I898">
        <v>848780</v>
      </c>
      <c r="J898">
        <v>325100</v>
      </c>
      <c r="K898">
        <v>122.25</v>
      </c>
      <c r="L898">
        <v>142.4</v>
      </c>
      <c r="M898">
        <v>36.299999999999997</v>
      </c>
      <c r="N898">
        <v>240.25</v>
      </c>
      <c r="O898">
        <v>124.95</v>
      </c>
      <c r="P898" s="9">
        <v>46148.455358796295</v>
      </c>
    </row>
    <row r="899" spans="2:16" x14ac:dyDescent="0.25">
      <c r="B899" s="4"/>
      <c r="F899">
        <v>643.6</v>
      </c>
      <c r="G899">
        <v>655680</v>
      </c>
      <c r="H899">
        <v>133780</v>
      </c>
      <c r="I899">
        <v>151420</v>
      </c>
      <c r="J899">
        <v>111800</v>
      </c>
      <c r="K899">
        <v>801.95</v>
      </c>
      <c r="L899">
        <v>1050.2</v>
      </c>
      <c r="M899">
        <v>623.35</v>
      </c>
      <c r="N899">
        <v>609.6</v>
      </c>
      <c r="O899">
        <v>642.5</v>
      </c>
      <c r="P899" s="9">
        <v>46148.455370370371</v>
      </c>
    </row>
    <row r="900" spans="2:16" x14ac:dyDescent="0.25">
      <c r="B900" s="4"/>
      <c r="F900">
        <v>149.5</v>
      </c>
      <c r="G900">
        <v>17805440</v>
      </c>
      <c r="H900">
        <v>950920</v>
      </c>
      <c r="I900">
        <v>967420</v>
      </c>
      <c r="J900">
        <v>285580</v>
      </c>
      <c r="K900">
        <v>147.85</v>
      </c>
      <c r="L900">
        <v>169.65</v>
      </c>
      <c r="M900">
        <v>43.05</v>
      </c>
      <c r="N900">
        <v>275.7</v>
      </c>
      <c r="O900">
        <v>149.1</v>
      </c>
      <c r="P900" s="9">
        <v>46148.455370370371</v>
      </c>
    </row>
    <row r="901" spans="2:16" x14ac:dyDescent="0.25">
      <c r="B901" s="4"/>
      <c r="F901">
        <v>571.29999999999995</v>
      </c>
      <c r="G901">
        <v>860120</v>
      </c>
      <c r="H901">
        <v>147400</v>
      </c>
      <c r="I901">
        <v>181860</v>
      </c>
      <c r="J901">
        <v>137940</v>
      </c>
      <c r="K901">
        <v>750</v>
      </c>
      <c r="L901">
        <v>968.95</v>
      </c>
      <c r="M901">
        <v>552.04999999999995</v>
      </c>
      <c r="N901">
        <v>537.04999999999995</v>
      </c>
      <c r="O901">
        <v>570.25</v>
      </c>
      <c r="P901" s="9">
        <v>46148.455358796295</v>
      </c>
    </row>
    <row r="902" spans="2:16" x14ac:dyDescent="0.25">
      <c r="B902" s="4"/>
      <c r="F902">
        <v>178.75</v>
      </c>
      <c r="G902">
        <v>15300280</v>
      </c>
      <c r="H902">
        <v>746740</v>
      </c>
      <c r="I902">
        <v>798300</v>
      </c>
      <c r="J902">
        <v>242940</v>
      </c>
      <c r="K902">
        <v>179.95</v>
      </c>
      <c r="L902">
        <v>200.9</v>
      </c>
      <c r="M902">
        <v>52.7</v>
      </c>
      <c r="N902">
        <v>323.2</v>
      </c>
      <c r="O902">
        <v>177.9</v>
      </c>
      <c r="P902" s="9">
        <v>46148.455370370371</v>
      </c>
    </row>
    <row r="903" spans="2:16" x14ac:dyDescent="0.25">
      <c r="B903" s="4"/>
      <c r="F903">
        <v>505</v>
      </c>
      <c r="G903">
        <v>6454040</v>
      </c>
      <c r="H903">
        <v>1005560</v>
      </c>
      <c r="I903">
        <v>1070220</v>
      </c>
      <c r="J903">
        <v>890380</v>
      </c>
      <c r="K903">
        <v>550</v>
      </c>
      <c r="L903">
        <v>874.6</v>
      </c>
      <c r="M903">
        <v>487.6</v>
      </c>
      <c r="N903">
        <v>485.65</v>
      </c>
      <c r="O903">
        <v>503.45</v>
      </c>
      <c r="P903" s="9">
        <v>46148.455370370371</v>
      </c>
    </row>
    <row r="904" spans="2:16" x14ac:dyDescent="0.25">
      <c r="B904" s="4"/>
      <c r="F904">
        <v>212.7</v>
      </c>
      <c r="G904">
        <v>43611280</v>
      </c>
      <c r="H904">
        <v>2477440</v>
      </c>
      <c r="I904">
        <v>2572500</v>
      </c>
      <c r="J904">
        <v>1056480</v>
      </c>
      <c r="K904">
        <v>196</v>
      </c>
      <c r="L904">
        <v>236</v>
      </c>
      <c r="M904">
        <v>64.05</v>
      </c>
      <c r="N904">
        <v>356.15</v>
      </c>
      <c r="O904">
        <v>212.2</v>
      </c>
      <c r="P904" s="9">
        <v>46148.455370370371</v>
      </c>
    </row>
    <row r="905" spans="2:16" x14ac:dyDescent="0.25">
      <c r="B905" s="4"/>
      <c r="F905">
        <v>442.35</v>
      </c>
      <c r="G905">
        <v>3734340</v>
      </c>
      <c r="H905">
        <v>435080</v>
      </c>
      <c r="I905">
        <v>458380</v>
      </c>
      <c r="J905">
        <v>281320</v>
      </c>
      <c r="K905">
        <v>617.9</v>
      </c>
      <c r="L905">
        <v>790.75</v>
      </c>
      <c r="M905">
        <v>426.6</v>
      </c>
      <c r="N905">
        <v>438.35</v>
      </c>
      <c r="O905">
        <v>442.6</v>
      </c>
      <c r="P905" s="9">
        <v>46148.455370370371</v>
      </c>
    </row>
    <row r="906" spans="2:16" x14ac:dyDescent="0.25">
      <c r="B906" s="4"/>
      <c r="F906">
        <v>250.05</v>
      </c>
      <c r="G906">
        <v>17651700</v>
      </c>
      <c r="H906">
        <v>908860</v>
      </c>
      <c r="I906">
        <v>1005420</v>
      </c>
      <c r="J906">
        <v>329020</v>
      </c>
      <c r="K906">
        <v>216.85</v>
      </c>
      <c r="L906">
        <v>276.3</v>
      </c>
      <c r="M906">
        <v>77.5</v>
      </c>
      <c r="N906">
        <v>392.8</v>
      </c>
      <c r="O906">
        <v>249.95</v>
      </c>
      <c r="P906" s="9">
        <v>46148.455370370371</v>
      </c>
    </row>
    <row r="907" spans="2:16" x14ac:dyDescent="0.25">
      <c r="B907" s="4"/>
      <c r="F907">
        <v>386.85</v>
      </c>
      <c r="G907">
        <v>10519460</v>
      </c>
      <c r="H907">
        <v>836900</v>
      </c>
      <c r="I907">
        <v>904300</v>
      </c>
      <c r="J907">
        <v>303260</v>
      </c>
      <c r="K907">
        <v>480.55</v>
      </c>
      <c r="L907">
        <v>712.4</v>
      </c>
      <c r="M907">
        <v>371</v>
      </c>
      <c r="N907">
        <v>386.9</v>
      </c>
      <c r="O907">
        <v>385.8</v>
      </c>
      <c r="P907" s="9">
        <v>46148.455370370371</v>
      </c>
    </row>
    <row r="908" spans="2:16" x14ac:dyDescent="0.25">
      <c r="B908" s="4"/>
      <c r="F908">
        <v>293.05</v>
      </c>
      <c r="G908">
        <v>26387220</v>
      </c>
      <c r="H908">
        <v>1305040</v>
      </c>
      <c r="I908">
        <v>1352720</v>
      </c>
      <c r="J908">
        <v>168560</v>
      </c>
      <c r="K908">
        <v>246.35</v>
      </c>
      <c r="L908">
        <v>321</v>
      </c>
      <c r="M908">
        <v>97.65</v>
      </c>
      <c r="N908">
        <v>443</v>
      </c>
      <c r="O908">
        <v>292.45</v>
      </c>
      <c r="P908" s="9">
        <v>46148.455370370371</v>
      </c>
    </row>
    <row r="909" spans="2:16" x14ac:dyDescent="0.25">
      <c r="B909" s="4"/>
      <c r="F909">
        <v>336.05</v>
      </c>
      <c r="G909">
        <v>17254580</v>
      </c>
      <c r="H909">
        <v>1557000</v>
      </c>
      <c r="I909">
        <v>1557000</v>
      </c>
      <c r="J909">
        <v>309820</v>
      </c>
      <c r="K909">
        <v>440.05</v>
      </c>
      <c r="L909">
        <v>635.65</v>
      </c>
      <c r="M909">
        <v>321</v>
      </c>
      <c r="N909">
        <v>340.35</v>
      </c>
      <c r="O909">
        <v>334.95</v>
      </c>
      <c r="P909" s="9">
        <v>46148.455370370371</v>
      </c>
    </row>
    <row r="910" spans="2:16" x14ac:dyDescent="0.25">
      <c r="B910" s="4"/>
      <c r="F910">
        <v>343.4</v>
      </c>
      <c r="G910">
        <v>30087360</v>
      </c>
      <c r="H910">
        <v>1309700</v>
      </c>
      <c r="I910">
        <v>1412720</v>
      </c>
      <c r="J910">
        <v>92460</v>
      </c>
      <c r="K910">
        <v>299.55</v>
      </c>
      <c r="L910">
        <v>370</v>
      </c>
      <c r="M910">
        <v>119.8</v>
      </c>
      <c r="N910">
        <v>510.7</v>
      </c>
      <c r="O910">
        <v>342.45</v>
      </c>
      <c r="P910" s="9">
        <v>46148.455370370371</v>
      </c>
    </row>
    <row r="911" spans="2:16" x14ac:dyDescent="0.25">
      <c r="B911" s="4"/>
      <c r="F911">
        <v>289.25</v>
      </c>
      <c r="G911">
        <v>20921600</v>
      </c>
      <c r="H911">
        <v>2053120</v>
      </c>
      <c r="I911">
        <v>2053120</v>
      </c>
      <c r="J911">
        <v>203040</v>
      </c>
      <c r="K911">
        <v>390.05</v>
      </c>
      <c r="L911">
        <v>565.54999999999995</v>
      </c>
      <c r="M911">
        <v>276.39999999999998</v>
      </c>
      <c r="N911">
        <v>298.5</v>
      </c>
      <c r="O911">
        <v>288.95</v>
      </c>
      <c r="P911" s="9">
        <v>46148.455370370371</v>
      </c>
    </row>
    <row r="912" spans="2:16" x14ac:dyDescent="0.25">
      <c r="B912" s="4"/>
      <c r="F912">
        <v>395.8</v>
      </c>
      <c r="G912">
        <v>27087280</v>
      </c>
      <c r="H912">
        <v>874220</v>
      </c>
      <c r="I912">
        <v>1081880</v>
      </c>
      <c r="J912">
        <v>66320</v>
      </c>
      <c r="K912">
        <v>346.95</v>
      </c>
      <c r="L912">
        <v>424.5</v>
      </c>
      <c r="M912">
        <v>147</v>
      </c>
      <c r="N912">
        <v>558.9</v>
      </c>
      <c r="O912">
        <v>394.9</v>
      </c>
      <c r="P912" s="9">
        <v>46148.455370370371</v>
      </c>
    </row>
    <row r="913" spans="2:16" x14ac:dyDescent="0.25">
      <c r="B913" s="4"/>
      <c r="F913">
        <v>247.5</v>
      </c>
      <c r="G913">
        <v>37387900</v>
      </c>
      <c r="H913">
        <v>3487720</v>
      </c>
      <c r="I913">
        <v>3561760</v>
      </c>
      <c r="J913">
        <v>684120</v>
      </c>
      <c r="K913">
        <v>360</v>
      </c>
      <c r="L913">
        <v>499.95</v>
      </c>
      <c r="M913">
        <v>236.4</v>
      </c>
      <c r="N913">
        <v>259.85000000000002</v>
      </c>
      <c r="O913">
        <v>247.5</v>
      </c>
      <c r="P913" s="9">
        <v>46148.455370370371</v>
      </c>
    </row>
    <row r="914" spans="2:16" x14ac:dyDescent="0.25">
      <c r="B914" s="4"/>
      <c r="F914">
        <v>454.55</v>
      </c>
      <c r="G914">
        <v>25090720</v>
      </c>
      <c r="H914">
        <v>1056100</v>
      </c>
      <c r="I914">
        <v>1245160</v>
      </c>
      <c r="J914">
        <v>201300</v>
      </c>
      <c r="K914">
        <v>312</v>
      </c>
      <c r="L914">
        <v>484</v>
      </c>
      <c r="M914">
        <v>177.1</v>
      </c>
      <c r="N914">
        <v>620.6</v>
      </c>
      <c r="O914">
        <v>453.5</v>
      </c>
      <c r="P914" s="9">
        <v>46148.455370370371</v>
      </c>
    </row>
    <row r="915" spans="2:16" x14ac:dyDescent="0.25">
      <c r="B915" s="4"/>
      <c r="F915">
        <v>211.15</v>
      </c>
      <c r="G915">
        <v>18820120</v>
      </c>
      <c r="H915">
        <v>1636860</v>
      </c>
      <c r="I915">
        <v>1664480</v>
      </c>
      <c r="J915">
        <v>293320</v>
      </c>
      <c r="K915">
        <v>299.95</v>
      </c>
      <c r="L915">
        <v>450</v>
      </c>
      <c r="M915">
        <v>202.2</v>
      </c>
      <c r="N915">
        <v>223.65</v>
      </c>
      <c r="O915">
        <v>211.1</v>
      </c>
      <c r="P915" s="9">
        <v>46148.455370370371</v>
      </c>
    </row>
    <row r="916" spans="2:16" x14ac:dyDescent="0.25">
      <c r="B916" s="4"/>
      <c r="F916">
        <v>516.70000000000005</v>
      </c>
      <c r="G916">
        <v>10650960</v>
      </c>
      <c r="H916">
        <v>419240</v>
      </c>
      <c r="I916">
        <v>537100</v>
      </c>
      <c r="J916">
        <v>124240</v>
      </c>
      <c r="K916">
        <v>429.65</v>
      </c>
      <c r="L916">
        <v>549</v>
      </c>
      <c r="M916">
        <v>212.75</v>
      </c>
      <c r="N916">
        <v>679.1</v>
      </c>
      <c r="O916">
        <v>517.95000000000005</v>
      </c>
      <c r="P916" s="9">
        <v>46148.455370370371</v>
      </c>
    </row>
    <row r="917" spans="2:16" x14ac:dyDescent="0.25">
      <c r="B917" s="4"/>
      <c r="F917">
        <v>180.35</v>
      </c>
      <c r="G917">
        <v>16117360</v>
      </c>
      <c r="H917">
        <v>1592340</v>
      </c>
      <c r="I917">
        <v>1592340</v>
      </c>
      <c r="J917">
        <v>337040</v>
      </c>
      <c r="K917">
        <v>277.05</v>
      </c>
      <c r="L917">
        <v>383</v>
      </c>
      <c r="M917">
        <v>172</v>
      </c>
      <c r="N917">
        <v>193.25</v>
      </c>
      <c r="O917">
        <v>179.9</v>
      </c>
      <c r="P917" s="9">
        <v>46148.455370370371</v>
      </c>
    </row>
    <row r="918" spans="2:16" x14ac:dyDescent="0.25">
      <c r="B918" s="4"/>
      <c r="F918">
        <v>588</v>
      </c>
      <c r="G918">
        <v>5042260</v>
      </c>
      <c r="H918">
        <v>265340</v>
      </c>
      <c r="I918">
        <v>355360</v>
      </c>
      <c r="J918">
        <v>73720</v>
      </c>
      <c r="K918">
        <v>500.05</v>
      </c>
      <c r="L918">
        <v>618</v>
      </c>
      <c r="M918">
        <v>253.8</v>
      </c>
      <c r="N918">
        <v>782.6</v>
      </c>
      <c r="O918">
        <v>586.4</v>
      </c>
      <c r="P918" s="9">
        <v>46148.455370370371</v>
      </c>
    </row>
    <row r="919" spans="2:16" x14ac:dyDescent="0.25">
      <c r="B919" s="4"/>
      <c r="F919">
        <v>152.5</v>
      </c>
      <c r="G919">
        <v>17861740</v>
      </c>
      <c r="H919">
        <v>1906200</v>
      </c>
      <c r="I919">
        <v>1907920</v>
      </c>
      <c r="J919">
        <v>333860</v>
      </c>
      <c r="K919">
        <v>210.05</v>
      </c>
      <c r="L919">
        <v>331</v>
      </c>
      <c r="M919">
        <v>146.19999999999999</v>
      </c>
      <c r="N919">
        <v>165.65</v>
      </c>
      <c r="O919">
        <v>152.44999999999999</v>
      </c>
      <c r="P919" s="9">
        <v>46148.455370370371</v>
      </c>
    </row>
    <row r="920" spans="2:16" x14ac:dyDescent="0.25">
      <c r="B920" s="4"/>
      <c r="F920">
        <v>660.7</v>
      </c>
      <c r="G920">
        <v>2898060</v>
      </c>
      <c r="H920">
        <v>212880</v>
      </c>
      <c r="I920">
        <v>244300</v>
      </c>
      <c r="J920">
        <v>60680</v>
      </c>
      <c r="K920">
        <v>773.65</v>
      </c>
      <c r="L920">
        <v>773.75</v>
      </c>
      <c r="M920">
        <v>302.3</v>
      </c>
      <c r="N920">
        <v>820.6</v>
      </c>
      <c r="O920">
        <v>658.05</v>
      </c>
      <c r="P920" s="9">
        <v>46148.455370370371</v>
      </c>
    </row>
    <row r="921" spans="2:16" x14ac:dyDescent="0.25">
      <c r="B921" s="4"/>
      <c r="F921">
        <v>129.35</v>
      </c>
      <c r="G921">
        <v>11207700</v>
      </c>
      <c r="H921">
        <v>1075360</v>
      </c>
      <c r="I921">
        <v>1075360</v>
      </c>
      <c r="J921">
        <v>215280</v>
      </c>
      <c r="K921">
        <v>200.05</v>
      </c>
      <c r="L921">
        <v>283.25</v>
      </c>
      <c r="M921">
        <v>123.3</v>
      </c>
      <c r="N921">
        <v>140.5</v>
      </c>
      <c r="O921">
        <v>129.15</v>
      </c>
      <c r="P921" s="9">
        <v>46148.455370370371</v>
      </c>
    </row>
    <row r="922" spans="2:16" x14ac:dyDescent="0.25">
      <c r="B922" s="4"/>
      <c r="F922">
        <v>732</v>
      </c>
      <c r="G922">
        <v>997440</v>
      </c>
      <c r="H922">
        <v>100680</v>
      </c>
      <c r="I922">
        <v>102180</v>
      </c>
      <c r="J922">
        <v>30740</v>
      </c>
      <c r="K922">
        <v>507.6</v>
      </c>
      <c r="L922">
        <v>762.55</v>
      </c>
      <c r="M922">
        <v>358.45</v>
      </c>
      <c r="N922">
        <v>891.05</v>
      </c>
      <c r="O922">
        <v>736.1</v>
      </c>
      <c r="P922" s="9">
        <v>46148.455335648148</v>
      </c>
    </row>
    <row r="923" spans="2:16" x14ac:dyDescent="0.25">
      <c r="B923" s="4"/>
      <c r="F923">
        <v>109.5</v>
      </c>
      <c r="G923">
        <v>34643960</v>
      </c>
      <c r="H923">
        <v>3976840</v>
      </c>
      <c r="I923">
        <v>4042300</v>
      </c>
      <c r="J923">
        <v>1307020</v>
      </c>
      <c r="K923">
        <v>151</v>
      </c>
      <c r="L923">
        <v>242.95</v>
      </c>
      <c r="M923">
        <v>103.8</v>
      </c>
      <c r="N923">
        <v>117.5</v>
      </c>
      <c r="O923">
        <v>109.3</v>
      </c>
      <c r="P923" s="9">
        <v>46148.455370370371</v>
      </c>
    </row>
    <row r="924" spans="2:16" x14ac:dyDescent="0.25">
      <c r="B924" s="4"/>
      <c r="F924">
        <v>814.85</v>
      </c>
      <c r="G924">
        <v>2948480</v>
      </c>
      <c r="H924">
        <v>325840</v>
      </c>
      <c r="I924">
        <v>367740</v>
      </c>
      <c r="J924">
        <v>205420</v>
      </c>
      <c r="K924">
        <v>625.04999999999995</v>
      </c>
      <c r="L924">
        <v>842.65</v>
      </c>
      <c r="M924">
        <v>413.25</v>
      </c>
      <c r="N924">
        <v>970.65</v>
      </c>
      <c r="O924">
        <v>812.9</v>
      </c>
      <c r="P924" s="9">
        <v>46148.455370370371</v>
      </c>
    </row>
    <row r="925" spans="2:16" x14ac:dyDescent="0.25">
      <c r="B925" s="4"/>
      <c r="F925">
        <v>90.25</v>
      </c>
      <c r="G925">
        <v>9947920</v>
      </c>
      <c r="H925">
        <v>990080</v>
      </c>
      <c r="I925">
        <v>990080</v>
      </c>
      <c r="J925">
        <v>205640</v>
      </c>
      <c r="K925">
        <v>147.05000000000001</v>
      </c>
      <c r="L925">
        <v>204.45</v>
      </c>
      <c r="M925">
        <v>86.1</v>
      </c>
      <c r="N925">
        <v>100.25</v>
      </c>
      <c r="O925">
        <v>90.1</v>
      </c>
      <c r="P925" s="9">
        <v>46148.455370370371</v>
      </c>
    </row>
    <row r="926" spans="2:16" x14ac:dyDescent="0.25">
      <c r="B926" s="4"/>
      <c r="F926">
        <v>890</v>
      </c>
      <c r="G926">
        <v>275880</v>
      </c>
      <c r="H926">
        <v>50540</v>
      </c>
      <c r="I926">
        <v>58500</v>
      </c>
      <c r="J926">
        <v>31960</v>
      </c>
      <c r="K926">
        <v>602.70000000000005</v>
      </c>
      <c r="L926">
        <v>925</v>
      </c>
      <c r="M926">
        <v>482.55</v>
      </c>
      <c r="N926">
        <v>1017.2</v>
      </c>
      <c r="O926">
        <v>894.35</v>
      </c>
      <c r="P926" s="9">
        <v>46148.455277777779</v>
      </c>
    </row>
    <row r="927" spans="2:16" x14ac:dyDescent="0.25">
      <c r="B927" s="4"/>
      <c r="F927">
        <v>74.75</v>
      </c>
      <c r="G927">
        <v>13766380</v>
      </c>
      <c r="H927">
        <v>1329080</v>
      </c>
      <c r="I927">
        <v>1329080</v>
      </c>
      <c r="J927">
        <v>366340</v>
      </c>
      <c r="K927">
        <v>119</v>
      </c>
      <c r="L927">
        <v>171.1</v>
      </c>
      <c r="M927">
        <v>71.5</v>
      </c>
      <c r="N927">
        <v>84.85</v>
      </c>
      <c r="O927">
        <v>74.650000000000006</v>
      </c>
      <c r="P927" s="9">
        <v>46148.455370370371</v>
      </c>
    </row>
    <row r="928" spans="2:16" x14ac:dyDescent="0.25">
      <c r="B928" s="4"/>
      <c r="F928">
        <v>965.65</v>
      </c>
      <c r="G928">
        <v>173660</v>
      </c>
      <c r="H928">
        <v>28800</v>
      </c>
      <c r="I928">
        <v>32160</v>
      </c>
      <c r="J928">
        <v>17780</v>
      </c>
      <c r="K928">
        <v>711.5</v>
      </c>
      <c r="L928">
        <v>1010</v>
      </c>
      <c r="M928">
        <v>549.1</v>
      </c>
      <c r="N928">
        <v>1120.3</v>
      </c>
      <c r="O928">
        <v>980.15</v>
      </c>
      <c r="P928" s="9">
        <v>46148.45516203704</v>
      </c>
    </row>
    <row r="929" spans="2:16" x14ac:dyDescent="0.25">
      <c r="B929" s="4"/>
      <c r="F929">
        <v>61.95</v>
      </c>
      <c r="G929">
        <v>12914480</v>
      </c>
      <c r="H929">
        <v>1132240</v>
      </c>
      <c r="I929">
        <v>1351160</v>
      </c>
      <c r="J929">
        <v>278360</v>
      </c>
      <c r="K929">
        <v>88.75</v>
      </c>
      <c r="L929">
        <v>142.4</v>
      </c>
      <c r="M929">
        <v>59.65</v>
      </c>
      <c r="N929">
        <v>70.400000000000006</v>
      </c>
      <c r="O929">
        <v>62</v>
      </c>
      <c r="P929" s="9">
        <v>46148.455370370371</v>
      </c>
    </row>
    <row r="930" spans="2:16" x14ac:dyDescent="0.25">
      <c r="B930" s="4"/>
      <c r="F930">
        <v>1059.55</v>
      </c>
      <c r="G930">
        <v>70640</v>
      </c>
      <c r="H930">
        <v>14860</v>
      </c>
      <c r="I930">
        <v>17700</v>
      </c>
      <c r="J930">
        <v>12260</v>
      </c>
      <c r="K930">
        <v>705.4</v>
      </c>
      <c r="L930">
        <v>1091.7</v>
      </c>
      <c r="M930">
        <v>666.75</v>
      </c>
      <c r="N930">
        <v>1204.5999999999999</v>
      </c>
      <c r="O930">
        <v>1066.5999999999999</v>
      </c>
      <c r="P930" s="9">
        <v>46148.455277777779</v>
      </c>
    </row>
    <row r="931" spans="2:16" x14ac:dyDescent="0.25">
      <c r="B931" s="4"/>
      <c r="F931">
        <v>51</v>
      </c>
      <c r="G931">
        <v>9431760</v>
      </c>
      <c r="H931">
        <v>867220</v>
      </c>
      <c r="I931">
        <v>889400</v>
      </c>
      <c r="J931">
        <v>218220</v>
      </c>
      <c r="K931">
        <v>78.650000000000006</v>
      </c>
      <c r="L931">
        <v>117.1</v>
      </c>
      <c r="M931">
        <v>49.1</v>
      </c>
      <c r="N931">
        <v>58.6</v>
      </c>
      <c r="O931">
        <v>51</v>
      </c>
      <c r="P931" s="9">
        <v>46148.455370370371</v>
      </c>
    </row>
    <row r="932" spans="2:16" x14ac:dyDescent="0.25">
      <c r="B932" s="4"/>
      <c r="F932">
        <v>1144.8</v>
      </c>
      <c r="G932">
        <v>36920</v>
      </c>
      <c r="H932">
        <v>15460</v>
      </c>
      <c r="I932">
        <v>18520</v>
      </c>
      <c r="J932">
        <v>14360</v>
      </c>
      <c r="K932">
        <v>757.6</v>
      </c>
      <c r="L932">
        <v>1186.8499999999999</v>
      </c>
      <c r="M932">
        <v>739.95</v>
      </c>
      <c r="N932">
        <v>1279.3499999999999</v>
      </c>
      <c r="O932">
        <v>1154.8</v>
      </c>
      <c r="P932" s="9">
        <v>46148.455289351848</v>
      </c>
    </row>
    <row r="933" spans="2:16" x14ac:dyDescent="0.25">
      <c r="B933" s="4"/>
      <c r="F933">
        <v>42.15</v>
      </c>
      <c r="G933">
        <v>23972300</v>
      </c>
      <c r="H933">
        <v>2556820</v>
      </c>
      <c r="I933">
        <v>2587320</v>
      </c>
      <c r="J933">
        <v>895160</v>
      </c>
      <c r="K933">
        <v>59.85</v>
      </c>
      <c r="L933">
        <v>96.55</v>
      </c>
      <c r="M933">
        <v>40.65</v>
      </c>
      <c r="N933">
        <v>49</v>
      </c>
      <c r="O933">
        <v>42.1</v>
      </c>
      <c r="P933" s="9">
        <v>46148.455370370371</v>
      </c>
    </row>
    <row r="934" spans="2:16" x14ac:dyDescent="0.25">
      <c r="B934" s="4"/>
      <c r="F934">
        <v>1241.8499999999999</v>
      </c>
      <c r="G934">
        <v>281680</v>
      </c>
      <c r="H934">
        <v>64840</v>
      </c>
      <c r="I934">
        <v>102700</v>
      </c>
      <c r="J934">
        <v>51840</v>
      </c>
      <c r="K934">
        <v>1212</v>
      </c>
      <c r="L934">
        <v>1275</v>
      </c>
      <c r="M934">
        <v>779.25</v>
      </c>
      <c r="N934">
        <v>1402.1</v>
      </c>
      <c r="O934">
        <v>1246</v>
      </c>
      <c r="P934" s="9">
        <v>46148.455185185187</v>
      </c>
    </row>
    <row r="935" spans="2:16" x14ac:dyDescent="0.25">
      <c r="B935" s="4"/>
      <c r="F935">
        <v>34.65</v>
      </c>
      <c r="G935">
        <v>8116820</v>
      </c>
      <c r="H935">
        <v>878000</v>
      </c>
      <c r="I935">
        <v>878000</v>
      </c>
      <c r="J935">
        <v>361040</v>
      </c>
      <c r="K935">
        <v>55.1</v>
      </c>
      <c r="L935">
        <v>80.349999999999994</v>
      </c>
      <c r="M935">
        <v>33.549999999999997</v>
      </c>
      <c r="N935">
        <v>39.6</v>
      </c>
      <c r="O935">
        <v>34.549999999999997</v>
      </c>
      <c r="P935" s="9">
        <v>46148.455370370371</v>
      </c>
    </row>
    <row r="936" spans="2:16" x14ac:dyDescent="0.25">
      <c r="B936" s="4"/>
      <c r="F936">
        <v>1321.25</v>
      </c>
      <c r="G936">
        <v>18300</v>
      </c>
      <c r="H936">
        <v>12460</v>
      </c>
      <c r="I936">
        <v>15080</v>
      </c>
      <c r="J936">
        <v>11600</v>
      </c>
      <c r="K936">
        <v>999</v>
      </c>
      <c r="L936">
        <v>1360.35</v>
      </c>
      <c r="M936">
        <v>893.4</v>
      </c>
      <c r="N936">
        <v>1466.05</v>
      </c>
      <c r="O936">
        <v>1336.6</v>
      </c>
      <c r="P936" s="9">
        <v>46148.455254629633</v>
      </c>
    </row>
    <row r="937" spans="2:16" x14ac:dyDescent="0.25">
      <c r="B937" s="4"/>
      <c r="F937">
        <v>28.3</v>
      </c>
      <c r="G937">
        <v>7425000</v>
      </c>
      <c r="H937">
        <v>936380</v>
      </c>
      <c r="I937">
        <v>993520</v>
      </c>
      <c r="J937">
        <v>624680</v>
      </c>
      <c r="K937">
        <v>40.049999999999997</v>
      </c>
      <c r="L937">
        <v>63.2</v>
      </c>
      <c r="M937">
        <v>27.8</v>
      </c>
      <c r="N937">
        <v>32.9</v>
      </c>
      <c r="O937">
        <v>28.35</v>
      </c>
      <c r="P937" s="9">
        <v>46148.455370370371</v>
      </c>
    </row>
    <row r="938" spans="2:16" x14ac:dyDescent="0.25">
      <c r="B938" s="4"/>
      <c r="F938">
        <v>1414.15</v>
      </c>
      <c r="G938">
        <v>5940</v>
      </c>
      <c r="H938">
        <v>17260</v>
      </c>
      <c r="I938">
        <v>18200</v>
      </c>
      <c r="J938">
        <v>16780</v>
      </c>
      <c r="K938">
        <v>1097.45</v>
      </c>
      <c r="L938">
        <v>1454.85</v>
      </c>
      <c r="M938">
        <v>1019</v>
      </c>
      <c r="N938">
        <v>1559.8</v>
      </c>
      <c r="O938">
        <v>1426.15</v>
      </c>
      <c r="P938" s="9">
        <v>46148.455196759256</v>
      </c>
    </row>
    <row r="939" spans="2:16" x14ac:dyDescent="0.25">
      <c r="B939" s="4"/>
      <c r="F939">
        <v>23.45</v>
      </c>
      <c r="G939">
        <v>6273380</v>
      </c>
      <c r="H939">
        <v>821960</v>
      </c>
      <c r="I939">
        <v>821960</v>
      </c>
      <c r="J939">
        <v>369580</v>
      </c>
      <c r="K939">
        <v>29.95</v>
      </c>
      <c r="L939">
        <v>51.5</v>
      </c>
      <c r="M939">
        <v>23</v>
      </c>
      <c r="N939">
        <v>27.4</v>
      </c>
      <c r="O939">
        <v>23.4</v>
      </c>
      <c r="P939" s="9">
        <v>46148.455370370371</v>
      </c>
    </row>
    <row r="940" spans="2:16" x14ac:dyDescent="0.25">
      <c r="B940" s="4"/>
      <c r="F940">
        <v>1548.05</v>
      </c>
      <c r="G940">
        <v>6020</v>
      </c>
      <c r="H940">
        <v>6220</v>
      </c>
      <c r="I940">
        <v>7400</v>
      </c>
      <c r="J940">
        <v>5980</v>
      </c>
      <c r="K940">
        <v>1444.8</v>
      </c>
      <c r="L940">
        <v>1561.3</v>
      </c>
      <c r="M940">
        <v>1087.8</v>
      </c>
      <c r="N940">
        <v>1671.6</v>
      </c>
      <c r="O940">
        <v>1522.3</v>
      </c>
      <c r="P940" s="9">
        <v>46148.454664351855</v>
      </c>
    </row>
    <row r="941" spans="2:16" x14ac:dyDescent="0.25">
      <c r="B941" s="4"/>
      <c r="F941">
        <v>19.850000000000001</v>
      </c>
      <c r="G941">
        <v>5332080</v>
      </c>
      <c r="H941">
        <v>835320</v>
      </c>
      <c r="I941">
        <v>846020</v>
      </c>
      <c r="J941">
        <v>338160</v>
      </c>
      <c r="K941">
        <v>28</v>
      </c>
      <c r="L941">
        <v>41.15</v>
      </c>
      <c r="M941">
        <v>19</v>
      </c>
      <c r="N941">
        <v>23.5</v>
      </c>
      <c r="O941">
        <v>19.8</v>
      </c>
      <c r="P941" s="9">
        <v>46148.455370370371</v>
      </c>
    </row>
    <row r="942" spans="2:16" x14ac:dyDescent="0.25">
      <c r="B942" s="4"/>
      <c r="F942">
        <v>1507.85</v>
      </c>
      <c r="G942">
        <v>5220</v>
      </c>
      <c r="H942">
        <v>2240</v>
      </c>
      <c r="I942">
        <v>2880</v>
      </c>
      <c r="J942">
        <v>2000</v>
      </c>
      <c r="K942">
        <v>1368</v>
      </c>
      <c r="L942">
        <v>1636.75</v>
      </c>
      <c r="M942">
        <v>1346.8</v>
      </c>
      <c r="N942">
        <v>1725.95</v>
      </c>
      <c r="O942">
        <v>1622.05</v>
      </c>
      <c r="P942" s="9">
        <v>46148.448587962965</v>
      </c>
    </row>
    <row r="943" spans="2:16" x14ac:dyDescent="0.25">
      <c r="B943" s="4"/>
      <c r="F943">
        <v>16.75</v>
      </c>
      <c r="G943">
        <v>13969580</v>
      </c>
      <c r="H943">
        <v>2652680</v>
      </c>
      <c r="I943">
        <v>2692880</v>
      </c>
      <c r="J943">
        <v>1119080</v>
      </c>
      <c r="K943">
        <v>22.2</v>
      </c>
      <c r="L943">
        <v>33.4</v>
      </c>
      <c r="M943">
        <v>15.75</v>
      </c>
      <c r="N943">
        <v>20.25</v>
      </c>
      <c r="O943">
        <v>16.75</v>
      </c>
      <c r="P943" s="9">
        <v>46148.455370370371</v>
      </c>
    </row>
    <row r="944" spans="2:16" x14ac:dyDescent="0.25">
      <c r="B944" s="4"/>
      <c r="F944">
        <v>1707.05</v>
      </c>
      <c r="G944">
        <v>24080</v>
      </c>
      <c r="H944">
        <v>19500</v>
      </c>
      <c r="I944">
        <v>20940</v>
      </c>
      <c r="J944">
        <v>18820</v>
      </c>
      <c r="K944">
        <v>1240.05</v>
      </c>
      <c r="L944">
        <v>1750</v>
      </c>
      <c r="M944">
        <v>1240</v>
      </c>
      <c r="N944">
        <v>1854.65</v>
      </c>
      <c r="O944">
        <v>1715.2</v>
      </c>
      <c r="P944" s="9">
        <v>46148.455324074072</v>
      </c>
    </row>
    <row r="945" spans="2:16" x14ac:dyDescent="0.25">
      <c r="B945" s="4"/>
      <c r="F945">
        <v>14.45</v>
      </c>
      <c r="G945">
        <v>4373400</v>
      </c>
      <c r="H945">
        <v>776020</v>
      </c>
      <c r="I945">
        <v>792480</v>
      </c>
      <c r="J945">
        <v>256520</v>
      </c>
      <c r="K945">
        <v>18.100000000000001</v>
      </c>
      <c r="L945">
        <v>26.65</v>
      </c>
      <c r="M945">
        <v>13.55</v>
      </c>
      <c r="N945">
        <v>17.25</v>
      </c>
      <c r="O945">
        <v>14.3</v>
      </c>
      <c r="P945" s="9">
        <v>46148.455358796295</v>
      </c>
    </row>
    <row r="946" spans="2:16" x14ac:dyDescent="0.25">
      <c r="B946" s="4"/>
      <c r="F946">
        <v>1700.95</v>
      </c>
      <c r="G946">
        <v>1980</v>
      </c>
      <c r="H946">
        <v>1500</v>
      </c>
      <c r="I946">
        <v>1700</v>
      </c>
      <c r="J946">
        <v>1020</v>
      </c>
      <c r="K946">
        <v>1558.95</v>
      </c>
      <c r="L946">
        <v>1849.4</v>
      </c>
      <c r="M946">
        <v>1557.2</v>
      </c>
      <c r="N946">
        <v>1938.4</v>
      </c>
      <c r="O946">
        <v>1816.45</v>
      </c>
      <c r="P946" s="9">
        <v>46148.448587962965</v>
      </c>
    </row>
    <row r="947" spans="2:16" x14ac:dyDescent="0.25">
      <c r="B947" s="4"/>
      <c r="F947">
        <v>12.55</v>
      </c>
      <c r="G947">
        <v>4239320</v>
      </c>
      <c r="H947">
        <v>986980</v>
      </c>
      <c r="I947">
        <v>986980</v>
      </c>
      <c r="J947">
        <v>260220</v>
      </c>
      <c r="K947">
        <v>12.2</v>
      </c>
      <c r="L947">
        <v>21.2</v>
      </c>
      <c r="M947">
        <v>11.35</v>
      </c>
      <c r="N947">
        <v>14.85</v>
      </c>
      <c r="O947">
        <v>12.45</v>
      </c>
      <c r="P947" s="9">
        <v>46148.455358796295</v>
      </c>
    </row>
    <row r="948" spans="2:16" x14ac:dyDescent="0.25">
      <c r="B948" s="4"/>
      <c r="F948">
        <v>1824.65</v>
      </c>
      <c r="G948">
        <v>1300</v>
      </c>
      <c r="H948">
        <v>880</v>
      </c>
      <c r="I948">
        <v>1180</v>
      </c>
      <c r="J948">
        <v>840</v>
      </c>
      <c r="K948">
        <v>1635.95</v>
      </c>
      <c r="L948">
        <v>1934</v>
      </c>
      <c r="M948">
        <v>1627.55</v>
      </c>
      <c r="N948">
        <v>2024.05</v>
      </c>
      <c r="O948">
        <v>1913.4</v>
      </c>
      <c r="P948" s="9">
        <v>46148.445520833331</v>
      </c>
    </row>
    <row r="949" spans="2:16" x14ac:dyDescent="0.25">
      <c r="B949" s="4"/>
      <c r="F949">
        <v>10.75</v>
      </c>
      <c r="G949">
        <v>3817960</v>
      </c>
      <c r="H949">
        <v>916820</v>
      </c>
      <c r="I949">
        <v>943580</v>
      </c>
      <c r="J949">
        <v>184820</v>
      </c>
      <c r="K949">
        <v>9.8000000000000007</v>
      </c>
      <c r="L949">
        <v>17.25</v>
      </c>
      <c r="M949">
        <v>9.8000000000000007</v>
      </c>
      <c r="N949">
        <v>13.05</v>
      </c>
      <c r="O949">
        <v>10.75</v>
      </c>
      <c r="P949" s="9">
        <v>46148.455370370371</v>
      </c>
    </row>
    <row r="950" spans="2:16" x14ac:dyDescent="0.25">
      <c r="B950" s="4"/>
      <c r="F950">
        <v>1915.35</v>
      </c>
      <c r="G950">
        <v>660</v>
      </c>
      <c r="H950">
        <v>560</v>
      </c>
      <c r="I950">
        <v>660</v>
      </c>
      <c r="J950">
        <v>560</v>
      </c>
      <c r="K950">
        <v>1609.65</v>
      </c>
      <c r="L950">
        <v>2037.1</v>
      </c>
      <c r="M950">
        <v>1574.95</v>
      </c>
      <c r="N950">
        <v>2187.6999999999998</v>
      </c>
      <c r="O950">
        <v>1974.15</v>
      </c>
      <c r="P950" s="9">
        <v>46148.43712962963</v>
      </c>
    </row>
    <row r="951" spans="2:16" x14ac:dyDescent="0.25">
      <c r="B951" s="4"/>
      <c r="F951">
        <v>9.3000000000000007</v>
      </c>
      <c r="G951">
        <v>4065040</v>
      </c>
      <c r="H951">
        <v>1133440</v>
      </c>
      <c r="I951">
        <v>1137860</v>
      </c>
      <c r="J951">
        <v>170520</v>
      </c>
      <c r="K951">
        <v>11.8</v>
      </c>
      <c r="L951">
        <v>14.4</v>
      </c>
      <c r="M951">
        <v>8.85</v>
      </c>
      <c r="N951">
        <v>11.65</v>
      </c>
      <c r="O951">
        <v>9.25</v>
      </c>
      <c r="P951" s="9">
        <v>46148.455370370371</v>
      </c>
    </row>
    <row r="952" spans="2:16" x14ac:dyDescent="0.25">
      <c r="B952" s="4"/>
      <c r="F952">
        <v>2371.9</v>
      </c>
      <c r="G952">
        <v>0</v>
      </c>
      <c r="H952">
        <v>1000</v>
      </c>
      <c r="I952">
        <v>1000</v>
      </c>
      <c r="J952">
        <v>1000</v>
      </c>
      <c r="K952">
        <v>0</v>
      </c>
      <c r="L952">
        <v>2371.9</v>
      </c>
      <c r="M952">
        <v>2240.15</v>
      </c>
      <c r="N952">
        <v>2371.9</v>
      </c>
      <c r="O952">
        <v>1428.95</v>
      </c>
      <c r="P952" s="9">
        <v>46147.619953703703</v>
      </c>
    </row>
    <row r="953" spans="2:16" x14ac:dyDescent="0.25">
      <c r="B953" s="4"/>
      <c r="F953">
        <v>7.95</v>
      </c>
      <c r="G953">
        <v>7906260</v>
      </c>
      <c r="H953">
        <v>1712720</v>
      </c>
      <c r="I953">
        <v>1761680</v>
      </c>
      <c r="J953">
        <v>952840</v>
      </c>
      <c r="K953">
        <v>9.9499999999999993</v>
      </c>
      <c r="L953">
        <v>12</v>
      </c>
      <c r="M953">
        <v>7.5</v>
      </c>
      <c r="N953">
        <v>10.199999999999999</v>
      </c>
      <c r="O953">
        <v>7.95</v>
      </c>
      <c r="P953" s="9">
        <v>46148.455370370371</v>
      </c>
    </row>
    <row r="954" spans="2:16" x14ac:dyDescent="0.25">
      <c r="B954" s="4"/>
      <c r="F954">
        <v>2225</v>
      </c>
      <c r="G954">
        <v>1740</v>
      </c>
      <c r="H954">
        <v>2620</v>
      </c>
      <c r="I954">
        <v>3040</v>
      </c>
      <c r="J954">
        <v>2580</v>
      </c>
      <c r="K954">
        <v>2250</v>
      </c>
      <c r="L954">
        <v>2250</v>
      </c>
      <c r="M954">
        <v>2002</v>
      </c>
      <c r="N954">
        <v>2318.3000000000002</v>
      </c>
      <c r="O954">
        <v>2201.9499999999998</v>
      </c>
      <c r="P954" s="9">
        <v>46148.453993055555</v>
      </c>
    </row>
    <row r="955" spans="2:16" x14ac:dyDescent="0.25">
      <c r="B955" s="4"/>
      <c r="F955">
        <v>7.15</v>
      </c>
      <c r="G955">
        <v>1839800</v>
      </c>
      <c r="H955">
        <v>354600</v>
      </c>
      <c r="I955">
        <v>371560</v>
      </c>
      <c r="J955">
        <v>165800</v>
      </c>
      <c r="K955">
        <v>8.8000000000000007</v>
      </c>
      <c r="L955">
        <v>9.9499999999999993</v>
      </c>
      <c r="M955">
        <v>6.8</v>
      </c>
      <c r="N955">
        <v>9.25</v>
      </c>
      <c r="O955">
        <v>7.1</v>
      </c>
      <c r="P955" s="9">
        <v>46148.455347222225</v>
      </c>
    </row>
    <row r="956" spans="2:16" x14ac:dyDescent="0.25">
      <c r="B956" s="4"/>
      <c r="F956">
        <v>2251.5</v>
      </c>
      <c r="G956">
        <v>60</v>
      </c>
      <c r="H956">
        <v>1120</v>
      </c>
      <c r="I956">
        <v>1180</v>
      </c>
      <c r="J956">
        <v>1120</v>
      </c>
      <c r="K956">
        <v>2252</v>
      </c>
      <c r="L956">
        <v>2252</v>
      </c>
      <c r="M956">
        <v>2251.5</v>
      </c>
      <c r="N956">
        <v>2562</v>
      </c>
      <c r="O956">
        <v>2297.15</v>
      </c>
      <c r="P956" s="9">
        <v>46148.424502314818</v>
      </c>
    </row>
    <row r="957" spans="2:16" x14ac:dyDescent="0.25">
      <c r="B957" s="4"/>
      <c r="F957">
        <v>6.35</v>
      </c>
      <c r="G957">
        <v>1932260</v>
      </c>
      <c r="H957">
        <v>427380</v>
      </c>
      <c r="I957">
        <v>427380</v>
      </c>
      <c r="J957">
        <v>334740</v>
      </c>
      <c r="K957">
        <v>6.95</v>
      </c>
      <c r="L957">
        <v>8.5</v>
      </c>
      <c r="M957">
        <v>6</v>
      </c>
      <c r="N957">
        <v>8.4499999999999993</v>
      </c>
      <c r="O957">
        <v>6.3</v>
      </c>
      <c r="P957" s="9">
        <v>46148.455347222225</v>
      </c>
    </row>
    <row r="958" spans="2:16" x14ac:dyDescent="0.25">
      <c r="B958" s="4"/>
      <c r="P958" s="9"/>
    </row>
    <row r="959" spans="2:16" x14ac:dyDescent="0.25">
      <c r="B959" s="4"/>
      <c r="F959">
        <v>5.6</v>
      </c>
      <c r="G959">
        <v>2168980</v>
      </c>
      <c r="H959">
        <v>502060</v>
      </c>
      <c r="I959">
        <v>502500</v>
      </c>
      <c r="J959">
        <v>184780</v>
      </c>
      <c r="K959">
        <v>6.2</v>
      </c>
      <c r="L959">
        <v>7.85</v>
      </c>
      <c r="M959">
        <v>5.05</v>
      </c>
      <c r="N959">
        <v>7.55</v>
      </c>
      <c r="O959">
        <v>5.6</v>
      </c>
      <c r="P959" s="9">
        <v>46148.455347222225</v>
      </c>
    </row>
    <row r="960" spans="2:16" x14ac:dyDescent="0.25">
      <c r="B960" s="4"/>
      <c r="P960" s="9"/>
    </row>
    <row r="961" spans="2:16" x14ac:dyDescent="0.25">
      <c r="B961" s="4"/>
      <c r="F961">
        <v>5.2</v>
      </c>
      <c r="G961">
        <v>1779160</v>
      </c>
      <c r="H961">
        <v>369580</v>
      </c>
      <c r="I961">
        <v>399700</v>
      </c>
      <c r="J961">
        <v>245040</v>
      </c>
      <c r="K961">
        <v>5.35</v>
      </c>
      <c r="L961">
        <v>6.7</v>
      </c>
      <c r="M961">
        <v>4.05</v>
      </c>
      <c r="N961">
        <v>6.9</v>
      </c>
      <c r="O961">
        <v>5.15</v>
      </c>
      <c r="P961" s="9">
        <v>46148.455335648148</v>
      </c>
    </row>
    <row r="962" spans="2:16" x14ac:dyDescent="0.25">
      <c r="B962" s="4"/>
      <c r="P962" s="9"/>
    </row>
    <row r="963" spans="2:16" x14ac:dyDescent="0.25">
      <c r="B963" s="4"/>
      <c r="F963">
        <v>4.75</v>
      </c>
      <c r="G963">
        <v>12320880</v>
      </c>
      <c r="H963">
        <v>2824300</v>
      </c>
      <c r="I963">
        <v>2922280</v>
      </c>
      <c r="J963">
        <v>1928160</v>
      </c>
      <c r="K963">
        <v>6.05</v>
      </c>
      <c r="L963">
        <v>6.1</v>
      </c>
      <c r="M963">
        <v>3.75</v>
      </c>
      <c r="N963">
        <v>6.35</v>
      </c>
      <c r="O963">
        <v>4.7</v>
      </c>
      <c r="P963" s="9">
        <v>46148.455370370371</v>
      </c>
    </row>
    <row r="964" spans="2:16" x14ac:dyDescent="0.25">
      <c r="B964" s="4"/>
      <c r="F964">
        <v>2729</v>
      </c>
      <c r="G964">
        <v>3340</v>
      </c>
      <c r="H964">
        <v>19520</v>
      </c>
      <c r="I964">
        <v>20700</v>
      </c>
      <c r="J964">
        <v>19520</v>
      </c>
      <c r="K964">
        <v>2000.3</v>
      </c>
      <c r="L964">
        <v>2729</v>
      </c>
      <c r="M964">
        <v>2000.3</v>
      </c>
      <c r="N964">
        <v>2839.5</v>
      </c>
      <c r="O964">
        <v>2697.75</v>
      </c>
      <c r="P964" s="9">
        <v>46148.454664351855</v>
      </c>
    </row>
    <row r="965" spans="2:16" x14ac:dyDescent="0.25">
      <c r="B965" s="4"/>
      <c r="F965">
        <v>4.3</v>
      </c>
      <c r="G965">
        <v>1095140</v>
      </c>
      <c r="H965">
        <v>284240</v>
      </c>
      <c r="I965">
        <v>284240</v>
      </c>
      <c r="J965">
        <v>163240</v>
      </c>
      <c r="K965">
        <v>4.8499999999999996</v>
      </c>
      <c r="L965">
        <v>5.5</v>
      </c>
      <c r="M965">
        <v>3.3</v>
      </c>
      <c r="N965">
        <v>5.8</v>
      </c>
      <c r="O965">
        <v>4.25</v>
      </c>
      <c r="P965" s="9">
        <v>46148.455335648148</v>
      </c>
    </row>
    <row r="966" spans="2:16" x14ac:dyDescent="0.25">
      <c r="B966" s="4"/>
      <c r="P966" s="9"/>
    </row>
    <row r="967" spans="2:16" x14ac:dyDescent="0.25">
      <c r="B967" s="4"/>
      <c r="F967">
        <v>3.9</v>
      </c>
      <c r="G967">
        <v>1296540</v>
      </c>
      <c r="H967">
        <v>372260</v>
      </c>
      <c r="I967">
        <v>372460</v>
      </c>
      <c r="J967">
        <v>121160</v>
      </c>
      <c r="K967">
        <v>4.3499999999999996</v>
      </c>
      <c r="L967">
        <v>5</v>
      </c>
      <c r="M967">
        <v>3.05</v>
      </c>
      <c r="N967">
        <v>5.15</v>
      </c>
      <c r="O967">
        <v>3.9</v>
      </c>
      <c r="P967" s="9">
        <v>46148.455370370371</v>
      </c>
    </row>
    <row r="968" spans="2:16" x14ac:dyDescent="0.25">
      <c r="B968" s="4"/>
      <c r="P968" s="9"/>
    </row>
    <row r="969" spans="2:16" x14ac:dyDescent="0.25">
      <c r="B969" s="4"/>
      <c r="F969">
        <v>3.7</v>
      </c>
      <c r="G969">
        <v>1072920</v>
      </c>
      <c r="H969">
        <v>249980</v>
      </c>
      <c r="I969">
        <v>273900</v>
      </c>
      <c r="J969">
        <v>96320</v>
      </c>
      <c r="K969">
        <v>3.5</v>
      </c>
      <c r="L969">
        <v>4.5999999999999996</v>
      </c>
      <c r="M969">
        <v>2.85</v>
      </c>
      <c r="N969">
        <v>4.75</v>
      </c>
      <c r="O969">
        <v>3.65</v>
      </c>
      <c r="P969" s="9">
        <v>46148.455324074072</v>
      </c>
    </row>
    <row r="970" spans="2:16" x14ac:dyDescent="0.25">
      <c r="B970" s="4"/>
      <c r="P970" s="9"/>
    </row>
    <row r="971" spans="2:16" x14ac:dyDescent="0.25">
      <c r="B971" s="4"/>
      <c r="F971">
        <v>3.4</v>
      </c>
      <c r="G971">
        <v>1006260</v>
      </c>
      <c r="H971">
        <v>274020</v>
      </c>
      <c r="I971">
        <v>306260</v>
      </c>
      <c r="J971">
        <v>159760</v>
      </c>
      <c r="K971">
        <v>3.5</v>
      </c>
      <c r="L971">
        <v>4.1500000000000004</v>
      </c>
      <c r="M971">
        <v>2.4</v>
      </c>
      <c r="N971">
        <v>4.4000000000000004</v>
      </c>
      <c r="O971">
        <v>3.3</v>
      </c>
      <c r="P971" s="9">
        <v>46148.455335648148</v>
      </c>
    </row>
    <row r="972" spans="2:16" x14ac:dyDescent="0.25">
      <c r="B972" s="4"/>
      <c r="P972" s="9"/>
    </row>
    <row r="973" spans="2:16" x14ac:dyDescent="0.25">
      <c r="B973" s="4"/>
      <c r="F973">
        <v>3.2</v>
      </c>
      <c r="G973">
        <v>4859120</v>
      </c>
      <c r="H973">
        <v>1743280</v>
      </c>
      <c r="I973">
        <v>1755160</v>
      </c>
      <c r="J973">
        <v>990920</v>
      </c>
      <c r="K973">
        <v>2.35</v>
      </c>
      <c r="L973">
        <v>3.9</v>
      </c>
      <c r="M973">
        <v>2.35</v>
      </c>
      <c r="N973">
        <v>4.0999999999999996</v>
      </c>
      <c r="O973">
        <v>3.15</v>
      </c>
      <c r="P973" s="9">
        <v>46148.455370370371</v>
      </c>
    </row>
    <row r="974" spans="2:16" x14ac:dyDescent="0.25">
      <c r="B974" s="4"/>
      <c r="P974" s="9"/>
    </row>
    <row r="975" spans="2:16" x14ac:dyDescent="0.25">
      <c r="B975" s="4"/>
      <c r="F975">
        <v>2.9</v>
      </c>
      <c r="G975">
        <v>511620</v>
      </c>
      <c r="H975">
        <v>153060</v>
      </c>
      <c r="I975">
        <v>154520</v>
      </c>
      <c r="J975">
        <v>74120</v>
      </c>
      <c r="K975">
        <v>2.0499999999999998</v>
      </c>
      <c r="L975">
        <v>3.6</v>
      </c>
      <c r="M975">
        <v>1.9</v>
      </c>
      <c r="N975">
        <v>3.9</v>
      </c>
      <c r="O975">
        <v>2.85</v>
      </c>
      <c r="P975" s="9">
        <v>46148.455243055556</v>
      </c>
    </row>
    <row r="976" spans="2:16" x14ac:dyDescent="0.25">
      <c r="B976" s="4"/>
      <c r="P976" s="9"/>
    </row>
    <row r="977" spans="2:16" x14ac:dyDescent="0.25">
      <c r="B977" s="4"/>
      <c r="F977">
        <v>2.8</v>
      </c>
      <c r="G977">
        <v>858960</v>
      </c>
      <c r="H977">
        <v>298360</v>
      </c>
      <c r="I977">
        <v>302520</v>
      </c>
      <c r="J977">
        <v>66120</v>
      </c>
      <c r="K977">
        <v>2.0499999999999998</v>
      </c>
      <c r="L977">
        <v>3.4</v>
      </c>
      <c r="M977">
        <v>1.65</v>
      </c>
      <c r="N977">
        <v>3.45</v>
      </c>
      <c r="O977">
        <v>2.7</v>
      </c>
      <c r="P977" s="9">
        <v>46148.455266203702</v>
      </c>
    </row>
    <row r="978" spans="2:16" x14ac:dyDescent="0.25">
      <c r="B978" s="4"/>
      <c r="P978" s="9"/>
    </row>
    <row r="979" spans="2:16" x14ac:dyDescent="0.25">
      <c r="B979" s="4"/>
      <c r="F979">
        <v>2.5499999999999998</v>
      </c>
      <c r="G979">
        <v>508680</v>
      </c>
      <c r="H979">
        <v>163340</v>
      </c>
      <c r="I979">
        <v>171060</v>
      </c>
      <c r="J979">
        <v>128440</v>
      </c>
      <c r="K979">
        <v>2.95</v>
      </c>
      <c r="L979">
        <v>3.15</v>
      </c>
      <c r="M979">
        <v>1.3</v>
      </c>
      <c r="N979">
        <v>3.25</v>
      </c>
      <c r="O979">
        <v>2.5499999999999998</v>
      </c>
      <c r="P979" s="9">
        <v>46148.455324074072</v>
      </c>
    </row>
    <row r="980" spans="2:16" x14ac:dyDescent="0.25">
      <c r="B980" s="4"/>
      <c r="P980" s="9"/>
    </row>
    <row r="981" spans="2:16" x14ac:dyDescent="0.25">
      <c r="B981" s="4"/>
      <c r="F981">
        <v>2.5</v>
      </c>
      <c r="G981">
        <v>461820</v>
      </c>
      <c r="H981">
        <v>144540</v>
      </c>
      <c r="I981">
        <v>154700</v>
      </c>
      <c r="J981">
        <v>70380</v>
      </c>
      <c r="K981">
        <v>1.7</v>
      </c>
      <c r="L981">
        <v>3</v>
      </c>
      <c r="M981">
        <v>1.5</v>
      </c>
      <c r="N981">
        <v>2.9</v>
      </c>
      <c r="O981">
        <v>2.4500000000000002</v>
      </c>
      <c r="P981" s="9">
        <v>46148.45511574074</v>
      </c>
    </row>
    <row r="982" spans="2:16" x14ac:dyDescent="0.25">
      <c r="B982" s="4"/>
      <c r="P982" s="9"/>
    </row>
    <row r="983" spans="2:16" x14ac:dyDescent="0.25">
      <c r="B983" s="4"/>
      <c r="F983">
        <v>2.25</v>
      </c>
      <c r="G983">
        <v>4715620</v>
      </c>
      <c r="H983">
        <v>1748120</v>
      </c>
      <c r="I983">
        <v>1774540</v>
      </c>
      <c r="J983">
        <v>789000</v>
      </c>
      <c r="K983">
        <v>1.4</v>
      </c>
      <c r="L983">
        <v>2.8</v>
      </c>
      <c r="M983">
        <v>1.4</v>
      </c>
      <c r="N983">
        <v>2.7</v>
      </c>
      <c r="O983">
        <v>2.25</v>
      </c>
      <c r="P983" s="9">
        <v>46148.455335648148</v>
      </c>
    </row>
    <row r="984" spans="2:16" x14ac:dyDescent="0.25">
      <c r="B984" s="4"/>
      <c r="P984" s="9"/>
    </row>
    <row r="985" spans="2:16" x14ac:dyDescent="0.25">
      <c r="B985" s="4"/>
      <c r="F985">
        <v>2.25</v>
      </c>
      <c r="G985">
        <v>360440</v>
      </c>
      <c r="H985">
        <v>75800</v>
      </c>
      <c r="I985">
        <v>79440</v>
      </c>
      <c r="J985">
        <v>37880</v>
      </c>
      <c r="K985">
        <v>1.5</v>
      </c>
      <c r="L985">
        <v>2.75</v>
      </c>
      <c r="M985">
        <v>1.35</v>
      </c>
      <c r="N985">
        <v>2.65</v>
      </c>
      <c r="O985">
        <v>2.2000000000000002</v>
      </c>
      <c r="P985" s="9">
        <v>46148.45511574074</v>
      </c>
    </row>
    <row r="986" spans="2:16" x14ac:dyDescent="0.25">
      <c r="B986" s="4"/>
      <c r="P986" s="9"/>
    </row>
    <row r="987" spans="2:16" x14ac:dyDescent="0.25">
      <c r="B987" s="4"/>
      <c r="F987">
        <v>2.1</v>
      </c>
      <c r="G987">
        <v>320680</v>
      </c>
      <c r="H987">
        <v>120800</v>
      </c>
      <c r="I987">
        <v>120800</v>
      </c>
      <c r="J987">
        <v>80460</v>
      </c>
      <c r="K987">
        <v>1.35</v>
      </c>
      <c r="L987">
        <v>2.7</v>
      </c>
      <c r="M987">
        <v>1.25</v>
      </c>
      <c r="N987">
        <v>2.4</v>
      </c>
      <c r="O987">
        <v>2.1</v>
      </c>
      <c r="P987" s="9">
        <v>46148.455370370371</v>
      </c>
    </row>
    <row r="988" spans="2:16" x14ac:dyDescent="0.25">
      <c r="B988" s="4"/>
      <c r="P988" s="9"/>
    </row>
    <row r="989" spans="2:16" x14ac:dyDescent="0.25">
      <c r="B989" s="4"/>
      <c r="F989">
        <v>2.15</v>
      </c>
      <c r="G989">
        <v>340980</v>
      </c>
      <c r="H989">
        <v>83020</v>
      </c>
      <c r="I989">
        <v>83020</v>
      </c>
      <c r="J989">
        <v>49740</v>
      </c>
      <c r="K989">
        <v>1.2</v>
      </c>
      <c r="L989">
        <v>2.5499999999999998</v>
      </c>
      <c r="M989">
        <v>1.1000000000000001</v>
      </c>
      <c r="N989">
        <v>2.15</v>
      </c>
      <c r="O989">
        <v>2.1</v>
      </c>
      <c r="P989" s="9">
        <v>46148.45521990741</v>
      </c>
    </row>
    <row r="990" spans="2:16" x14ac:dyDescent="0.25">
      <c r="B990" s="4"/>
      <c r="P990" s="9"/>
    </row>
    <row r="991" spans="2:16" x14ac:dyDescent="0.25">
      <c r="B991" s="4"/>
      <c r="F991">
        <v>2.0499999999999998</v>
      </c>
      <c r="G991">
        <v>350880</v>
      </c>
      <c r="H991">
        <v>68780</v>
      </c>
      <c r="I991">
        <v>69000</v>
      </c>
      <c r="J991">
        <v>41180</v>
      </c>
      <c r="K991">
        <v>1.2</v>
      </c>
      <c r="L991">
        <v>2.4</v>
      </c>
      <c r="M991">
        <v>1.05</v>
      </c>
      <c r="N991">
        <v>2.0499999999999998</v>
      </c>
      <c r="O991">
        <v>2</v>
      </c>
      <c r="P991" s="9">
        <v>46148.455196759256</v>
      </c>
    </row>
    <row r="992" spans="2:16" x14ac:dyDescent="0.25">
      <c r="B992" s="4"/>
      <c r="P992" s="9"/>
    </row>
    <row r="993" spans="2:16" x14ac:dyDescent="0.25">
      <c r="B993" s="4"/>
      <c r="F993">
        <v>1.85</v>
      </c>
      <c r="G993">
        <v>2342520</v>
      </c>
      <c r="H993">
        <v>699040</v>
      </c>
      <c r="I993">
        <v>731340</v>
      </c>
      <c r="J993">
        <v>309760</v>
      </c>
      <c r="K993">
        <v>1.85</v>
      </c>
      <c r="L993">
        <v>2.4</v>
      </c>
      <c r="M993">
        <v>1.05</v>
      </c>
      <c r="N993">
        <v>2</v>
      </c>
      <c r="O993">
        <v>1.85</v>
      </c>
      <c r="P993" s="9">
        <v>46148.455243055556</v>
      </c>
    </row>
    <row r="994" spans="2:16" x14ac:dyDescent="0.25">
      <c r="B994" s="4"/>
      <c r="P994" s="9"/>
    </row>
    <row r="995" spans="2:16" x14ac:dyDescent="0.25">
      <c r="B995" s="4"/>
      <c r="F995">
        <v>1.75</v>
      </c>
      <c r="G995">
        <v>205680</v>
      </c>
      <c r="H995">
        <v>59460</v>
      </c>
      <c r="I995">
        <v>68160</v>
      </c>
      <c r="J995">
        <v>29020</v>
      </c>
      <c r="K995">
        <v>1</v>
      </c>
      <c r="L995">
        <v>2.2000000000000002</v>
      </c>
      <c r="M995">
        <v>1</v>
      </c>
      <c r="N995">
        <v>1.9</v>
      </c>
      <c r="O995">
        <v>1.75</v>
      </c>
      <c r="P995" s="9">
        <v>46148.455335648148</v>
      </c>
    </row>
    <row r="996" spans="2:16" x14ac:dyDescent="0.25">
      <c r="B996" s="4"/>
      <c r="P996" s="9"/>
    </row>
    <row r="997" spans="2:16" x14ac:dyDescent="0.25">
      <c r="B997" s="4"/>
      <c r="F997">
        <v>1.7</v>
      </c>
      <c r="G997">
        <v>365800</v>
      </c>
      <c r="H997">
        <v>173720</v>
      </c>
      <c r="I997">
        <v>177200</v>
      </c>
      <c r="J997">
        <v>55120</v>
      </c>
      <c r="K997">
        <v>1</v>
      </c>
      <c r="L997">
        <v>2.15</v>
      </c>
      <c r="M997">
        <v>1</v>
      </c>
      <c r="N997">
        <v>1.85</v>
      </c>
      <c r="O997">
        <v>1.65</v>
      </c>
      <c r="P997" s="9">
        <v>46148.455081018517</v>
      </c>
    </row>
    <row r="998" spans="2:16" x14ac:dyDescent="0.25">
      <c r="B998" s="4"/>
      <c r="P998" s="9"/>
    </row>
    <row r="999" spans="2:16" x14ac:dyDescent="0.25">
      <c r="B999" s="4"/>
      <c r="F999">
        <v>1.7</v>
      </c>
      <c r="G999">
        <v>278760</v>
      </c>
      <c r="H999">
        <v>92040</v>
      </c>
      <c r="I999">
        <v>102880</v>
      </c>
      <c r="J999">
        <v>9580</v>
      </c>
      <c r="K999">
        <v>1</v>
      </c>
      <c r="L999">
        <v>2.15</v>
      </c>
      <c r="M999">
        <v>1</v>
      </c>
      <c r="N999">
        <v>1.8</v>
      </c>
      <c r="O999">
        <v>1.65</v>
      </c>
      <c r="P999" s="9">
        <v>46148.45511574074</v>
      </c>
    </row>
    <row r="1000" spans="2:16" x14ac:dyDescent="0.25">
      <c r="B1000" s="4"/>
      <c r="P1000" s="9"/>
    </row>
    <row r="1001" spans="2:16" x14ac:dyDescent="0.25">
      <c r="B1001" s="4"/>
      <c r="F1001">
        <v>1.75</v>
      </c>
      <c r="G1001">
        <v>195040</v>
      </c>
      <c r="H1001">
        <v>95700</v>
      </c>
      <c r="I1001">
        <v>95700</v>
      </c>
      <c r="J1001">
        <v>67640</v>
      </c>
      <c r="K1001">
        <v>1</v>
      </c>
      <c r="L1001">
        <v>2.0499999999999998</v>
      </c>
      <c r="M1001">
        <v>1</v>
      </c>
      <c r="N1001">
        <v>1.6</v>
      </c>
      <c r="O1001">
        <v>1.65</v>
      </c>
      <c r="P1001" s="9">
        <v>46148.454571759263</v>
      </c>
    </row>
    <row r="1002" spans="2:16" x14ac:dyDescent="0.25">
      <c r="B1002" s="4"/>
      <c r="P1002" s="9"/>
    </row>
    <row r="1003" spans="2:16" x14ac:dyDescent="0.25">
      <c r="B1003" s="4"/>
      <c r="F1003">
        <v>1.6</v>
      </c>
      <c r="G1003">
        <v>2165720</v>
      </c>
      <c r="H1003">
        <v>1041240</v>
      </c>
      <c r="I1003">
        <v>1052060</v>
      </c>
      <c r="J1003">
        <v>754320</v>
      </c>
      <c r="K1003">
        <v>1</v>
      </c>
      <c r="L1003">
        <v>1.95</v>
      </c>
      <c r="M1003">
        <v>0.95</v>
      </c>
      <c r="N1003">
        <v>1.55</v>
      </c>
      <c r="O1003">
        <v>1.55</v>
      </c>
      <c r="P1003" s="9">
        <v>46148.455335648148</v>
      </c>
    </row>
    <row r="1004" spans="2:16" x14ac:dyDescent="0.25">
      <c r="B1004" s="4"/>
      <c r="F1004">
        <v>4577.1499999999996</v>
      </c>
      <c r="G1004">
        <v>680</v>
      </c>
      <c r="H1004">
        <v>8940</v>
      </c>
      <c r="I1004">
        <v>8940</v>
      </c>
      <c r="J1004">
        <v>8620</v>
      </c>
      <c r="K1004">
        <v>4431.8500000000004</v>
      </c>
      <c r="L1004">
        <v>4602</v>
      </c>
      <c r="M1004">
        <v>4431.8500000000004</v>
      </c>
      <c r="N1004">
        <v>4957.5</v>
      </c>
      <c r="O1004">
        <v>4677.55</v>
      </c>
      <c r="P1004" s="9">
        <v>46148.408819444441</v>
      </c>
    </row>
    <row r="1005" spans="2:16" x14ac:dyDescent="0.25">
      <c r="B1005" s="4"/>
      <c r="F1005">
        <v>1.65</v>
      </c>
      <c r="G1005">
        <v>32540</v>
      </c>
      <c r="H1005">
        <v>24740</v>
      </c>
      <c r="I1005">
        <v>24740</v>
      </c>
      <c r="J1005">
        <v>13340</v>
      </c>
      <c r="K1005">
        <v>0.95</v>
      </c>
      <c r="L1005">
        <v>1.9</v>
      </c>
      <c r="M1005">
        <v>0.95</v>
      </c>
      <c r="N1005">
        <v>1.55</v>
      </c>
      <c r="O1005">
        <v>1.6</v>
      </c>
      <c r="P1005" s="9">
        <v>46148.455034722225</v>
      </c>
    </row>
    <row r="1006" spans="2:16" x14ac:dyDescent="0.25">
      <c r="B1006" s="4"/>
      <c r="P1006" s="9"/>
    </row>
    <row r="1007" spans="2:16" x14ac:dyDescent="0.25">
      <c r="B1007" s="4"/>
      <c r="F1007">
        <v>1.6</v>
      </c>
      <c r="G1007">
        <v>338180</v>
      </c>
      <c r="H1007">
        <v>198020</v>
      </c>
      <c r="I1007">
        <v>198020</v>
      </c>
      <c r="J1007">
        <v>92420</v>
      </c>
      <c r="K1007">
        <v>0.95</v>
      </c>
      <c r="L1007">
        <v>1.95</v>
      </c>
      <c r="M1007">
        <v>0.95</v>
      </c>
      <c r="N1007">
        <v>1.55</v>
      </c>
      <c r="O1007">
        <v>1.6</v>
      </c>
      <c r="P1007" s="9">
        <v>46148.453472222223</v>
      </c>
    </row>
    <row r="1008" spans="2:16" x14ac:dyDescent="0.25">
      <c r="B1008" s="4"/>
      <c r="P1008" s="9"/>
    </row>
    <row r="1009" spans="2:16" x14ac:dyDescent="0.25">
      <c r="B1009" s="4"/>
      <c r="F1009">
        <v>1.6</v>
      </c>
      <c r="G1009">
        <v>39620</v>
      </c>
      <c r="H1009">
        <v>26320</v>
      </c>
      <c r="I1009">
        <v>26580</v>
      </c>
      <c r="J1009">
        <v>16220</v>
      </c>
      <c r="K1009">
        <v>0.95</v>
      </c>
      <c r="L1009">
        <v>1.85</v>
      </c>
      <c r="M1009">
        <v>0.95</v>
      </c>
      <c r="N1009">
        <v>1.65</v>
      </c>
      <c r="O1009">
        <v>1.5</v>
      </c>
      <c r="P1009" s="9">
        <v>46148.45516203704</v>
      </c>
    </row>
    <row r="1010" spans="2:16" x14ac:dyDescent="0.25">
      <c r="B1010" s="4"/>
      <c r="P1010" s="9"/>
    </row>
    <row r="1011" spans="2:16" x14ac:dyDescent="0.25">
      <c r="B1011" s="4"/>
      <c r="F1011">
        <v>1.5</v>
      </c>
      <c r="G1011">
        <v>115980</v>
      </c>
      <c r="H1011">
        <v>45740</v>
      </c>
      <c r="I1011">
        <v>53860</v>
      </c>
      <c r="J1011">
        <v>26320</v>
      </c>
      <c r="K1011">
        <v>1</v>
      </c>
      <c r="L1011">
        <v>1.8</v>
      </c>
      <c r="M1011">
        <v>1</v>
      </c>
      <c r="N1011">
        <v>1.5</v>
      </c>
      <c r="O1011">
        <v>1.4</v>
      </c>
      <c r="P1011" s="9">
        <v>46148.45516203704</v>
      </c>
    </row>
    <row r="1012" spans="2:16" x14ac:dyDescent="0.25">
      <c r="B1012" s="4"/>
      <c r="P1012" s="9"/>
    </row>
    <row r="1013" spans="2:16" x14ac:dyDescent="0.25">
      <c r="B1013" s="4"/>
      <c r="F1013">
        <v>1.4</v>
      </c>
      <c r="G1013">
        <v>906580</v>
      </c>
      <c r="H1013">
        <v>286960</v>
      </c>
      <c r="I1013">
        <v>286960</v>
      </c>
      <c r="J1013">
        <v>241800</v>
      </c>
      <c r="K1013">
        <v>1.1499999999999999</v>
      </c>
      <c r="L1013">
        <v>1.65</v>
      </c>
      <c r="M1013">
        <v>0.85</v>
      </c>
      <c r="N1013">
        <v>1.1499999999999999</v>
      </c>
      <c r="O1013">
        <v>1.35</v>
      </c>
      <c r="P1013" s="9">
        <v>46148.455300925925</v>
      </c>
    </row>
    <row r="1014" spans="2:16" x14ac:dyDescent="0.25">
      <c r="B1014" s="4"/>
      <c r="F1014">
        <v>5457.35</v>
      </c>
      <c r="G1014">
        <v>0</v>
      </c>
      <c r="H1014">
        <v>1160</v>
      </c>
      <c r="I1014">
        <v>1160</v>
      </c>
      <c r="J1014">
        <v>1160</v>
      </c>
      <c r="K1014">
        <v>0</v>
      </c>
      <c r="L1014">
        <v>5670.1</v>
      </c>
      <c r="M1014">
        <v>5151</v>
      </c>
      <c r="N1014">
        <v>5457.35</v>
      </c>
      <c r="O1014">
        <v>4265.95</v>
      </c>
      <c r="P1014" s="9">
        <v>46142.618009259262</v>
      </c>
    </row>
    <row r="1015" spans="2:16" x14ac:dyDescent="0.25">
      <c r="B1015" s="4"/>
      <c r="F1015">
        <v>1.3</v>
      </c>
      <c r="G1015">
        <v>33120</v>
      </c>
      <c r="H1015">
        <v>11960</v>
      </c>
      <c r="I1015">
        <v>12800</v>
      </c>
      <c r="J1015">
        <v>8320</v>
      </c>
      <c r="K1015">
        <v>0.95</v>
      </c>
      <c r="L1015">
        <v>1.65</v>
      </c>
      <c r="M1015">
        <v>0.85</v>
      </c>
      <c r="N1015">
        <v>1.35</v>
      </c>
      <c r="O1015">
        <v>1.35</v>
      </c>
      <c r="P1015" s="9">
        <v>46148.452893518515</v>
      </c>
    </row>
    <row r="1016" spans="2:16" x14ac:dyDescent="0.25">
      <c r="B1016" s="4"/>
      <c r="P1016" s="9"/>
    </row>
    <row r="1017" spans="2:16" x14ac:dyDescent="0.25">
      <c r="B1017" s="4"/>
      <c r="F1017">
        <v>1.35</v>
      </c>
      <c r="G1017">
        <v>42480</v>
      </c>
      <c r="H1017">
        <v>21220</v>
      </c>
      <c r="I1017">
        <v>22520</v>
      </c>
      <c r="J1017">
        <v>13680</v>
      </c>
      <c r="K1017">
        <v>0.9</v>
      </c>
      <c r="L1017">
        <v>1.55</v>
      </c>
      <c r="M1017">
        <v>0.9</v>
      </c>
      <c r="N1017">
        <v>1.4</v>
      </c>
      <c r="O1017">
        <v>1.3</v>
      </c>
      <c r="P1017" s="9">
        <v>46148.454791666663</v>
      </c>
    </row>
    <row r="1018" spans="2:16" x14ac:dyDescent="0.25">
      <c r="B1018" s="4"/>
      <c r="P1018" s="9"/>
    </row>
    <row r="1019" spans="2:16" x14ac:dyDescent="0.25">
      <c r="B1019" s="4"/>
      <c r="F1019">
        <v>1.35</v>
      </c>
      <c r="G1019">
        <v>89920</v>
      </c>
      <c r="H1019">
        <v>30740</v>
      </c>
      <c r="I1019">
        <v>35520</v>
      </c>
      <c r="J1019">
        <v>29260</v>
      </c>
      <c r="K1019">
        <v>0.85</v>
      </c>
      <c r="L1019">
        <v>1.7</v>
      </c>
      <c r="M1019">
        <v>0.8</v>
      </c>
      <c r="N1019">
        <v>1.4</v>
      </c>
      <c r="O1019">
        <v>1.3</v>
      </c>
      <c r="P1019" s="9">
        <v>46148.455023148148</v>
      </c>
    </row>
    <row r="1020" spans="2:16" x14ac:dyDescent="0.25">
      <c r="B1020" s="4"/>
      <c r="P1020" s="9"/>
    </row>
    <row r="1021" spans="2:16" x14ac:dyDescent="0.25">
      <c r="B1021" s="4"/>
      <c r="F1021">
        <v>1.3</v>
      </c>
      <c r="G1021">
        <v>80960</v>
      </c>
      <c r="H1021">
        <v>36840</v>
      </c>
      <c r="I1021">
        <v>38480</v>
      </c>
      <c r="J1021">
        <v>26540</v>
      </c>
      <c r="K1021">
        <v>0.85</v>
      </c>
      <c r="L1021">
        <v>1.7</v>
      </c>
      <c r="M1021">
        <v>0.85</v>
      </c>
      <c r="N1021">
        <v>1.3</v>
      </c>
      <c r="O1021">
        <v>1.25</v>
      </c>
      <c r="P1021" s="9">
        <v>46148.454861111109</v>
      </c>
    </row>
    <row r="1022" spans="2:16" x14ac:dyDescent="0.25">
      <c r="B1022" s="4"/>
      <c r="P1022" s="9"/>
    </row>
    <row r="1023" spans="2:16" x14ac:dyDescent="0.25">
      <c r="B1023" s="4"/>
      <c r="F1023">
        <v>1.1499999999999999</v>
      </c>
      <c r="G1023">
        <v>770020</v>
      </c>
      <c r="H1023">
        <v>436760</v>
      </c>
      <c r="I1023">
        <v>462720</v>
      </c>
      <c r="J1023">
        <v>391720</v>
      </c>
      <c r="K1023">
        <v>0.9</v>
      </c>
      <c r="L1023">
        <v>1.3</v>
      </c>
      <c r="M1023">
        <v>0.85</v>
      </c>
      <c r="N1023">
        <v>1.1000000000000001</v>
      </c>
      <c r="O1023">
        <v>1.1000000000000001</v>
      </c>
      <c r="P1023" s="9">
        <v>46148.455069444448</v>
      </c>
    </row>
    <row r="1024" spans="2:16" x14ac:dyDescent="0.25">
      <c r="B1024" s="4"/>
      <c r="F1024">
        <v>5640</v>
      </c>
      <c r="G1024">
        <v>1200</v>
      </c>
      <c r="H1024">
        <v>16220</v>
      </c>
      <c r="I1024">
        <v>16760</v>
      </c>
      <c r="J1024">
        <v>16160</v>
      </c>
      <c r="K1024">
        <v>5500</v>
      </c>
      <c r="L1024">
        <v>5650</v>
      </c>
      <c r="M1024">
        <v>5496.95</v>
      </c>
      <c r="N1024">
        <v>5819.15</v>
      </c>
      <c r="O1024">
        <v>5676.1</v>
      </c>
      <c r="P1024" s="9">
        <v>46148.451898148145</v>
      </c>
    </row>
    <row r="1025" spans="2:16" x14ac:dyDescent="0.25">
      <c r="B1025" s="4"/>
      <c r="F1025">
        <v>1.3</v>
      </c>
      <c r="G1025">
        <v>121280</v>
      </c>
      <c r="H1025">
        <v>156600</v>
      </c>
      <c r="I1025">
        <v>163280</v>
      </c>
      <c r="J1025">
        <v>137940</v>
      </c>
      <c r="K1025">
        <v>0.85</v>
      </c>
      <c r="L1025">
        <v>1.5</v>
      </c>
      <c r="M1025">
        <v>0.85</v>
      </c>
      <c r="N1025">
        <v>1.35</v>
      </c>
      <c r="O1025">
        <v>1.2</v>
      </c>
      <c r="P1025" s="9">
        <v>46148.454861111109</v>
      </c>
    </row>
    <row r="1026" spans="2:16" x14ac:dyDescent="0.25">
      <c r="B1026" s="4"/>
      <c r="P1026" s="9"/>
    </row>
    <row r="1027" spans="2:16" x14ac:dyDescent="0.25">
      <c r="B1027" s="4"/>
      <c r="F1027">
        <v>1.3</v>
      </c>
      <c r="G1027">
        <v>52520</v>
      </c>
      <c r="H1027">
        <v>42520</v>
      </c>
      <c r="I1027">
        <v>43580</v>
      </c>
      <c r="J1027">
        <v>27500</v>
      </c>
      <c r="K1027">
        <v>0.85</v>
      </c>
      <c r="L1027">
        <v>1.45</v>
      </c>
      <c r="M1027">
        <v>0.85</v>
      </c>
      <c r="N1027">
        <v>1.2</v>
      </c>
      <c r="O1027">
        <v>1.1499999999999999</v>
      </c>
      <c r="P1027" s="9">
        <v>46148.454861111109</v>
      </c>
    </row>
    <row r="1028" spans="2:16" x14ac:dyDescent="0.25">
      <c r="B1028" s="4"/>
      <c r="F1028">
        <v>6157.15</v>
      </c>
      <c r="G1028">
        <v>0</v>
      </c>
      <c r="H1028">
        <v>100</v>
      </c>
      <c r="I1028">
        <v>100</v>
      </c>
      <c r="J1028">
        <v>100</v>
      </c>
      <c r="K1028">
        <v>0</v>
      </c>
      <c r="L1028">
        <v>4600</v>
      </c>
      <c r="M1028">
        <v>4600</v>
      </c>
      <c r="N1028">
        <v>6157.15</v>
      </c>
      <c r="O1028">
        <v>4964.2</v>
      </c>
      <c r="P1028" s="9">
        <v>46134.432129629633</v>
      </c>
    </row>
    <row r="1029" spans="2:16" x14ac:dyDescent="0.25">
      <c r="B1029" s="4"/>
      <c r="F1029">
        <v>1.2</v>
      </c>
      <c r="G1029">
        <v>12980</v>
      </c>
      <c r="H1029">
        <v>7220</v>
      </c>
      <c r="I1029">
        <v>7220</v>
      </c>
      <c r="J1029">
        <v>5040</v>
      </c>
      <c r="K1029">
        <v>0.85</v>
      </c>
      <c r="L1029">
        <v>1.35</v>
      </c>
      <c r="M1029">
        <v>0.6</v>
      </c>
      <c r="N1029">
        <v>1.2</v>
      </c>
      <c r="O1029">
        <v>1.05</v>
      </c>
      <c r="P1029" s="9">
        <v>46148.454687500001</v>
      </c>
    </row>
    <row r="1030" spans="2:16" x14ac:dyDescent="0.25">
      <c r="B1030" s="4"/>
      <c r="P1030" s="9"/>
    </row>
    <row r="1031" spans="2:16" x14ac:dyDescent="0.25">
      <c r="B1031" s="4"/>
      <c r="F1031">
        <v>1.2</v>
      </c>
      <c r="G1031">
        <v>28440</v>
      </c>
      <c r="H1031">
        <v>16020</v>
      </c>
      <c r="I1031">
        <v>18220</v>
      </c>
      <c r="J1031">
        <v>9320</v>
      </c>
      <c r="K1031">
        <v>0.8</v>
      </c>
      <c r="L1031">
        <v>1.45</v>
      </c>
      <c r="M1031">
        <v>0.8</v>
      </c>
      <c r="N1031">
        <v>1.1000000000000001</v>
      </c>
      <c r="O1031">
        <v>1.05</v>
      </c>
      <c r="P1031" s="9">
        <v>46148.454201388886</v>
      </c>
    </row>
    <row r="1032" spans="2:16" x14ac:dyDescent="0.25">
      <c r="B1032" s="4"/>
      <c r="P1032" s="9"/>
    </row>
    <row r="1033" spans="2:16" x14ac:dyDescent="0.25">
      <c r="B1033" s="4"/>
      <c r="F1033">
        <v>0.95</v>
      </c>
      <c r="G1033">
        <v>272620</v>
      </c>
      <c r="H1033">
        <v>119740</v>
      </c>
      <c r="I1033">
        <v>122980</v>
      </c>
      <c r="J1033">
        <v>102760</v>
      </c>
      <c r="K1033">
        <v>0.9</v>
      </c>
      <c r="L1033">
        <v>1.1499999999999999</v>
      </c>
      <c r="M1033">
        <v>0.6</v>
      </c>
      <c r="N1033">
        <v>0.85</v>
      </c>
      <c r="O1033">
        <v>0.95</v>
      </c>
      <c r="P1033" s="9">
        <v>46148.455150462964</v>
      </c>
    </row>
    <row r="1034" spans="2:16" x14ac:dyDescent="0.25">
      <c r="B1034" s="4"/>
      <c r="P1034" s="9"/>
    </row>
    <row r="1035" spans="2:16" x14ac:dyDescent="0.25">
      <c r="B1035" s="4"/>
      <c r="F1035">
        <v>1.1000000000000001</v>
      </c>
      <c r="G1035">
        <v>14060</v>
      </c>
      <c r="H1035">
        <v>15420</v>
      </c>
      <c r="I1035">
        <v>15460</v>
      </c>
      <c r="J1035">
        <v>11980</v>
      </c>
      <c r="K1035">
        <v>0.9</v>
      </c>
      <c r="L1035">
        <v>1.4</v>
      </c>
      <c r="M1035">
        <v>0.8</v>
      </c>
      <c r="N1035">
        <v>1.2</v>
      </c>
      <c r="O1035">
        <v>1.1000000000000001</v>
      </c>
      <c r="P1035" s="9">
        <v>46148.455000000002</v>
      </c>
    </row>
    <row r="1036" spans="2:16" x14ac:dyDescent="0.25">
      <c r="B1036" s="4"/>
      <c r="P1036" s="9"/>
    </row>
    <row r="1037" spans="2:16" x14ac:dyDescent="0.25">
      <c r="B1037" s="4"/>
      <c r="F1037">
        <v>0.95</v>
      </c>
      <c r="G1037">
        <v>14360</v>
      </c>
      <c r="H1037">
        <v>10080</v>
      </c>
      <c r="I1037">
        <v>10280</v>
      </c>
      <c r="J1037">
        <v>6660</v>
      </c>
      <c r="K1037">
        <v>0.65</v>
      </c>
      <c r="L1037">
        <v>1.1499999999999999</v>
      </c>
      <c r="M1037">
        <v>0.65</v>
      </c>
      <c r="N1037">
        <v>1.1000000000000001</v>
      </c>
      <c r="O1037">
        <v>1</v>
      </c>
      <c r="P1037" s="9">
        <v>46148.446759259263</v>
      </c>
    </row>
    <row r="1038" spans="2:16" x14ac:dyDescent="0.25">
      <c r="B1038" s="4"/>
      <c r="P1038" s="9"/>
    </row>
    <row r="1039" spans="2:16" x14ac:dyDescent="0.25">
      <c r="B1039" s="4"/>
      <c r="F1039">
        <v>1</v>
      </c>
      <c r="G1039">
        <v>7220</v>
      </c>
      <c r="H1039">
        <v>3660</v>
      </c>
      <c r="I1039">
        <v>3660</v>
      </c>
      <c r="J1039">
        <v>1680</v>
      </c>
      <c r="K1039">
        <v>0.8</v>
      </c>
      <c r="L1039">
        <v>1.2</v>
      </c>
      <c r="M1039">
        <v>0.8</v>
      </c>
      <c r="N1039">
        <v>1.1000000000000001</v>
      </c>
      <c r="O1039">
        <v>0.85</v>
      </c>
      <c r="P1039" s="9">
        <v>46148.451469907406</v>
      </c>
    </row>
    <row r="1040" spans="2:16" x14ac:dyDescent="0.25">
      <c r="B1040" s="4"/>
      <c r="P1040" s="9"/>
    </row>
    <row r="1041" spans="2:16" x14ac:dyDescent="0.25">
      <c r="B1041" s="4"/>
      <c r="F1041">
        <v>0.95</v>
      </c>
      <c r="G1041">
        <v>8520</v>
      </c>
      <c r="H1041">
        <v>4080</v>
      </c>
      <c r="I1041">
        <v>5920</v>
      </c>
      <c r="J1041">
        <v>4040</v>
      </c>
      <c r="K1041">
        <v>0.5</v>
      </c>
      <c r="L1041">
        <v>1.2</v>
      </c>
      <c r="M1041">
        <v>0.5</v>
      </c>
      <c r="N1041">
        <v>1.05</v>
      </c>
      <c r="O1041">
        <v>0.85</v>
      </c>
      <c r="P1041" s="9">
        <v>46148.451516203706</v>
      </c>
    </row>
    <row r="1042" spans="2:16" x14ac:dyDescent="0.25">
      <c r="B1042" s="4"/>
      <c r="P1042" s="9"/>
    </row>
    <row r="1043" spans="2:16" x14ac:dyDescent="0.25">
      <c r="B1043" s="4"/>
      <c r="F1043">
        <v>0.8</v>
      </c>
      <c r="G1043">
        <v>259380</v>
      </c>
      <c r="H1043">
        <v>113620</v>
      </c>
      <c r="I1043">
        <v>124840</v>
      </c>
      <c r="J1043">
        <v>101560</v>
      </c>
      <c r="K1043">
        <v>0.6</v>
      </c>
      <c r="L1043">
        <v>0.85</v>
      </c>
      <c r="M1043">
        <v>0.55000000000000004</v>
      </c>
      <c r="N1043">
        <v>0.75</v>
      </c>
      <c r="O1043">
        <v>0.75</v>
      </c>
      <c r="P1043" s="9">
        <v>46148.455324074072</v>
      </c>
    </row>
    <row r="1044" spans="2:16" x14ac:dyDescent="0.25">
      <c r="B1044" s="4"/>
      <c r="F1044">
        <v>6956.9</v>
      </c>
      <c r="G1044">
        <v>0</v>
      </c>
      <c r="H1044">
        <v>600</v>
      </c>
      <c r="I1044">
        <v>600</v>
      </c>
      <c r="J1044">
        <v>600</v>
      </c>
      <c r="K1044">
        <v>0</v>
      </c>
      <c r="L1044">
        <v>7214.15</v>
      </c>
      <c r="M1044">
        <v>6653.75</v>
      </c>
      <c r="N1044">
        <v>6956.9</v>
      </c>
      <c r="O1044">
        <v>5767</v>
      </c>
      <c r="P1044" s="9">
        <v>46142.624236111114</v>
      </c>
    </row>
    <row r="1045" spans="2:16" x14ac:dyDescent="0.25">
      <c r="B1045" s="4"/>
      <c r="F1045">
        <v>0.9</v>
      </c>
      <c r="G1045">
        <v>5220</v>
      </c>
      <c r="H1045">
        <v>6500</v>
      </c>
      <c r="I1045">
        <v>6500</v>
      </c>
      <c r="J1045">
        <v>3560</v>
      </c>
      <c r="K1045">
        <v>0.55000000000000004</v>
      </c>
      <c r="L1045">
        <v>1.1000000000000001</v>
      </c>
      <c r="M1045">
        <v>0.55000000000000004</v>
      </c>
      <c r="N1045">
        <v>0.95</v>
      </c>
      <c r="O1045">
        <v>0.85</v>
      </c>
      <c r="P1045" s="9">
        <v>46148.453263888892</v>
      </c>
    </row>
    <row r="1046" spans="2:16" x14ac:dyDescent="0.25">
      <c r="B1046" s="4"/>
      <c r="P1046" s="9"/>
    </row>
    <row r="1047" spans="2:16" x14ac:dyDescent="0.25">
      <c r="B1047" s="4"/>
      <c r="F1047">
        <v>0.85</v>
      </c>
      <c r="G1047">
        <v>3800</v>
      </c>
      <c r="H1047">
        <v>3820</v>
      </c>
      <c r="I1047">
        <v>3880</v>
      </c>
      <c r="J1047">
        <v>3020</v>
      </c>
      <c r="K1047">
        <v>0.8</v>
      </c>
      <c r="L1047">
        <v>1.1499999999999999</v>
      </c>
      <c r="M1047">
        <v>0.4</v>
      </c>
      <c r="N1047">
        <v>0.9</v>
      </c>
      <c r="O1047">
        <v>0.8</v>
      </c>
      <c r="P1047" s="9">
        <v>46148.453287037039</v>
      </c>
    </row>
    <row r="1048" spans="2:16" x14ac:dyDescent="0.25">
      <c r="B1048" s="4"/>
      <c r="P1048" s="9"/>
    </row>
    <row r="1049" spans="2:16" x14ac:dyDescent="0.25">
      <c r="B1049" s="4"/>
      <c r="F1049">
        <v>0.65</v>
      </c>
      <c r="G1049">
        <v>4260</v>
      </c>
      <c r="H1049">
        <v>2220</v>
      </c>
      <c r="I1049">
        <v>2440</v>
      </c>
      <c r="J1049">
        <v>2000</v>
      </c>
      <c r="K1049">
        <v>1</v>
      </c>
      <c r="L1049">
        <v>1.1000000000000001</v>
      </c>
      <c r="M1049">
        <v>0.5</v>
      </c>
      <c r="N1049">
        <v>1.1000000000000001</v>
      </c>
      <c r="O1049">
        <v>0.75</v>
      </c>
      <c r="P1049" s="9">
        <v>46148.453634259262</v>
      </c>
    </row>
    <row r="1050" spans="2:16" x14ac:dyDescent="0.25">
      <c r="B1050" s="4"/>
      <c r="F1050">
        <v>7256.8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7256.8</v>
      </c>
      <c r="O1050">
        <v>6065.95</v>
      </c>
      <c r="P1050" s="9">
        <v>25569.229166666668</v>
      </c>
    </row>
    <row r="1051" spans="2:16" x14ac:dyDescent="0.25">
      <c r="B1051" s="4"/>
      <c r="F1051">
        <v>0.6</v>
      </c>
      <c r="G1051">
        <v>8720</v>
      </c>
      <c r="H1051">
        <v>4560</v>
      </c>
      <c r="I1051">
        <v>4920</v>
      </c>
      <c r="J1051">
        <v>1520</v>
      </c>
      <c r="K1051">
        <v>0.85</v>
      </c>
      <c r="L1051">
        <v>1.1000000000000001</v>
      </c>
      <c r="M1051">
        <v>0.55000000000000004</v>
      </c>
      <c r="N1051">
        <v>0.85</v>
      </c>
      <c r="O1051">
        <v>0.6</v>
      </c>
      <c r="P1051" s="9">
        <v>46148.453969907408</v>
      </c>
    </row>
    <row r="1052" spans="2:16" x14ac:dyDescent="0.25">
      <c r="B1052" s="4"/>
      <c r="F1052">
        <v>7356.8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7356.8</v>
      </c>
      <c r="O1052">
        <v>6170.9</v>
      </c>
      <c r="P1052" s="9">
        <v>25569.229166666668</v>
      </c>
    </row>
    <row r="1053" spans="2:16" x14ac:dyDescent="0.25">
      <c r="B1053" s="4"/>
      <c r="F1053">
        <v>0.75</v>
      </c>
      <c r="G1053">
        <v>41240</v>
      </c>
      <c r="H1053">
        <v>28640</v>
      </c>
      <c r="I1053">
        <v>30800</v>
      </c>
      <c r="J1053">
        <v>23080</v>
      </c>
      <c r="K1053">
        <v>0.55000000000000004</v>
      </c>
      <c r="L1053">
        <v>0.8</v>
      </c>
      <c r="M1053">
        <v>0.35</v>
      </c>
      <c r="N1053">
        <v>0.9</v>
      </c>
      <c r="O1053">
        <v>0.7</v>
      </c>
      <c r="P1053" s="9">
        <v>46148.455127314817</v>
      </c>
    </row>
    <row r="1054" spans="2:16" x14ac:dyDescent="0.25">
      <c r="B1054" s="4"/>
      <c r="F1054">
        <v>7456.75</v>
      </c>
      <c r="G1054">
        <v>0</v>
      </c>
      <c r="H1054">
        <v>640</v>
      </c>
      <c r="I1054">
        <v>640</v>
      </c>
      <c r="J1054">
        <v>640</v>
      </c>
      <c r="K1054">
        <v>0</v>
      </c>
      <c r="L1054">
        <v>7350</v>
      </c>
      <c r="M1054">
        <v>7080</v>
      </c>
      <c r="N1054">
        <v>7456.75</v>
      </c>
      <c r="O1054">
        <v>6270.15</v>
      </c>
      <c r="P1054" s="9">
        <v>46142.620173611111</v>
      </c>
    </row>
    <row r="1055" spans="2:16" x14ac:dyDescent="0.25">
      <c r="B1055" s="4"/>
      <c r="F1055">
        <v>0.6</v>
      </c>
      <c r="G1055">
        <v>12900</v>
      </c>
      <c r="H1055">
        <v>4980</v>
      </c>
      <c r="I1055">
        <v>6000</v>
      </c>
      <c r="J1055">
        <v>2080</v>
      </c>
      <c r="K1055">
        <v>1.05</v>
      </c>
      <c r="L1055">
        <v>1.25</v>
      </c>
      <c r="M1055">
        <v>0.4</v>
      </c>
      <c r="N1055">
        <v>0.7</v>
      </c>
      <c r="O1055">
        <v>0.6</v>
      </c>
      <c r="P1055" s="9">
        <v>46148.45103009259</v>
      </c>
    </row>
    <row r="1056" spans="2:16" x14ac:dyDescent="0.25">
      <c r="B1056" s="4"/>
      <c r="F1056">
        <v>7556.7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7556.7</v>
      </c>
      <c r="O1056">
        <v>6369.25</v>
      </c>
      <c r="P1056" s="9">
        <v>25569.229166666668</v>
      </c>
    </row>
    <row r="1057" spans="2:16" x14ac:dyDescent="0.25">
      <c r="B1057" s="4"/>
      <c r="F1057">
        <v>0.5</v>
      </c>
      <c r="G1057">
        <v>26040</v>
      </c>
      <c r="H1057">
        <v>9640</v>
      </c>
      <c r="I1057">
        <v>18620</v>
      </c>
      <c r="J1057">
        <v>9640</v>
      </c>
      <c r="K1057">
        <v>0.85</v>
      </c>
      <c r="L1057">
        <v>0.9</v>
      </c>
      <c r="M1057">
        <v>0.2</v>
      </c>
      <c r="N1057">
        <v>0.9</v>
      </c>
      <c r="O1057">
        <v>0.4</v>
      </c>
      <c r="P1057" s="9">
        <v>46148.453969907408</v>
      </c>
    </row>
    <row r="1058" spans="2:16" x14ac:dyDescent="0.25">
      <c r="B1058" s="4"/>
      <c r="F1058">
        <v>7656.7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7656.7</v>
      </c>
      <c r="O1058">
        <v>6469.95</v>
      </c>
      <c r="P1058" s="9">
        <v>25569.229166666668</v>
      </c>
    </row>
    <row r="1059" spans="2:16" x14ac:dyDescent="0.25">
      <c r="B1059" s="4"/>
      <c r="F1059">
        <v>0.6</v>
      </c>
      <c r="G1059">
        <v>1340</v>
      </c>
      <c r="H1059">
        <v>1580</v>
      </c>
      <c r="I1059">
        <v>1740</v>
      </c>
      <c r="J1059">
        <v>1480</v>
      </c>
      <c r="K1059">
        <v>0.4</v>
      </c>
      <c r="L1059">
        <v>0.9</v>
      </c>
      <c r="M1059">
        <v>0.4</v>
      </c>
      <c r="N1059">
        <v>0.85</v>
      </c>
      <c r="O1059">
        <v>0.7</v>
      </c>
      <c r="P1059" s="9">
        <v>46148.452002314814</v>
      </c>
    </row>
    <row r="1060" spans="2:16" x14ac:dyDescent="0.25">
      <c r="B1060" s="4"/>
      <c r="F1060">
        <v>7756.65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7756.65</v>
      </c>
      <c r="O1060">
        <v>6567.8</v>
      </c>
      <c r="P1060" s="9">
        <v>25569.229166666668</v>
      </c>
    </row>
    <row r="1061" spans="2:16" x14ac:dyDescent="0.25">
      <c r="B1061" s="4"/>
      <c r="F1061">
        <v>0.5</v>
      </c>
      <c r="G1061">
        <v>2440</v>
      </c>
      <c r="H1061">
        <v>900</v>
      </c>
      <c r="I1061">
        <v>1120</v>
      </c>
      <c r="J1061">
        <v>460</v>
      </c>
      <c r="K1061">
        <v>0.75</v>
      </c>
      <c r="L1061">
        <v>0.95</v>
      </c>
      <c r="M1061">
        <v>0.35</v>
      </c>
      <c r="N1061">
        <v>0.75</v>
      </c>
      <c r="O1061">
        <v>0.6</v>
      </c>
      <c r="P1061" s="9">
        <v>46148.450902777775</v>
      </c>
    </row>
    <row r="1062" spans="2:16" x14ac:dyDescent="0.25">
      <c r="B1062" s="4"/>
      <c r="F1062">
        <v>7856.65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7856.65</v>
      </c>
      <c r="O1062">
        <v>6666.8</v>
      </c>
      <c r="P1062" s="9">
        <v>25569.229166666668</v>
      </c>
    </row>
    <row r="1063" spans="2:16" x14ac:dyDescent="0.25">
      <c r="B1063" s="4"/>
      <c r="F1063">
        <v>0.5</v>
      </c>
      <c r="G1063">
        <v>203840</v>
      </c>
      <c r="H1063">
        <v>122060</v>
      </c>
      <c r="I1063">
        <v>135520</v>
      </c>
      <c r="J1063">
        <v>121900</v>
      </c>
      <c r="K1063">
        <v>0.55000000000000004</v>
      </c>
      <c r="L1063">
        <v>0.65</v>
      </c>
      <c r="M1063">
        <v>0.45</v>
      </c>
      <c r="N1063">
        <v>0.6</v>
      </c>
      <c r="O1063">
        <v>0.45</v>
      </c>
      <c r="P1063" s="9">
        <v>46148.45511574074</v>
      </c>
    </row>
    <row r="1064" spans="2:16" x14ac:dyDescent="0.25">
      <c r="B1064" s="4"/>
      <c r="F1064">
        <v>7595.05</v>
      </c>
      <c r="G1064">
        <v>740</v>
      </c>
      <c r="H1064">
        <v>26700</v>
      </c>
      <c r="I1064">
        <v>27100</v>
      </c>
      <c r="J1064">
        <v>26700</v>
      </c>
      <c r="K1064">
        <v>7600</v>
      </c>
      <c r="L1064">
        <v>7640</v>
      </c>
      <c r="M1064">
        <v>7570</v>
      </c>
      <c r="N1064">
        <v>7814.5</v>
      </c>
      <c r="O1064">
        <v>7678.05</v>
      </c>
      <c r="P1064" s="9">
        <v>46148.43712962963</v>
      </c>
    </row>
    <row r="1065" spans="2:16" x14ac:dyDescent="0.25">
      <c r="B1065" s="4"/>
      <c r="F1065">
        <v>0.45</v>
      </c>
      <c r="G1065">
        <v>420</v>
      </c>
      <c r="H1065">
        <v>920</v>
      </c>
      <c r="I1065">
        <v>1220</v>
      </c>
      <c r="J1065">
        <v>920</v>
      </c>
      <c r="K1065">
        <v>0.65</v>
      </c>
      <c r="L1065">
        <v>0.65</v>
      </c>
      <c r="M1065">
        <v>0.45</v>
      </c>
      <c r="N1065">
        <v>0.65</v>
      </c>
      <c r="O1065">
        <v>0.5</v>
      </c>
      <c r="P1065" s="9">
        <v>46148.411944444444</v>
      </c>
    </row>
    <row r="1066" spans="2:16" x14ac:dyDescent="0.25">
      <c r="B1066" s="4"/>
      <c r="F1066">
        <v>8056.55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8056.55</v>
      </c>
      <c r="O1066">
        <v>6864.75</v>
      </c>
      <c r="P1066" s="9">
        <v>25569.229166666668</v>
      </c>
    </row>
    <row r="1067" spans="2:16" x14ac:dyDescent="0.25">
      <c r="B1067" s="4"/>
      <c r="F1067">
        <v>0.45</v>
      </c>
      <c r="G1067">
        <v>2880</v>
      </c>
      <c r="H1067">
        <v>6600</v>
      </c>
      <c r="I1067">
        <v>7380</v>
      </c>
      <c r="J1067">
        <v>6600</v>
      </c>
      <c r="K1067">
        <v>0.55000000000000004</v>
      </c>
      <c r="L1067">
        <v>0.75</v>
      </c>
      <c r="M1067">
        <v>0.4</v>
      </c>
      <c r="N1067">
        <v>0.55000000000000004</v>
      </c>
      <c r="O1067">
        <v>0.5</v>
      </c>
      <c r="P1067" s="9">
        <v>46148.450798611113</v>
      </c>
    </row>
    <row r="1068" spans="2:16" x14ac:dyDescent="0.25">
      <c r="B1068" s="4"/>
      <c r="F1068">
        <v>8156.55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8156.55</v>
      </c>
      <c r="O1068">
        <v>6963.35</v>
      </c>
      <c r="P1068" s="9">
        <v>25569.229166666668</v>
      </c>
    </row>
    <row r="1069" spans="2:16" x14ac:dyDescent="0.25">
      <c r="B1069" s="4"/>
      <c r="F1069">
        <v>0.4</v>
      </c>
      <c r="G1069">
        <v>12140</v>
      </c>
      <c r="H1069">
        <v>17500</v>
      </c>
      <c r="I1069">
        <v>17500</v>
      </c>
      <c r="J1069">
        <v>15540</v>
      </c>
      <c r="K1069">
        <v>0.6</v>
      </c>
      <c r="L1069">
        <v>0.6</v>
      </c>
      <c r="M1069">
        <v>0.4</v>
      </c>
      <c r="N1069">
        <v>0.6</v>
      </c>
      <c r="O1069">
        <v>0.4</v>
      </c>
      <c r="P1069" s="9">
        <v>46148.454004629632</v>
      </c>
    </row>
    <row r="1070" spans="2:16" x14ac:dyDescent="0.25">
      <c r="B1070" s="4"/>
      <c r="F1070">
        <v>8256.5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8256.5</v>
      </c>
      <c r="O1070">
        <v>7061.75</v>
      </c>
      <c r="P1070" s="9">
        <v>25569.229166666668</v>
      </c>
    </row>
    <row r="1071" spans="2:16" x14ac:dyDescent="0.25">
      <c r="B1071" s="4"/>
    </row>
    <row r="1072" spans="2:16" x14ac:dyDescent="0.25">
      <c r="B1072" s="4"/>
    </row>
    <row r="1073" spans="2:2" x14ac:dyDescent="0.25">
      <c r="B1073" s="4"/>
    </row>
    <row r="1074" spans="2:2" x14ac:dyDescent="0.25">
      <c r="B1074" s="4"/>
    </row>
    <row r="1075" spans="2:2" x14ac:dyDescent="0.25">
      <c r="B1075" s="4"/>
    </row>
    <row r="1076" spans="2:2" x14ac:dyDescent="0.25">
      <c r="B1076" s="4"/>
    </row>
    <row r="1077" spans="2:2" x14ac:dyDescent="0.25">
      <c r="B1077" s="4"/>
    </row>
    <row r="1078" spans="2:2" x14ac:dyDescent="0.25">
      <c r="B1078" s="4"/>
    </row>
    <row r="1079" spans="2:2" x14ac:dyDescent="0.25">
      <c r="B1079" s="4"/>
    </row>
    <row r="1080" spans="2:2" x14ac:dyDescent="0.25">
      <c r="B1080" s="4"/>
    </row>
    <row r="1081" spans="2:2" x14ac:dyDescent="0.25">
      <c r="B1081" s="4"/>
    </row>
    <row r="1082" spans="2:2" x14ac:dyDescent="0.25">
      <c r="B1082" s="4"/>
    </row>
    <row r="1083" spans="2:2" x14ac:dyDescent="0.25">
      <c r="B1083" s="4"/>
    </row>
    <row r="1084" spans="2:2" x14ac:dyDescent="0.25">
      <c r="B1084" s="4"/>
    </row>
    <row r="1085" spans="2:2" x14ac:dyDescent="0.25">
      <c r="B1085" s="4"/>
    </row>
    <row r="1086" spans="2:2" x14ac:dyDescent="0.25">
      <c r="B1086" s="4"/>
    </row>
    <row r="1087" spans="2:2" x14ac:dyDescent="0.25">
      <c r="B1087" s="4"/>
    </row>
    <row r="1088" spans="2:2" x14ac:dyDescent="0.25">
      <c r="B1088" s="4"/>
    </row>
    <row r="1089" spans="2:2" x14ac:dyDescent="0.25">
      <c r="B1089" s="4"/>
    </row>
    <row r="1090" spans="2:2" x14ac:dyDescent="0.25">
      <c r="B1090" s="4"/>
    </row>
    <row r="1091" spans="2:2" x14ac:dyDescent="0.25">
      <c r="B1091" s="4"/>
    </row>
    <row r="1092" spans="2:2" x14ac:dyDescent="0.25">
      <c r="B1092" s="4"/>
    </row>
    <row r="1093" spans="2:2" x14ac:dyDescent="0.25">
      <c r="B1093" s="4"/>
    </row>
    <row r="1094" spans="2:2" x14ac:dyDescent="0.25">
      <c r="B1094" s="4"/>
    </row>
    <row r="1095" spans="2:2" x14ac:dyDescent="0.25">
      <c r="B1095" s="4"/>
    </row>
    <row r="1096" spans="2:2" x14ac:dyDescent="0.25">
      <c r="B1096" s="4"/>
    </row>
    <row r="1097" spans="2:2" x14ac:dyDescent="0.25">
      <c r="B1097" s="4"/>
    </row>
    <row r="1098" spans="2:2" x14ac:dyDescent="0.25">
      <c r="B1098" s="4"/>
    </row>
    <row r="1099" spans="2:2" x14ac:dyDescent="0.25">
      <c r="B1099" s="4"/>
    </row>
    <row r="1100" spans="2:2" x14ac:dyDescent="0.25">
      <c r="B1100" s="4"/>
    </row>
    <row r="1101" spans="2:2" x14ac:dyDescent="0.25">
      <c r="B1101" s="4"/>
    </row>
    <row r="1102" spans="2:2" x14ac:dyDescent="0.25">
      <c r="B1102" s="4"/>
    </row>
    <row r="1103" spans="2:2" x14ac:dyDescent="0.25">
      <c r="B1103" s="4"/>
    </row>
    <row r="1104" spans="2:2" x14ac:dyDescent="0.25">
      <c r="B1104" s="4"/>
    </row>
    <row r="1105" spans="2:2" x14ac:dyDescent="0.25">
      <c r="B1105" s="4"/>
    </row>
    <row r="1106" spans="2:2" x14ac:dyDescent="0.25">
      <c r="B1106" s="4"/>
    </row>
    <row r="1107" spans="2:2" x14ac:dyDescent="0.25">
      <c r="B1107" s="4"/>
    </row>
    <row r="1108" spans="2:2" x14ac:dyDescent="0.25">
      <c r="B1108" s="4"/>
    </row>
    <row r="1109" spans="2:2" x14ac:dyDescent="0.25">
      <c r="B1109" s="4"/>
    </row>
    <row r="1110" spans="2:2" x14ac:dyDescent="0.25">
      <c r="B1110" s="4"/>
    </row>
    <row r="1111" spans="2:2" x14ac:dyDescent="0.25">
      <c r="B1111" s="4"/>
    </row>
    <row r="1112" spans="2:2" x14ac:dyDescent="0.25">
      <c r="B1112" s="4"/>
    </row>
    <row r="1113" spans="2:2" x14ac:dyDescent="0.25">
      <c r="B1113" s="4"/>
    </row>
    <row r="1114" spans="2:2" x14ac:dyDescent="0.25">
      <c r="B1114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NIFTY</vt:lpstr>
      <vt:lpstr>BANKNIFTY</vt:lpstr>
      <vt:lpstr>SENSEX</vt:lpstr>
      <vt:lpstr>RawData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Bajaj</cp:lastModifiedBy>
  <dcterms:created xsi:type="dcterms:W3CDTF">2026-05-05T10:38:29Z</dcterms:created>
  <dcterms:modified xsi:type="dcterms:W3CDTF">2026-05-06T05:25:51Z</dcterms:modified>
</cp:coreProperties>
</file>